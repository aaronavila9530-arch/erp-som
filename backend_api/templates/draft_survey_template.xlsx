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4B770985-4198-4077-892E-12898758910C}" xr6:coauthVersionLast="47" xr6:coauthVersionMax="47" xr10:uidLastSave="{00000000-0000-0000-0000-000000000000}"/>
  <bookViews>
    <workbookView xWindow="-28920" yWindow="-1125" windowWidth="29040" windowHeight="15720" firstSheet="7" activeTab="11" xr2:uid="{D9A1195F-C361-4BB9-A5DA-036619D50819}"/>
  </bookViews>
  <sheets>
    <sheet name="A" sheetId="1" state="hidden" r:id="rId1"/>
    <sheet name="B" sheetId="2" state="hidden" r:id="rId2"/>
    <sheet name="C" sheetId="3" state="hidden" r:id="rId3"/>
    <sheet name="General" sheetId="10" r:id="rId4"/>
    <sheet name="Draft" sheetId="8" r:id="rId5"/>
    <sheet name="ECE DRAUGHT SURVEY CODE" sheetId="7" r:id="rId6"/>
    <sheet name="Draught survey report" sheetId="4" r:id="rId7"/>
    <sheet name="ECE DRAUGHT SURVEY CODE D2" sheetId="5" r:id="rId8"/>
    <sheet name="D3" sheetId="6" state="hidden" r:id="rId9"/>
    <sheet name="Deductions" sheetId="9"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8">'D3'!$A$1:$AO$58</definedName>
    <definedName name="_xlnm.Print_Area" localSheetId="9">Deductions!$A$1:$AK$54</definedName>
    <definedName name="_xlnm.Print_Area" localSheetId="4">Draft!$A$1:$AW$38</definedName>
    <definedName name="_xlnm.Print_Area" localSheetId="6">'Draught survey report'!$A$1:$AO$58</definedName>
    <definedName name="_xlnm.Print_Area" localSheetId="5">'ECE DRAUGHT SURVEY CODE'!$A$1:$AO$58</definedName>
    <definedName name="_xlnm.Print_Area" localSheetId="7">'ECE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42" i="8" l="1"/>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<sst xmlns="http://schemas.openxmlformats.org/spreadsheetml/2006/main" count="793" uniqueCount="418">
  <si>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</si>
  <si>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</si>
  <si>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</si>
  <si>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</si>
  <si>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</si>
  <si>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</si>
  <si>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</si>
  <si>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</si>
  <si>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</si>
  <si>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</si>
  <si>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</si>
  <si>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</si>
  <si>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</si>
  <si>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</si>
  <si>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</si>
  <si>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</si>
  <si>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</si>
  <si>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</si>
  <si>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</si>
  <si>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</si>
  <si>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</si>
  <si>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</si>
  <si>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</si>
  <si>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</si>
  <si>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</si>
  <si>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</si>
  <si>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</si>
  <si>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</si>
  <si>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</si>
  <si>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</si>
  <si>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</si>
  <si>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</si>
  <si>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</si>
  <si>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</si>
  <si>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</si>
  <si>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</si>
  <si>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</si>
  <si>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</si>
  <si>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</si>
  <si>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</si>
  <si>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</si>
  <si>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</si>
  <si>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</si>
  <si>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</si>
  <si>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</si>
  <si>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</si>
  <si>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</si>
  <si>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</si>
  <si>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</si>
  <si>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</si>
  <si>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</si>
  <si>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</si>
  <si>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</si>
  <si>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</si>
  <si>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</si>
  <si>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</si>
  <si>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</si>
  <si>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</si>
  <si>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</si>
  <si>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</si>
  <si>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</si>
  <si>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</si>
  <si>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</si>
  <si>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</si>
  <si>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</si>
  <si>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</si>
  <si>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</si>
  <si>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</si>
  <si>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</si>
  <si>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</si>
  <si>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</si>
  <si>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</si>
  <si>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</si>
  <si>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</si>
  <si>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</si>
  <si>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</si>
  <si>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</si>
  <si>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</si>
  <si>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</si>
  <si>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</si>
  <si>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</si>
  <si>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</si>
  <si>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</si>
  <si>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</si>
  <si>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</si>
  <si>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</si>
  <si>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</si>
  <si>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</si>
  <si>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</si>
  <si>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</si>
  <si>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</si>
  <si>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</si>
  <si>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</si>
  <si>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</si>
  <si>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</si>
  <si>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</si>
  <si>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</si>
  <si>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</si>
  <si>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</si>
  <si>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</si>
  <si>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</si>
  <si>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</si>
  <si>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</si>
  <si>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</si>
  <si>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</si>
  <si>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</si>
  <si>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</si>
  <si>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</si>
  <si>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</si>
  <si>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</si>
  <si>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</si>
  <si>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</si>
  <si>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</si>
  <si>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</si>
  <si>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</si>
  <si>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</si>
  <si>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</si>
  <si>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</si>
  <si>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</si>
  <si>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</si>
  <si>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</si>
  <si>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</si>
  <si>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</si>
  <si>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</si>
  <si>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</si>
  <si>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</si>
  <si>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</si>
  <si>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</si>
  <si>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</si>
  <si>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</si>
  <si>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</si>
  <si>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</si>
  <si>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</si>
  <si>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</si>
  <si>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</si>
  <si>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</si>
  <si>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</si>
  <si>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</si>
  <si>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</si>
  <si>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</si>
  <si>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</si>
  <si>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</si>
  <si>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</si>
  <si>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</si>
  <si>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</si>
  <si>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</si>
  <si>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</si>
  <si>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</si>
  <si>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</si>
  <si>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</si>
  <si>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</si>
  <si>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</si>
  <si>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</si>
  <si>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</si>
  <si>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</si>
  <si>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</si>
  <si>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</si>
  <si>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</si>
  <si>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</si>
  <si>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</si>
  <si>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</si>
  <si>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</si>
  <si>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</si>
  <si>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</si>
  <si>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</si>
  <si>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</si>
  <si>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</si>
  <si>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</si>
  <si>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</si>
  <si>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</si>
  <si>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</si>
  <si>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</si>
  <si>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</si>
  <si>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</si>
  <si>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</si>
  <si>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</si>
  <si>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</si>
  <si>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</si>
  <si>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</si>
  <si>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</si>
  <si>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</si>
  <si>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</si>
  <si>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</si>
  <si>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</si>
  <si>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</si>
  <si>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</si>
  <si>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</si>
  <si>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</si>
  <si>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</si>
  <si>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</si>
  <si>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</si>
  <si>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</si>
  <si>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</si>
  <si>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</si>
  <si>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</si>
  <si>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</si>
  <si>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</si>
  <si>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</si>
  <si>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</si>
  <si>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</si>
  <si>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</si>
  <si>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</si>
  <si>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</si>
  <si>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</si>
  <si>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</si>
  <si>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</si>
  <si>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</si>
  <si>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</si>
  <si>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</si>
  <si>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</si>
  <si>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</si>
  <si>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</si>
  <si>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</si>
  <si>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</si>
  <si>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</si>
  <si>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</si>
  <si>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</si>
  <si>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</si>
  <si>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</si>
  <si>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</si>
  <si>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</si>
  <si>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</si>
  <si>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</si>
  <si>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</si>
  <si>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</si>
  <si>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</si>
  <si>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</si>
  <si>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</si>
  <si>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</si>
  <si>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</si>
  <si>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</si>
  <si>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</si>
  <si>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</si>
  <si>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</si>
  <si>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</si>
  <si>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</si>
  <si>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</si>
  <si>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</si>
  <si>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</si>
  <si>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</si>
  <si>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</si>
  <si>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</si>
  <si>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</si>
  <si>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</si>
  <si>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</si>
  <si>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</si>
  <si>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</si>
  <si>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</si>
  <si>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</si>
  <si>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</si>
  <si>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FINAL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</si>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</sst>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4"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43"/>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993">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4" fontId="3" fillId="11" borderId="6" xfId="0" applyNumberFormat="1" applyFont="1" applyFill="1" applyBorder="1"/>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2" borderId="29" xfId="0" applyNumberFormat="1" applyFont="1" applyFill="1" applyBorder="1"/>
    <xf numFmtId="170" fontId="11" fillId="13" borderId="66" xfId="0" applyNumberFormat="1" applyFont="1" applyFill="1" applyBorder="1"/>
    <xf numFmtId="0" fontId="11" fillId="14"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2"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2"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5"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9" borderId="8" xfId="0" applyFont="1" applyFill="1" applyBorder="1" applyAlignment="1" applyProtection="1">
      <alignment horizontal="left"/>
      <protection locked="0"/>
    </xf>
    <xf numFmtId="0" fontId="0" fillId="19" borderId="8" xfId="0" applyFill="1" applyBorder="1" applyAlignment="1">
      <alignment horizontal="left"/>
    </xf>
    <xf numFmtId="0" fontId="39" fillId="19" borderId="6" xfId="0" applyFont="1" applyFill="1" applyBorder="1" applyProtection="1">
      <protection locked="0"/>
    </xf>
    <xf numFmtId="0" fontId="42" fillId="19" borderId="6" xfId="0" applyFont="1" applyFill="1" applyBorder="1" applyProtection="1">
      <protection locked="0"/>
    </xf>
    <xf numFmtId="0" fontId="43" fillId="19"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8" borderId="0" xfId="0" applyFill="1"/>
    <xf numFmtId="0" fontId="3" fillId="18" borderId="0" xfId="0" applyFont="1" applyFill="1" applyAlignment="1" applyProtection="1">
      <alignment horizontal="left"/>
      <protection locked="0"/>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0" fontId="48" fillId="0" borderId="61" xfId="4" applyFont="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2" borderId="20" xfId="0" applyFont="1" applyFill="1" applyBorder="1"/>
    <xf numFmtId="0" fontId="50" fillId="22" borderId="21" xfId="0" applyFont="1" applyFill="1" applyBorder="1"/>
    <xf numFmtId="0" fontId="50" fillId="22" borderId="21" xfId="0" applyFont="1" applyFill="1" applyBorder="1" applyAlignment="1">
      <alignment horizontal="center"/>
    </xf>
    <xf numFmtId="0" fontId="50" fillId="22" borderId="22" xfId="0" applyFont="1" applyFill="1" applyBorder="1"/>
    <xf numFmtId="0" fontId="0" fillId="22" borderId="44" xfId="0" applyFill="1" applyBorder="1" applyAlignment="1">
      <alignment horizontal="center"/>
    </xf>
    <xf numFmtId="170" fontId="52" fillId="22" borderId="0" xfId="0" applyNumberFormat="1" applyFont="1" applyFill="1" applyAlignment="1">
      <alignment horizontal="center"/>
    </xf>
    <xf numFmtId="170" fontId="52" fillId="22" borderId="49" xfId="0" applyNumberFormat="1" applyFont="1" applyFill="1" applyBorder="1" applyAlignment="1">
      <alignment horizontal="center"/>
    </xf>
    <xf numFmtId="170" fontId="54" fillId="22" borderId="44" xfId="0" applyNumberFormat="1" applyFont="1" applyFill="1" applyBorder="1" applyAlignment="1">
      <alignment horizontal="center"/>
    </xf>
    <xf numFmtId="170" fontId="54" fillId="22" borderId="0" xfId="0" applyNumberFormat="1" applyFont="1" applyFill="1" applyAlignment="1">
      <alignment horizontal="center"/>
    </xf>
    <xf numFmtId="170" fontId="55" fillId="22" borderId="0" xfId="0" applyNumberFormat="1" applyFont="1" applyFill="1" applyAlignment="1">
      <alignment horizontal="center"/>
    </xf>
    <xf numFmtId="170" fontId="54" fillId="22" borderId="49" xfId="0" applyNumberFormat="1" applyFont="1" applyFill="1" applyBorder="1" applyAlignment="1">
      <alignment horizontal="center"/>
    </xf>
    <xf numFmtId="170" fontId="58" fillId="22" borderId="0" xfId="0" applyNumberFormat="1" applyFont="1" applyFill="1" applyAlignment="1">
      <alignment horizontal="center"/>
    </xf>
    <xf numFmtId="170" fontId="58" fillId="22" borderId="49" xfId="0" applyNumberFormat="1" applyFont="1" applyFill="1" applyBorder="1" applyAlignment="1">
      <alignment horizontal="center"/>
    </xf>
    <xf numFmtId="170" fontId="54" fillId="22" borderId="23" xfId="0" applyNumberFormat="1" applyFont="1" applyFill="1" applyBorder="1" applyAlignment="1">
      <alignment horizontal="center"/>
    </xf>
    <xf numFmtId="170" fontId="54" fillId="22" borderId="16" xfId="0" applyNumberFormat="1" applyFont="1" applyFill="1" applyBorder="1" applyAlignment="1">
      <alignment horizontal="center"/>
    </xf>
    <xf numFmtId="170" fontId="55" fillId="22" borderId="16" xfId="0" applyNumberFormat="1" applyFont="1" applyFill="1" applyBorder="1" applyAlignment="1">
      <alignment horizontal="center"/>
    </xf>
    <xf numFmtId="170" fontId="54" fillId="22" borderId="24" xfId="0" applyNumberFormat="1" applyFont="1" applyFill="1" applyBorder="1" applyAlignment="1">
      <alignment horizontal="center"/>
    </xf>
    <xf numFmtId="170" fontId="52" fillId="21" borderId="24" xfId="0" applyNumberFormat="1" applyFont="1" applyFill="1" applyBorder="1" applyAlignment="1">
      <alignment horizontal="center"/>
    </xf>
    <xf numFmtId="170" fontId="0" fillId="0" borderId="0" xfId="0" applyNumberFormat="1"/>
    <xf numFmtId="164" fontId="11" fillId="17" borderId="6" xfId="0" applyNumberFormat="1" applyFont="1" applyFill="1" applyBorder="1"/>
    <xf numFmtId="0" fontId="5" fillId="0" borderId="0" xfId="0" applyFont="1"/>
    <xf numFmtId="2" fontId="1" fillId="18"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8" borderId="0" xfId="0" applyFont="1" applyFill="1" applyAlignment="1" applyProtection="1">
      <alignment horizontal="center" vertical="center"/>
      <protection locked="0"/>
    </xf>
    <xf numFmtId="0" fontId="11" fillId="24" borderId="6" xfId="0" applyFont="1" applyFill="1" applyBorder="1" applyAlignment="1">
      <alignment horizontal="center"/>
    </xf>
    <xf numFmtId="0" fontId="3" fillId="6" borderId="0" xfId="0" applyFont="1" applyFill="1"/>
    <xf numFmtId="4" fontId="3" fillId="6" borderId="6" xfId="0" applyNumberFormat="1" applyFont="1" applyFill="1" applyBorder="1"/>
    <xf numFmtId="4" fontId="3" fillId="6" borderId="18" xfId="0" applyNumberFormat="1" applyFont="1" applyFill="1" applyBorder="1"/>
    <xf numFmtId="173" fontId="3" fillId="6" borderId="18" xfId="0" applyNumberFormat="1" applyFont="1" applyFill="1" applyBorder="1"/>
    <xf numFmtId="164" fontId="3" fillId="6" borderId="18" xfId="0" applyNumberFormat="1" applyFont="1" applyFill="1" applyBorder="1"/>
    <xf numFmtId="4" fontId="3" fillId="24" borderId="6" xfId="0" applyNumberFormat="1" applyFont="1" applyFill="1" applyBorder="1"/>
    <xf numFmtId="173" fontId="3" fillId="6" borderId="6" xfId="0" applyNumberFormat="1" applyFont="1" applyFill="1" applyBorder="1"/>
    <xf numFmtId="164" fontId="3" fillId="6" borderId="6" xfId="0" applyNumberFormat="1" applyFont="1" applyFill="1" applyBorder="1"/>
    <xf numFmtId="0" fontId="3" fillId="0" borderId="44" xfId="0" applyFont="1" applyBorder="1" applyAlignment="1">
      <alignment horizontal="left"/>
    </xf>
    <xf numFmtId="0" fontId="3" fillId="0" borderId="0" xfId="0" applyFont="1" applyAlignment="1">
      <alignment horizontal="left"/>
    </xf>
    <xf numFmtId="0" fontId="3" fillId="0" borderId="54" xfId="0" applyFont="1" applyBorder="1" applyAlignment="1">
      <alignment horizontal="left"/>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0" xfId="0" applyFont="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20" borderId="21" xfId="0" applyFont="1" applyFill="1" applyBorder="1" applyAlignment="1">
      <alignment horizontal="left" wrapText="1"/>
    </xf>
    <xf numFmtId="0" fontId="30" fillId="20" borderId="21" xfId="0" quotePrefix="1" applyFont="1" applyFill="1" applyBorder="1" applyAlignment="1">
      <alignment wrapText="1"/>
    </xf>
    <xf numFmtId="0" fontId="30" fillId="20" borderId="0" xfId="0" quotePrefix="1" applyFont="1" applyFill="1" applyAlignment="1">
      <alignment wrapText="1"/>
    </xf>
    <xf numFmtId="0" fontId="31" fillId="20" borderId="21" xfId="0" applyFont="1" applyFill="1" applyBorder="1" applyAlignment="1">
      <alignment horizontal="center" vertical="center"/>
    </xf>
    <xf numFmtId="0" fontId="31" fillId="20" borderId="0" xfId="0" applyFont="1" applyFill="1" applyAlignment="1">
      <alignment horizontal="center" vertical="center"/>
    </xf>
    <xf numFmtId="0" fontId="32" fillId="20" borderId="21" xfId="0" quotePrefix="1" applyFont="1" applyFill="1" applyBorder="1" applyAlignment="1">
      <alignment horizontal="center" vertical="center" wrapText="1"/>
    </xf>
    <xf numFmtId="0" fontId="32" fillId="20"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20" borderId="62" xfId="0" applyFont="1" applyFill="1" applyBorder="1" applyAlignment="1">
      <alignment horizontal="center"/>
    </xf>
    <xf numFmtId="0" fontId="11" fillId="20" borderId="60" xfId="0" applyFont="1" applyFill="1" applyBorder="1" applyAlignment="1">
      <alignment horizontal="center"/>
    </xf>
    <xf numFmtId="4" fontId="5" fillId="18" borderId="45" xfId="1" applyNumberFormat="1" applyFont="1" applyFill="1" applyBorder="1" applyAlignment="1">
      <alignment horizontal="right"/>
    </xf>
    <xf numFmtId="4" fontId="5" fillId="18"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0" xfId="0" quotePrefix="1" applyFont="1" applyAlignment="1">
      <alignment horizontal="center"/>
    </xf>
    <xf numFmtId="0" fontId="3" fillId="0" borderId="49" xfId="0" quotePrefix="1" applyFont="1" applyBorder="1" applyAlignment="1">
      <alignment horizontal="center"/>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0" fontId="3" fillId="0" borderId="44" xfId="0" applyFont="1" applyBorder="1" applyAlignment="1">
      <alignment horizontal="center"/>
    </xf>
    <xf numFmtId="0" fontId="3" fillId="0" borderId="49"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0" xfId="0" quotePrefix="1" applyFont="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3" borderId="23" xfId="0" applyFont="1" applyFill="1" applyBorder="1" applyAlignment="1">
      <alignment horizontal="left"/>
    </xf>
    <xf numFmtId="0" fontId="27" fillId="23" borderId="16" xfId="0" applyFont="1" applyFill="1" applyBorder="1" applyAlignment="1">
      <alignment horizontal="left"/>
    </xf>
    <xf numFmtId="4" fontId="28" fillId="23" borderId="50" xfId="1" applyNumberFormat="1" applyFont="1" applyFill="1" applyBorder="1" applyAlignment="1">
      <alignment horizontal="center"/>
    </xf>
    <xf numFmtId="4" fontId="28" fillId="23" borderId="51" xfId="1" applyNumberFormat="1" applyFont="1" applyFill="1" applyBorder="1" applyAlignment="1">
      <alignment horizontal="center"/>
    </xf>
    <xf numFmtId="169" fontId="1" fillId="18" borderId="45" xfId="1" applyFill="1" applyBorder="1" applyAlignment="1" applyProtection="1">
      <alignment horizontal="center"/>
      <protection locked="0"/>
    </xf>
    <xf numFmtId="169" fontId="1" fillId="18" borderId="46" xfId="1" applyFill="1" applyBorder="1" applyAlignment="1" applyProtection="1">
      <alignment horizontal="center"/>
      <protection locked="0"/>
    </xf>
    <xf numFmtId="4" fontId="1" fillId="18" borderId="45" xfId="1" applyNumberFormat="1" applyFill="1" applyBorder="1" applyAlignment="1" applyProtection="1">
      <alignment horizontal="right"/>
    </xf>
    <xf numFmtId="4" fontId="1" fillId="18" borderId="46" xfId="1" applyNumberFormat="1" applyFill="1" applyBorder="1" applyAlignment="1" applyProtection="1">
      <alignment horizontal="right"/>
    </xf>
    <xf numFmtId="0" fontId="3" fillId="0" borderId="4" xfId="0" applyFont="1" applyBorder="1" applyAlignment="1">
      <alignment horizontal="center"/>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0" fillId="0" borderId="0" xfId="0" applyAlignment="1">
      <alignment horizontal="center"/>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20" borderId="23" xfId="0" applyNumberFormat="1" applyFont="1" applyFill="1" applyBorder="1" applyAlignment="1">
      <alignment horizontal="center"/>
    </xf>
    <xf numFmtId="165" fontId="22" fillId="20" borderId="16" xfId="0" applyNumberFormat="1" applyFont="1" applyFill="1" applyBorder="1" applyAlignment="1">
      <alignment horizontal="center"/>
    </xf>
    <xf numFmtId="165" fontId="22" fillId="20"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8" borderId="23" xfId="0" applyNumberFormat="1" applyFont="1" applyFill="1" applyBorder="1" applyAlignment="1" applyProtection="1">
      <alignment horizontal="center"/>
      <protection locked="0"/>
    </xf>
    <xf numFmtId="165" fontId="22" fillId="18" borderId="16" xfId="0" applyNumberFormat="1" applyFont="1" applyFill="1" applyBorder="1" applyAlignment="1" applyProtection="1">
      <alignment horizontal="center"/>
      <protection locked="0"/>
    </xf>
    <xf numFmtId="165" fontId="22" fillId="18" borderId="24" xfId="0" applyNumberFormat="1" applyFont="1" applyFill="1" applyBorder="1" applyAlignment="1" applyProtection="1">
      <alignment horizontal="center"/>
      <protection locked="0"/>
    </xf>
    <xf numFmtId="2" fontId="22" fillId="18" borderId="23" xfId="0" applyNumberFormat="1" applyFont="1" applyFill="1" applyBorder="1" applyAlignment="1" applyProtection="1">
      <alignment horizontal="center"/>
      <protection locked="0"/>
    </xf>
    <xf numFmtId="2" fontId="22" fillId="18" borderId="16" xfId="0" applyNumberFormat="1" applyFont="1" applyFill="1" applyBorder="1" applyAlignment="1" applyProtection="1">
      <alignment horizontal="center"/>
      <protection locked="0"/>
    </xf>
    <xf numFmtId="2" fontId="22" fillId="18"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165" fontId="1" fillId="18" borderId="32" xfId="0" applyNumberFormat="1" applyFont="1" applyFill="1" applyBorder="1" applyAlignment="1" applyProtection="1">
      <alignment horizontal="right"/>
      <protection locked="0"/>
    </xf>
    <xf numFmtId="165" fontId="1" fillId="18" borderId="33" xfId="0" applyNumberFormat="1" applyFont="1" applyFill="1" applyBorder="1" applyAlignment="1" applyProtection="1">
      <alignment horizontal="right"/>
      <protection locked="0"/>
    </xf>
    <xf numFmtId="165" fontId="1" fillId="18"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20" borderId="36" xfId="0" applyNumberFormat="1" applyFont="1" applyFill="1" applyBorder="1" applyAlignment="1">
      <alignment horizontal="center"/>
    </xf>
    <xf numFmtId="165" fontId="23" fillId="20" borderId="33" xfId="0" applyNumberFormat="1" applyFont="1" applyFill="1" applyBorder="1" applyAlignment="1">
      <alignment horizontal="center"/>
    </xf>
    <xf numFmtId="165" fontId="23" fillId="20"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18" borderId="32" xfId="0" applyNumberFormat="1" applyFont="1" applyFill="1" applyBorder="1" applyAlignment="1" applyProtection="1">
      <alignment horizontal="right"/>
      <protection locked="0"/>
    </xf>
    <xf numFmtId="165" fontId="22" fillId="18" borderId="33" xfId="0" applyNumberFormat="1" applyFont="1" applyFill="1" applyBorder="1" applyAlignment="1" applyProtection="1">
      <alignment horizontal="right"/>
      <protection locked="0"/>
    </xf>
    <xf numFmtId="165" fontId="22" fillId="18" borderId="34" xfId="0" applyNumberFormat="1" applyFont="1" applyFill="1" applyBorder="1" applyAlignment="1" applyProtection="1">
      <alignment horizontal="right"/>
      <protection locked="0"/>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8" borderId="32" xfId="0" applyNumberFormat="1" applyFont="1" applyFill="1" applyBorder="1" applyAlignment="1" applyProtection="1">
      <alignment horizontal="right"/>
      <protection locked="0"/>
    </xf>
    <xf numFmtId="2" fontId="22" fillId="18" borderId="33" xfId="0" applyNumberFormat="1" applyFont="1" applyFill="1" applyBorder="1" applyAlignment="1" applyProtection="1">
      <alignment horizontal="right"/>
      <protection locked="0"/>
    </xf>
    <xf numFmtId="2" fontId="22" fillId="18" borderId="34" xfId="0" applyNumberFormat="1" applyFont="1" applyFill="1" applyBorder="1" applyAlignment="1" applyProtection="1">
      <alignment horizontal="right"/>
      <protection locked="0"/>
    </xf>
    <xf numFmtId="165" fontId="23" fillId="20" borderId="10" xfId="0" applyNumberFormat="1" applyFont="1" applyFill="1" applyBorder="1" applyAlignment="1">
      <alignment horizontal="center"/>
    </xf>
    <xf numFmtId="165" fontId="23" fillId="20" borderId="11" xfId="0" applyNumberFormat="1" applyFont="1" applyFill="1" applyBorder="1" applyAlignment="1">
      <alignment horizontal="center"/>
    </xf>
    <xf numFmtId="165" fontId="23" fillId="20"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165" fontId="22" fillId="18" borderId="30" xfId="0" applyNumberFormat="1" applyFont="1" applyFill="1" applyBorder="1" applyAlignment="1" applyProtection="1">
      <alignment horizontal="right"/>
      <protection locked="0"/>
    </xf>
    <xf numFmtId="165" fontId="22" fillId="18" borderId="11" xfId="0" applyNumberFormat="1" applyFont="1" applyFill="1" applyBorder="1" applyAlignment="1" applyProtection="1">
      <alignment horizontal="right"/>
      <protection locked="0"/>
    </xf>
    <xf numFmtId="165" fontId="22" fillId="18" borderId="31" xfId="0" applyNumberFormat="1" applyFont="1" applyFill="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8" borderId="30" xfId="0" applyNumberFormat="1" applyFont="1" applyFill="1" applyBorder="1" applyAlignment="1" applyProtection="1">
      <alignment horizontal="right"/>
      <protection locked="0"/>
    </xf>
    <xf numFmtId="2" fontId="22" fillId="18" borderId="11" xfId="0" applyNumberFormat="1" applyFont="1" applyFill="1" applyBorder="1" applyAlignment="1" applyProtection="1">
      <alignment horizontal="right"/>
      <protection locked="0"/>
    </xf>
    <xf numFmtId="2" fontId="22" fillId="18" borderId="31" xfId="0" applyNumberFormat="1" applyFont="1" applyFill="1" applyBorder="1" applyAlignment="1" applyProtection="1">
      <alignment horizontal="right"/>
      <protection locked="0"/>
    </xf>
    <xf numFmtId="165" fontId="22" fillId="18" borderId="25" xfId="0" applyNumberFormat="1" applyFont="1" applyFill="1" applyBorder="1" applyAlignment="1" applyProtection="1">
      <alignment horizontal="right"/>
      <protection locked="0"/>
    </xf>
    <xf numFmtId="165" fontId="22" fillId="18" borderId="26" xfId="0" applyNumberFormat="1" applyFont="1" applyFill="1" applyBorder="1" applyAlignment="1" applyProtection="1">
      <alignment horizontal="right"/>
      <protection locked="0"/>
    </xf>
    <xf numFmtId="165" fontId="22" fillId="18" borderId="27" xfId="0" applyNumberFormat="1" applyFont="1" applyFill="1" applyBorder="1" applyAlignment="1" applyProtection="1">
      <alignment horizontal="right"/>
      <protection locked="0"/>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165" fontId="23" fillId="20" borderId="29" xfId="0" applyNumberFormat="1" applyFont="1" applyFill="1" applyBorder="1" applyAlignment="1">
      <alignment horizontal="center"/>
    </xf>
    <xf numFmtId="165" fontId="23" fillId="20" borderId="26" xfId="0" applyNumberFormat="1" applyFont="1" applyFill="1" applyBorder="1" applyAlignment="1">
      <alignment horizontal="center"/>
    </xf>
    <xf numFmtId="165" fontId="23" fillId="20"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2" fontId="22" fillId="18" borderId="25" xfId="0" applyNumberFormat="1" applyFont="1" applyFill="1" applyBorder="1" applyAlignment="1" applyProtection="1">
      <alignment horizontal="right"/>
      <protection locked="0"/>
    </xf>
    <xf numFmtId="2" fontId="22" fillId="18" borderId="26" xfId="0" applyNumberFormat="1" applyFont="1" applyFill="1" applyBorder="1" applyAlignment="1" applyProtection="1">
      <alignment horizontal="right"/>
      <protection locked="0"/>
    </xf>
    <xf numFmtId="2" fontId="22" fillId="18" borderId="27" xfId="0" applyNumberFormat="1" applyFont="1" applyFill="1" applyBorder="1" applyAlignment="1" applyProtection="1">
      <alignment horizontal="right"/>
      <protection locked="0"/>
    </xf>
    <xf numFmtId="165" fontId="1" fillId="18" borderId="30" xfId="0" applyNumberFormat="1" applyFont="1" applyFill="1" applyBorder="1" applyAlignment="1" applyProtection="1">
      <alignment horizontal="right"/>
      <protection locked="0"/>
    </xf>
    <xf numFmtId="165" fontId="1" fillId="18" borderId="11" xfId="0" applyNumberFormat="1" applyFont="1" applyFill="1" applyBorder="1" applyAlignment="1" applyProtection="1">
      <alignment horizontal="right"/>
      <protection locked="0"/>
    </xf>
    <xf numFmtId="165" fontId="1" fillId="18"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8" borderId="25" xfId="0" applyNumberFormat="1" applyFont="1" applyFill="1" applyBorder="1" applyAlignment="1" applyProtection="1">
      <alignment horizontal="right"/>
      <protection locked="0"/>
    </xf>
    <xf numFmtId="165" fontId="1" fillId="18" borderId="26" xfId="0" applyNumberFormat="1" applyFont="1" applyFill="1" applyBorder="1" applyAlignment="1" applyProtection="1">
      <alignment horizontal="right"/>
      <protection locked="0"/>
    </xf>
    <xf numFmtId="165" fontId="1" fillId="18" borderId="27" xfId="0" applyNumberFormat="1" applyFont="1" applyFill="1" applyBorder="1" applyAlignment="1" applyProtection="1">
      <alignment horizontal="right"/>
      <protection locked="0"/>
    </xf>
    <xf numFmtId="0" fontId="11" fillId="0" borderId="0" xfId="0" applyFont="1" applyAlignment="1">
      <alignment horizontal="left"/>
    </xf>
    <xf numFmtId="20" fontId="0" fillId="18" borderId="11" xfId="0" applyNumberFormat="1" applyFill="1" applyBorder="1" applyAlignment="1" applyProtection="1">
      <alignment horizontal="center"/>
      <protection locked="0"/>
    </xf>
    <xf numFmtId="0" fontId="0" fillId="18" borderId="11" xfId="0" applyFill="1" applyBorder="1" applyAlignment="1" applyProtection="1">
      <alignment horizontal="center"/>
      <protection locked="0"/>
    </xf>
    <xf numFmtId="0" fontId="60" fillId="18" borderId="19" xfId="0" applyFont="1" applyFill="1" applyBorder="1" applyAlignment="1" applyProtection="1">
      <alignment horizontal="center"/>
      <protection locked="0"/>
    </xf>
    <xf numFmtId="0" fontId="61" fillId="18" borderId="19" xfId="0" applyFont="1" applyFill="1" applyBorder="1" applyAlignment="1" applyProtection="1">
      <alignment horizontal="center"/>
      <protection locked="0"/>
    </xf>
    <xf numFmtId="0" fontId="3" fillId="18" borderId="0" xfId="0" applyFont="1" applyFill="1" applyAlignment="1">
      <alignment horizontal="left"/>
    </xf>
    <xf numFmtId="20" fontId="1" fillId="18" borderId="11" xfId="0" applyNumberFormat="1" applyFont="1" applyFill="1" applyBorder="1" applyAlignment="1" applyProtection="1">
      <alignment horizontal="center"/>
      <protection locked="0"/>
    </xf>
    <xf numFmtId="0" fontId="11" fillId="0" borderId="23" xfId="0" quotePrefix="1" applyFont="1" applyBorder="1" applyAlignment="1">
      <alignment horizontal="center"/>
    </xf>
    <xf numFmtId="0" fontId="11" fillId="0" borderId="16" xfId="0"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1" fillId="0" borderId="24" xfId="0" applyFont="1" applyBorder="1" applyAlignment="1">
      <alignment horizontal="center"/>
    </xf>
    <xf numFmtId="0" fontId="1" fillId="18" borderId="11" xfId="0" applyFont="1" applyFill="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0" fontId="63" fillId="18" borderId="11" xfId="0" applyFont="1" applyFill="1" applyBorder="1" applyAlignment="1" applyProtection="1">
      <alignment horizontal="center"/>
      <protection locked="0"/>
    </xf>
    <xf numFmtId="0" fontId="0" fillId="0" borderId="16" xfId="0" applyBorder="1" applyAlignment="1">
      <alignment horizontal="center"/>
    </xf>
    <xf numFmtId="0" fontId="5" fillId="18" borderId="16" xfId="0" applyFont="1" applyFill="1" applyBorder="1" applyAlignment="1" applyProtection="1">
      <alignment horizontal="center"/>
      <protection locked="0"/>
    </xf>
    <xf numFmtId="0" fontId="9" fillId="18" borderId="16" xfId="0" applyFont="1" applyFill="1" applyBorder="1" applyAlignment="1" applyProtection="1">
      <alignment horizontal="center"/>
      <protection locked="0"/>
    </xf>
    <xf numFmtId="0" fontId="0" fillId="18" borderId="0" xfId="0" applyFill="1" applyAlignment="1">
      <alignment horizontal="center"/>
    </xf>
    <xf numFmtId="0" fontId="11" fillId="0" borderId="0" xfId="0" applyFont="1" applyAlignment="1">
      <alignment horizontal="center"/>
    </xf>
    <xf numFmtId="14" fontId="0" fillId="18" borderId="8" xfId="0" applyNumberFormat="1" applyFill="1" applyBorder="1" applyAlignment="1" applyProtection="1">
      <alignment horizontal="center"/>
      <protection locked="0"/>
    </xf>
    <xf numFmtId="0" fontId="0" fillId="18" borderId="8" xfId="0" applyFill="1" applyBorder="1" applyAlignment="1" applyProtection="1">
      <alignment horizontal="center"/>
      <protection locked="0"/>
    </xf>
    <xf numFmtId="0" fontId="60" fillId="18" borderId="17" xfId="0" applyFont="1" applyFill="1" applyBorder="1" applyAlignment="1" applyProtection="1">
      <alignment horizontal="center"/>
      <protection locked="0"/>
    </xf>
    <xf numFmtId="14" fontId="1" fillId="18" borderId="8" xfId="0" applyNumberFormat="1" applyFont="1" applyFill="1" applyBorder="1" applyAlignment="1" applyProtection="1">
      <alignment horizontal="center"/>
      <protection locked="0"/>
    </xf>
    <xf numFmtId="0" fontId="1" fillId="18" borderId="8" xfId="0" applyFont="1" applyFill="1" applyBorder="1" applyAlignment="1" applyProtection="1">
      <alignment horizontal="center"/>
      <protection locked="0"/>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2" xfId="0"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8" fillId="0" borderId="10" xfId="0" quotePrefix="1" applyFont="1" applyBorder="1" applyAlignment="1">
      <alignment horizontal="left"/>
    </xf>
    <xf numFmtId="0" fontId="8" fillId="0" borderId="1"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0" fontId="0" fillId="0" borderId="8" xfId="0" applyBorder="1" applyAlignment="1">
      <alignment horizontal="right"/>
    </xf>
    <xf numFmtId="0" fontId="0" fillId="0" borderId="8" xfId="0" applyBorder="1" applyAlignment="1">
      <alignment horizont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2" fontId="0" fillId="0" borderId="8" xfId="0" applyNumberFormat="1" applyBorder="1" applyAlignment="1">
      <alignment horizontal="right"/>
    </xf>
    <xf numFmtId="0" fontId="8" fillId="0" borderId="4" xfId="0" quotePrefix="1" applyFont="1" applyBorder="1" applyAlignment="1">
      <alignment horizontal="right"/>
    </xf>
    <xf numFmtId="0" fontId="8" fillId="0" borderId="0" xfId="0" quotePrefix="1" applyFont="1" applyAlignment="1">
      <alignment horizontal="right"/>
    </xf>
    <xf numFmtId="0" fontId="0" fillId="0" borderId="2" xfId="0" applyBorder="1" applyAlignment="1">
      <alignment horizontal="center"/>
    </xf>
    <xf numFmtId="0" fontId="0" fillId="0" borderId="3" xfId="0" applyBorder="1" applyAlignment="1">
      <alignment horizontal="center"/>
    </xf>
    <xf numFmtId="0" fontId="0" fillId="0" borderId="5" xfId="0" applyBorder="1" applyAlignment="1">
      <alignment horizontal="center"/>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5" xfId="0"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 fillId="0" borderId="11" xfId="0" applyFont="1" applyBorder="1" applyAlignment="1">
      <alignment horizontal="right"/>
    </xf>
    <xf numFmtId="4" fontId="3" fillId="0" borderId="10" xfId="0" applyNumberFormat="1" applyFont="1" applyBorder="1" applyAlignment="1">
      <alignment horizontal="right"/>
    </xf>
    <xf numFmtId="0" fontId="3" fillId="0" borderId="10"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8" fillId="0" borderId="0" xfId="0" quotePrefix="1" applyFont="1" applyAlignment="1">
      <alignment horizontal="center"/>
    </xf>
    <xf numFmtId="0" fontId="17" fillId="0" borderId="0" xfId="0" applyFont="1" applyAlignment="1">
      <alignment horizontal="right"/>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6" fontId="3" fillId="0" borderId="10"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20" fontId="3" fillId="0" borderId="0" xfId="0" applyNumberFormat="1" applyFont="1" applyAlignment="1">
      <alignment horizontal="left"/>
    </xf>
    <xf numFmtId="20" fontId="3" fillId="0" borderId="0" xfId="0" applyNumberFormat="1" applyFont="1" applyAlignment="1">
      <alignment horizontal="center"/>
    </xf>
    <xf numFmtId="0" fontId="8" fillId="0" borderId="4" xfId="0" quotePrefix="1" applyFont="1" applyBorder="1" applyAlignment="1">
      <alignment horizontal="center"/>
    </xf>
    <xf numFmtId="0" fontId="42" fillId="19" borderId="4" xfId="0" quotePrefix="1" applyFont="1" applyFill="1" applyBorder="1" applyAlignment="1">
      <alignment horizontal="left" vertical="top" wrapText="1"/>
    </xf>
    <xf numFmtId="0" fontId="42" fillId="19" borderId="0" xfId="0" applyFont="1" applyFill="1" applyAlignment="1">
      <alignment vertical="top" wrapText="1"/>
    </xf>
    <xf numFmtId="0" fontId="42" fillId="19" borderId="5" xfId="0" applyFont="1" applyFill="1" applyBorder="1" applyAlignment="1">
      <alignment vertical="top" wrapText="1"/>
    </xf>
    <xf numFmtId="0" fontId="42" fillId="19" borderId="4" xfId="0" applyFont="1" applyFill="1" applyBorder="1" applyAlignment="1">
      <alignment vertical="top" wrapText="1"/>
    </xf>
    <xf numFmtId="0" fontId="42" fillId="19" borderId="7" xfId="0" applyFont="1" applyFill="1" applyBorder="1" applyAlignment="1">
      <alignment vertical="top" wrapText="1"/>
    </xf>
    <xf numFmtId="0" fontId="42" fillId="19" borderId="8" xfId="0" applyFont="1" applyFill="1" applyBorder="1" applyAlignment="1">
      <alignment vertical="top" wrapText="1"/>
    </xf>
    <xf numFmtId="0" fontId="42" fillId="19" borderId="9" xfId="0" applyFont="1" applyFill="1" applyBorder="1" applyAlignment="1">
      <alignment vertical="top" wrapText="1"/>
    </xf>
    <xf numFmtId="0" fontId="42" fillId="19" borderId="8" xfId="0" applyFont="1" applyFill="1" applyBorder="1" applyAlignment="1" applyProtection="1">
      <alignment horizontal="left"/>
      <protection locked="0"/>
    </xf>
    <xf numFmtId="0" fontId="42" fillId="19" borderId="9" xfId="0" applyFont="1" applyFill="1" applyBorder="1" applyAlignment="1" applyProtection="1">
      <alignment horizontal="left"/>
      <protection locked="0"/>
    </xf>
    <xf numFmtId="0" fontId="41" fillId="19" borderId="0" xfId="0" applyFont="1" applyFill="1" applyAlignment="1" applyProtection="1">
      <alignment horizontal="left"/>
      <protection locked="0"/>
    </xf>
    <xf numFmtId="49" fontId="38" fillId="19" borderId="8" xfId="2" applyNumberFormat="1" applyFill="1" applyBorder="1" applyAlignment="1" applyProtection="1">
      <alignment horizontal="left"/>
      <protection locked="0"/>
    </xf>
    <xf numFmtId="49" fontId="41" fillId="19" borderId="8" xfId="0" applyNumberFormat="1" applyFont="1" applyFill="1" applyBorder="1" applyAlignment="1" applyProtection="1">
      <alignment horizontal="left"/>
      <protection locked="0"/>
    </xf>
    <xf numFmtId="0" fontId="6" fillId="0" borderId="0" xfId="0" quotePrefix="1" applyFont="1" applyAlignment="1">
      <alignment horizontal="left"/>
    </xf>
    <xf numFmtId="0" fontId="39" fillId="19" borderId="0" xfId="0" applyFont="1" applyFill="1" applyAlignment="1" applyProtection="1">
      <alignment horizontal="center"/>
      <protection locked="0"/>
    </xf>
    <xf numFmtId="169" fontId="39" fillId="18" borderId="10" xfId="1" applyFont="1" applyFill="1" applyBorder="1" applyAlignment="1" applyProtection="1">
      <alignment horizontal="center"/>
      <protection locked="0"/>
    </xf>
    <xf numFmtId="169" fontId="39" fillId="18" borderId="11" xfId="1" applyFont="1" applyFill="1" applyBorder="1" applyAlignment="1" applyProtection="1">
      <alignment horizontal="center"/>
      <protection locked="0"/>
    </xf>
    <xf numFmtId="169" fontId="39" fillId="18" borderId="12" xfId="1" applyFont="1" applyFill="1" applyBorder="1" applyAlignment="1" applyProtection="1">
      <alignment horizontal="center"/>
      <protection locked="0"/>
    </xf>
    <xf numFmtId="175" fontId="39" fillId="18" borderId="10" xfId="1" applyNumberFormat="1" applyFont="1" applyFill="1" applyBorder="1" applyAlignment="1" applyProtection="1">
      <alignment horizontal="center"/>
      <protection locked="0"/>
    </xf>
    <xf numFmtId="175" fontId="39" fillId="18" borderId="11" xfId="1" applyNumberFormat="1" applyFont="1" applyFill="1" applyBorder="1" applyAlignment="1" applyProtection="1">
      <alignment horizontal="center"/>
      <protection locked="0"/>
    </xf>
    <xf numFmtId="175" fontId="39" fillId="18" borderId="12" xfId="1" applyNumberFormat="1" applyFont="1" applyFill="1" applyBorder="1" applyAlignment="1" applyProtection="1">
      <alignment horizontal="center"/>
      <protection locked="0"/>
    </xf>
    <xf numFmtId="0" fontId="42" fillId="19" borderId="4" xfId="0" applyFont="1" applyFill="1" applyBorder="1" applyAlignment="1">
      <alignment horizontal="left"/>
    </xf>
    <xf numFmtId="0" fontId="39" fillId="19" borderId="0" xfId="0" applyFont="1" applyFill="1" applyAlignment="1">
      <alignment horizontal="left"/>
    </xf>
    <xf numFmtId="0" fontId="39" fillId="19" borderId="5" xfId="0" applyFont="1" applyFill="1" applyBorder="1" applyAlignment="1">
      <alignment horizontal="left"/>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39" fillId="19" borderId="10" xfId="0" applyFont="1" applyFill="1" applyBorder="1" applyAlignment="1" applyProtection="1">
      <alignment horizontal="left"/>
      <protection locked="0"/>
    </xf>
    <xf numFmtId="0" fontId="39" fillId="19" borderId="11" xfId="0" applyFont="1" applyFill="1" applyBorder="1" applyAlignment="1" applyProtection="1">
      <alignment horizontal="left"/>
      <protection locked="0"/>
    </xf>
    <xf numFmtId="0" fontId="39" fillId="19" borderId="12" xfId="0" applyFont="1" applyFill="1" applyBorder="1" applyAlignment="1" applyProtection="1">
      <alignment horizontal="left"/>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9" borderId="10" xfId="0" applyFont="1" applyFill="1" applyBorder="1" applyAlignment="1" applyProtection="1">
      <alignment horizontal="left"/>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40" fillId="18" borderId="10" xfId="0" applyFont="1" applyFill="1" applyBorder="1" applyAlignment="1" applyProtection="1">
      <alignment horizontal="center"/>
      <protection locked="0"/>
    </xf>
    <xf numFmtId="0" fontId="40" fillId="18" borderId="11" xfId="0" applyFont="1" applyFill="1" applyBorder="1" applyAlignment="1" applyProtection="1">
      <alignment horizontal="center"/>
      <protection locked="0"/>
    </xf>
    <xf numFmtId="0" fontId="40" fillId="18" borderId="12" xfId="0" applyFont="1" applyFill="1" applyBorder="1" applyAlignment="1" applyProtection="1">
      <alignment horizontal="center"/>
      <protection locked="0"/>
    </xf>
    <xf numFmtId="0" fontId="40" fillId="18" borderId="7" xfId="0" applyFont="1" applyFill="1" applyBorder="1" applyAlignment="1" applyProtection="1">
      <alignment horizontal="center"/>
      <protection locked="0"/>
    </xf>
    <xf numFmtId="0" fontId="40" fillId="18" borderId="8" xfId="0" applyFont="1" applyFill="1" applyBorder="1" applyAlignment="1" applyProtection="1">
      <alignment horizontal="center"/>
      <protection locked="0"/>
    </xf>
    <xf numFmtId="0" fontId="40" fillId="18" borderId="9" xfId="0" applyFont="1" applyFill="1" applyBorder="1" applyAlignment="1" applyProtection="1">
      <alignment horizontal="center"/>
      <protection locked="0"/>
    </xf>
    <xf numFmtId="0" fontId="41" fillId="19" borderId="7" xfId="0" applyFont="1" applyFill="1" applyBorder="1" applyAlignment="1" applyProtection="1">
      <alignment horizontal="center"/>
      <protection locked="0"/>
    </xf>
    <xf numFmtId="0" fontId="41" fillId="19" borderId="9" xfId="0" applyFont="1" applyFill="1" applyBorder="1" applyAlignment="1" applyProtection="1">
      <alignment horizontal="center"/>
      <protection locked="0"/>
    </xf>
    <xf numFmtId="0" fontId="62" fillId="19" borderId="10" xfId="0" applyFont="1" applyFill="1" applyBorder="1" applyAlignment="1" applyProtection="1">
      <alignment horizontal="center"/>
      <protection locked="0"/>
    </xf>
    <xf numFmtId="0" fontId="62" fillId="19" borderId="11" xfId="0" applyFont="1" applyFill="1" applyBorder="1" applyAlignment="1" applyProtection="1">
      <alignment horizontal="center"/>
      <protection locked="0"/>
    </xf>
    <xf numFmtId="0" fontId="62" fillId="19" borderId="12" xfId="0" applyFont="1" applyFill="1" applyBorder="1" applyAlignment="1" applyProtection="1">
      <alignment horizontal="center"/>
      <protection locked="0"/>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5" fillId="18" borderId="8" xfId="0" applyFont="1" applyFill="1" applyBorder="1" applyAlignment="1">
      <alignment horizontal="center"/>
    </xf>
    <xf numFmtId="0" fontId="9" fillId="18"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9" borderId="10" xfId="0" applyFont="1" applyFill="1" applyBorder="1" applyAlignment="1" applyProtection="1">
      <alignment horizontal="center"/>
      <protection locked="0"/>
    </xf>
    <xf numFmtId="0" fontId="39" fillId="19" borderId="11" xfId="0" applyFont="1" applyFill="1" applyBorder="1" applyAlignment="1" applyProtection="1">
      <alignment horizontal="center"/>
      <protection locked="0"/>
    </xf>
    <xf numFmtId="0" fontId="39" fillId="19" borderId="12" xfId="0" applyFont="1" applyFill="1" applyBorder="1" applyAlignment="1" applyProtection="1">
      <alignment horizontal="center"/>
      <protection locked="0"/>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0" borderId="5" xfId="0" applyFont="1" applyBorder="1" applyAlignment="1">
      <alignment horizontal="center"/>
    </xf>
    <xf numFmtId="0" fontId="3" fillId="0" borderId="8" xfId="0" applyFont="1" applyBorder="1" applyAlignment="1">
      <alignment horizontal="center"/>
    </xf>
    <xf numFmtId="0" fontId="3" fillId="2" borderId="8" xfId="0" applyFont="1" applyFill="1" applyBorder="1" applyAlignment="1">
      <alignment horizontal="center"/>
    </xf>
    <xf numFmtId="0" fontId="8" fillId="0" borderId="5" xfId="0" applyFont="1" applyBorder="1" applyAlignment="1">
      <alignment horizontal="right"/>
    </xf>
    <xf numFmtId="0" fontId="3" fillId="0" borderId="7" xfId="0" applyFont="1" applyBorder="1" applyAlignment="1">
      <alignment horizontal="center"/>
    </xf>
    <xf numFmtId="0" fontId="3" fillId="0" borderId="9" xfId="0" applyFont="1" applyBorder="1" applyAlignment="1">
      <alignment horizontal="center"/>
    </xf>
    <xf numFmtId="0" fontId="3" fillId="0" borderId="1"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0" fontId="3" fillId="0" borderId="1" xfId="0" applyFont="1" applyBorder="1" applyAlignment="1">
      <alignment horizontal="left"/>
    </xf>
    <xf numFmtId="0" fontId="0" fillId="0" borderId="8" xfId="0" applyBorder="1"/>
    <xf numFmtId="0" fontId="0" fillId="0" borderId="9" xfId="0" applyBorder="1"/>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3" fillId="18" borderId="0" xfId="0" applyFont="1" applyFill="1" applyAlignment="1" applyProtection="1">
      <alignment horizontal="left"/>
      <protection locked="0"/>
    </xf>
    <xf numFmtId="0" fontId="8" fillId="0" borderId="33" xfId="0" applyFont="1" applyBorder="1" applyAlignment="1">
      <alignment horizontal="left"/>
    </xf>
    <xf numFmtId="169" fontId="3" fillId="0" borderId="33" xfId="1" applyFont="1" applyBorder="1" applyAlignment="1">
      <alignment horizontal="center"/>
    </xf>
    <xf numFmtId="169" fontId="3" fillId="0" borderId="34" xfId="1" applyFont="1" applyBorder="1" applyAlignment="1">
      <alignment horizontal="center"/>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8" borderId="7" xfId="1" applyNumberFormat="1" applyFont="1" applyFill="1" applyBorder="1" applyAlignment="1" applyProtection="1">
      <alignment horizontal="right"/>
      <protection locked="0"/>
    </xf>
    <xf numFmtId="175" fontId="3" fillId="18" borderId="8" xfId="1" applyNumberFormat="1" applyFont="1" applyFill="1" applyBorder="1" applyAlignment="1" applyProtection="1">
      <alignment horizontal="right"/>
      <protection locked="0"/>
    </xf>
    <xf numFmtId="175" fontId="3" fillId="18"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12" borderId="4" xfId="1" applyFont="1" applyFill="1" applyBorder="1" applyAlignment="1" applyProtection="1">
      <alignment horizontal="right"/>
      <protection locked="0"/>
    </xf>
    <xf numFmtId="169" fontId="3" fillId="12" borderId="0" xfId="1" applyFont="1" applyFill="1" applyBorder="1" applyAlignment="1" applyProtection="1">
      <alignment horizontal="right"/>
      <protection locked="0"/>
    </xf>
    <xf numFmtId="169" fontId="3" fillId="12" borderId="5" xfId="1" applyFont="1" applyFill="1" applyBorder="1" applyAlignment="1" applyProtection="1">
      <alignment horizontal="right"/>
      <protection locked="0"/>
    </xf>
    <xf numFmtId="175" fontId="3" fillId="12" borderId="4" xfId="1" applyNumberFormat="1" applyFont="1" applyFill="1" applyBorder="1" applyAlignment="1" applyProtection="1">
      <alignment horizontal="right"/>
      <protection locked="0"/>
    </xf>
    <xf numFmtId="175" fontId="3" fillId="12" borderId="0" xfId="1" applyNumberFormat="1" applyFont="1" applyFill="1" applyBorder="1" applyAlignment="1" applyProtection="1">
      <alignment horizontal="right"/>
      <protection locked="0"/>
    </xf>
    <xf numFmtId="175" fontId="3" fillId="12" borderId="5" xfId="1" applyNumberFormat="1" applyFont="1" applyFill="1" applyBorder="1" applyAlignment="1" applyProtection="1">
      <alignment horizontal="right"/>
      <protection locked="0"/>
    </xf>
    <xf numFmtId="169" fontId="3" fillId="12" borderId="49" xfId="1" applyFont="1" applyFill="1" applyBorder="1" applyAlignment="1" applyProtection="1">
      <alignment horizontal="right"/>
      <protection locked="0"/>
    </xf>
    <xf numFmtId="0" fontId="3" fillId="12" borderId="44" xfId="0" applyFont="1" applyFill="1" applyBorder="1" applyAlignment="1" applyProtection="1">
      <alignment horizontal="left"/>
      <protection locked="0"/>
    </xf>
    <xf numFmtId="0" fontId="3" fillId="12" borderId="0" xfId="0" applyFont="1" applyFill="1" applyAlignment="1" applyProtection="1">
      <alignment horizontal="left"/>
      <protection locked="0"/>
    </xf>
    <xf numFmtId="0" fontId="3" fillId="12" borderId="5" xfId="0" applyFont="1" applyFill="1" applyBorder="1" applyAlignment="1" applyProtection="1">
      <alignment horizontal="left"/>
      <protection locked="0"/>
    </xf>
    <xf numFmtId="169" fontId="3" fillId="12" borderId="4" xfId="1" applyFont="1" applyFill="1" applyBorder="1" applyAlignment="1" applyProtection="1">
      <alignment horizontal="center"/>
      <protection locked="0"/>
    </xf>
    <xf numFmtId="169" fontId="3" fillId="12" borderId="0" xfId="1" applyFont="1" applyFill="1" applyBorder="1" applyAlignment="1" applyProtection="1">
      <alignment horizontal="center"/>
      <protection locked="0"/>
    </xf>
    <xf numFmtId="169" fontId="3" fillId="12" borderId="5" xfId="1" applyFont="1" applyFill="1" applyBorder="1" applyAlignment="1" applyProtection="1">
      <alignment horizontal="center"/>
      <protection locked="0"/>
    </xf>
    <xf numFmtId="169" fontId="3" fillId="12" borderId="4" xfId="1" applyFont="1" applyFill="1" applyBorder="1" applyAlignment="1" applyProtection="1">
      <alignment horizontal="center"/>
    </xf>
    <xf numFmtId="169" fontId="3" fillId="12" borderId="0" xfId="1" applyFont="1" applyFill="1" applyBorder="1" applyAlignment="1" applyProtection="1">
      <alignment horizontal="center"/>
    </xf>
    <xf numFmtId="169" fontId="3" fillId="12" borderId="5" xfId="1" applyFont="1" applyFill="1" applyBorder="1" applyAlignment="1" applyProtection="1">
      <alignment horizontal="center"/>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5" fontId="3" fillId="18" borderId="4" xfId="1" applyNumberFormat="1" applyFont="1" applyFill="1" applyBorder="1" applyAlignment="1" applyProtection="1">
      <alignment horizontal="right"/>
      <protection locked="0"/>
    </xf>
    <xf numFmtId="175" fontId="3" fillId="18" borderId="0" xfId="1" applyNumberFormat="1" applyFont="1" applyFill="1" applyBorder="1" applyAlignment="1" applyProtection="1">
      <alignment horizontal="right"/>
      <protection locked="0"/>
    </xf>
    <xf numFmtId="175" fontId="3" fillId="18"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69" fontId="3" fillId="6" borderId="5" xfId="1" applyFont="1" applyFill="1" applyBorder="1" applyAlignment="1" applyProtection="1">
      <alignment horizontal="right"/>
      <protection locked="0"/>
    </xf>
    <xf numFmtId="169" fontId="3" fillId="0" borderId="1" xfId="1" applyFont="1" applyBorder="1" applyAlignment="1" applyProtection="1">
      <alignment horizontal="center"/>
    </xf>
    <xf numFmtId="169" fontId="3" fillId="0" borderId="2" xfId="1" applyFont="1" applyBorder="1" applyAlignment="1" applyProtection="1">
      <alignment horizontal="center"/>
    </xf>
    <xf numFmtId="169" fontId="3" fillId="0" borderId="3" xfId="1" applyFont="1" applyBorder="1" applyAlignment="1" applyProtection="1">
      <alignment horizontal="center"/>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75" fontId="3" fillId="18" borderId="1" xfId="1" applyNumberFormat="1" applyFont="1" applyFill="1" applyBorder="1" applyAlignment="1" applyProtection="1">
      <alignment horizontal="right"/>
      <protection locked="0"/>
    </xf>
    <xf numFmtId="175" fontId="3" fillId="18" borderId="2" xfId="1" applyNumberFormat="1" applyFont="1" applyFill="1" applyBorder="1" applyAlignment="1" applyProtection="1">
      <alignment horizontal="right"/>
      <protection locked="0"/>
    </xf>
    <xf numFmtId="175" fontId="3" fillId="18" borderId="3" xfId="1" applyNumberFormat="1" applyFont="1" applyFill="1" applyBorder="1" applyAlignment="1" applyProtection="1">
      <alignment horizontal="right"/>
      <protection locked="0"/>
    </xf>
    <xf numFmtId="0" fontId="36" fillId="16" borderId="25" xfId="0" applyFont="1" applyFill="1" applyBorder="1" applyAlignment="1">
      <alignment horizontal="center"/>
    </xf>
    <xf numFmtId="0" fontId="36" fillId="16" borderId="26" xfId="0" applyFont="1" applyFill="1" applyBorder="1" applyAlignment="1">
      <alignment horizontal="center"/>
    </xf>
    <xf numFmtId="0" fontId="36" fillId="16" borderId="27" xfId="0" applyFont="1" applyFill="1" applyBorder="1" applyAlignment="1">
      <alignment horizontal="center"/>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 fillId="18" borderId="0" xfId="0" applyFont="1" applyFill="1" applyAlignment="1" applyProtection="1">
      <alignment horizontal="center"/>
      <protection locked="0"/>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0" borderId="6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171" fontId="3" fillId="12" borderId="4" xfId="1" applyNumberFormat="1" applyFont="1" applyFill="1" applyBorder="1" applyAlignment="1" applyProtection="1">
      <alignment horizontal="right"/>
      <protection locked="0"/>
    </xf>
    <xf numFmtId="171" fontId="3" fillId="12" borderId="0" xfId="1" applyNumberFormat="1" applyFont="1" applyFill="1" applyBorder="1" applyAlignment="1" applyProtection="1">
      <alignment horizontal="right"/>
      <protection locked="0"/>
    </xf>
    <xf numFmtId="171" fontId="3" fillId="12" borderId="5" xfId="1" applyNumberFormat="1" applyFont="1" applyFill="1" applyBorder="1" applyAlignment="1" applyProtection="1">
      <alignment horizontal="right"/>
      <protection locked="0"/>
    </xf>
    <xf numFmtId="169" fontId="3" fillId="12" borderId="4" xfId="1" applyFont="1" applyFill="1" applyBorder="1" applyAlignment="1">
      <alignment horizontal="right"/>
    </xf>
    <xf numFmtId="169" fontId="3" fillId="12" borderId="0" xfId="1" applyFont="1" applyFill="1" applyBorder="1" applyAlignment="1">
      <alignment horizontal="right"/>
    </xf>
    <xf numFmtId="169" fontId="3" fillId="12" borderId="49" xfId="1" applyFont="1" applyFill="1" applyBorder="1" applyAlignment="1">
      <alignment horizontal="right"/>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169" fontId="3" fillId="12" borderId="4" xfId="1" applyFont="1" applyFill="1" applyBorder="1" applyAlignment="1" applyProtection="1">
      <alignment horizontal="right"/>
    </xf>
    <xf numFmtId="169" fontId="3" fillId="12" borderId="0" xfId="1" applyFont="1" applyFill="1" applyBorder="1" applyAlignment="1" applyProtection="1">
      <alignment horizontal="right"/>
    </xf>
    <xf numFmtId="169" fontId="3" fillId="12" borderId="49" xfId="1" applyFont="1" applyFill="1" applyBorder="1" applyAlignment="1" applyProtection="1">
      <alignment horizontal="right"/>
    </xf>
    <xf numFmtId="0" fontId="3" fillId="12" borderId="44" xfId="0" applyFont="1" applyFill="1" applyBorder="1" applyAlignment="1">
      <alignment horizontal="left"/>
    </xf>
    <xf numFmtId="0" fontId="3" fillId="12" borderId="0" xfId="0" applyFont="1" applyFill="1" applyAlignment="1">
      <alignment horizontal="left"/>
    </xf>
    <xf numFmtId="0" fontId="3" fillId="12" borderId="5" xfId="0" applyFont="1" applyFill="1" applyBorder="1" applyAlignment="1">
      <alignment horizontal="left"/>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0" fontId="48" fillId="0" borderId="0" xfId="4" applyFont="1" applyAlignment="1">
      <alignment horizontal="center"/>
    </xf>
    <xf numFmtId="0" fontId="3" fillId="0" borderId="71" xfId="0" applyFont="1" applyBorder="1" applyAlignment="1">
      <alignment horizontal="left"/>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6" fillId="16" borderId="30" xfId="0" applyFont="1" applyFill="1" applyBorder="1" applyAlignment="1">
      <alignment horizontal="center"/>
    </xf>
    <xf numFmtId="0" fontId="36" fillId="16" borderId="11" xfId="0" applyFont="1" applyFill="1" applyBorder="1" applyAlignment="1">
      <alignment horizontal="center"/>
    </xf>
    <xf numFmtId="0" fontId="36" fillId="16" borderId="31" xfId="0" applyFont="1" applyFill="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8" fillId="0" borderId="16" xfId="0" applyFont="1" applyBorder="1" applyAlignment="1">
      <alignment horizontal="center"/>
    </xf>
    <xf numFmtId="0" fontId="5" fillId="0" borderId="60" xfId="0" applyFont="1" applyBorder="1" applyAlignment="1">
      <alignment horizontal="left"/>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87630</xdr:colOff>
      <xdr:row>6</xdr:row>
      <xdr:rowOff>87630</xdr:rowOff>
    </xdr:from>
    <xdr:to>
      <xdr:col>4</xdr:col>
      <xdr:colOff>125730</xdr:colOff>
      <xdr:row>10</xdr:row>
      <xdr:rowOff>20955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605790" y="1120140"/>
          <a:ext cx="209550" cy="611505"/>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5025390" y="1120140"/>
          <a:ext cx="209550" cy="621030"/>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9799</xdr:colOff>
      <xdr:row>35</xdr:row>
      <xdr:rowOff>165570</xdr:rowOff>
    </xdr:from>
    <xdr:to>
      <xdr:col>42</xdr:col>
      <xdr:colOff>93460</xdr:colOff>
      <xdr:row>37</xdr:row>
      <xdr:rowOff>133657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54505" y="6037452"/>
          <a:ext cx="5794851" cy="34527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xml:space="preserve">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19" t="s">
        <v>1</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+Draft!AN3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+Draft!AN4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8"/>
      <c r="B6" s="542" t="s">
        <v>6</v>
      </c>
      <c r="C6" s="542"/>
      <c r="D6" s="542"/>
      <c r="E6" s="542"/>
      <c r="F6" s="542"/>
      <c r="G6" s="542"/>
      <c r="H6" s="542"/>
      <c r="I6" s="542"/>
      <c r="J6" s="542"/>
      <c r="K6" s="542"/>
      <c r="L6" s="542"/>
      <c r="M6" s="542"/>
      <c r="N6" s="542"/>
      <c r="O6" s="542"/>
      <c r="P6" s="542"/>
      <c r="Q6" s="542"/>
      <c r="R6" s="542"/>
      <c r="S6" s="542"/>
      <c r="T6" s="542"/>
      <c r="U6" s="542"/>
      <c r="V6" s="542"/>
      <c r="W6" s="542"/>
      <c r="X6" s="542"/>
      <c r="Y6" s="542"/>
      <c r="Z6" s="542"/>
      <c r="AA6" s="542"/>
      <c r="AB6" s="542"/>
      <c r="AC6" s="542"/>
      <c r="AD6" s="542"/>
      <c r="AE6" s="542"/>
      <c r="AF6" s="542"/>
      <c r="AG6" s="542"/>
      <c r="AH6" s="542"/>
      <c r="AI6" s="542"/>
      <c r="AJ6" s="542"/>
      <c r="AK6" s="542"/>
      <c r="AL6" s="542"/>
      <c r="AM6" s="542"/>
      <c r="AN6" s="542"/>
      <c r="AO6" s="543"/>
    </row>
    <row r="7" spans="1:41" x14ac:dyDescent="0.25">
      <c r="A7" s="6"/>
      <c r="B7" s="540" t="s">
        <v>7</v>
      </c>
      <c r="C7" s="540"/>
      <c r="D7" s="540"/>
      <c r="E7" s="540"/>
      <c r="F7" s="540"/>
      <c r="G7" s="540"/>
      <c r="H7" s="540"/>
      <c r="I7" s="540"/>
      <c r="J7" s="540"/>
      <c r="K7" s="540"/>
      <c r="L7" s="540"/>
      <c r="M7" s="540"/>
      <c r="N7" s="540"/>
      <c r="O7" s="540"/>
      <c r="P7" s="540"/>
      <c r="Q7" s="540"/>
      <c r="R7" s="540"/>
      <c r="S7" s="540"/>
      <c r="T7" s="540"/>
      <c r="U7" s="540"/>
      <c r="V7" s="540"/>
      <c r="W7" s="540"/>
      <c r="X7" s="540"/>
      <c r="Y7" s="540"/>
      <c r="Z7" s="540"/>
      <c r="AA7" s="540"/>
      <c r="AB7" s="540"/>
      <c r="AC7" s="540"/>
      <c r="AD7" s="540"/>
      <c r="AE7" s="540"/>
      <c r="AF7" s="540"/>
      <c r="AG7" s="540"/>
      <c r="AH7" s="540"/>
      <c r="AI7" s="540"/>
      <c r="AJ7" s="540"/>
      <c r="AK7" s="540"/>
      <c r="AL7" s="540"/>
      <c r="AM7" s="540"/>
      <c r="AN7" s="540"/>
      <c r="AO7" s="541"/>
    </row>
    <row r="8" spans="1:41" x14ac:dyDescent="0.25">
      <c r="A8" s="8"/>
      <c r="B8" s="544" t="str">
        <f>+General!A52</f>
        <v>Villa Bonita, Centro Comercial Villa Plaza Local N 6, Alajuela - Costa Rica</v>
      </c>
      <c r="C8" s="544"/>
      <c r="D8" s="544"/>
      <c r="E8" s="544"/>
      <c r="F8" s="544"/>
      <c r="G8" s="544"/>
      <c r="H8" s="544"/>
      <c r="I8" s="544"/>
      <c r="J8" s="544"/>
      <c r="K8" s="544"/>
      <c r="L8" s="544"/>
      <c r="M8" s="544"/>
      <c r="N8" s="544"/>
      <c r="O8" s="544"/>
      <c r="P8" s="544"/>
      <c r="Q8" s="544"/>
      <c r="R8" s="544"/>
      <c r="S8" s="544"/>
      <c r="T8" s="544"/>
      <c r="U8" s="544"/>
      <c r="V8" s="544"/>
      <c r="W8" s="544"/>
      <c r="X8" s="544"/>
      <c r="Y8" s="544"/>
      <c r="Z8" s="544"/>
      <c r="AA8" s="544"/>
      <c r="AB8" s="544"/>
      <c r="AC8" s="544"/>
      <c r="AD8" s="544"/>
      <c r="AE8" s="544"/>
      <c r="AF8" s="544"/>
      <c r="AG8" s="544"/>
      <c r="AH8" s="544"/>
      <c r="AI8" s="544"/>
      <c r="AJ8" s="544"/>
      <c r="AK8" s="544"/>
      <c r="AL8" s="544"/>
      <c r="AM8" s="544"/>
      <c r="AN8" s="544"/>
      <c r="AO8" s="545"/>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546">
        <f>+General!W8</f>
        <v>0</v>
      </c>
      <c r="C16" s="546"/>
      <c r="D16" s="546"/>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510">
        <f>+General!A42</f>
        <v>0</v>
      </c>
      <c r="G19" s="510"/>
      <c r="H19" s="510"/>
      <c r="I19" s="510"/>
      <c r="J19" s="510"/>
      <c r="K19" s="510"/>
      <c r="L19" s="510"/>
      <c r="M19" s="510"/>
      <c r="N19" s="510"/>
      <c r="O19" s="510"/>
      <c r="P19" s="510"/>
      <c r="Q19" s="510"/>
      <c r="R19" s="510"/>
      <c r="S19" s="510"/>
      <c r="T19" s="510"/>
      <c r="U19" s="510"/>
      <c r="V19" s="510"/>
      <c r="W19" s="510"/>
      <c r="X19" s="510"/>
      <c r="Y19" s="510"/>
      <c r="Z19" s="510"/>
      <c r="AA19" s="510"/>
      <c r="AB19" s="510"/>
      <c r="AC19" s="510"/>
      <c r="AD19" s="510"/>
      <c r="AE19" s="510"/>
      <c r="AF19" s="510"/>
      <c r="AG19" s="510"/>
      <c r="AH19" s="510"/>
      <c r="AI19" s="510"/>
      <c r="AJ19" s="510"/>
      <c r="AK19" s="510"/>
      <c r="AL19" s="510"/>
      <c r="AM19" s="510"/>
      <c r="AN19" s="510"/>
      <c r="AO19" s="511"/>
    </row>
    <row r="20" spans="1:41" x14ac:dyDescent="0.25">
      <c r="A20" s="23"/>
      <c r="B20" s="24"/>
      <c r="C20" s="24"/>
      <c r="D20" s="25"/>
      <c r="F20" s="510"/>
      <c r="G20" s="510"/>
      <c r="H20" s="510"/>
      <c r="I20" s="510"/>
      <c r="J20" s="510"/>
      <c r="K20" s="510"/>
      <c r="L20" s="510"/>
      <c r="M20" s="510"/>
      <c r="N20" s="510"/>
      <c r="O20" s="510"/>
      <c r="P20" s="510"/>
      <c r="Q20" s="510"/>
      <c r="R20" s="510"/>
      <c r="S20" s="510"/>
      <c r="T20" s="510"/>
      <c r="U20" s="510"/>
      <c r="V20" s="510"/>
      <c r="W20" s="510"/>
      <c r="X20" s="510"/>
      <c r="Y20" s="510"/>
      <c r="Z20" s="510"/>
      <c r="AA20" s="510"/>
      <c r="AB20" s="510"/>
      <c r="AC20" s="510"/>
      <c r="AD20" s="510"/>
      <c r="AE20" s="510"/>
      <c r="AF20" s="510"/>
      <c r="AG20" s="510"/>
      <c r="AH20" s="510"/>
      <c r="AI20" s="510"/>
      <c r="AJ20" s="510"/>
      <c r="AK20" s="510"/>
      <c r="AL20" s="510"/>
      <c r="AM20" s="510"/>
      <c r="AN20" s="510"/>
      <c r="AO20" s="511"/>
    </row>
    <row r="21" spans="1:41" x14ac:dyDescent="0.25">
      <c r="A21" s="23"/>
      <c r="B21" s="24"/>
      <c r="C21" s="24"/>
      <c r="D21" s="25"/>
      <c r="F21" s="510"/>
      <c r="G21" s="510"/>
      <c r="H21" s="510"/>
      <c r="I21" s="510"/>
      <c r="J21" s="510"/>
      <c r="K21" s="510"/>
      <c r="L21" s="510"/>
      <c r="M21" s="510"/>
      <c r="N21" s="510"/>
      <c r="O21" s="510"/>
      <c r="P21" s="510"/>
      <c r="Q21" s="510"/>
      <c r="R21" s="510"/>
      <c r="S21" s="510"/>
      <c r="T21" s="510"/>
      <c r="U21" s="510"/>
      <c r="V21" s="510"/>
      <c r="W21" s="510"/>
      <c r="X21" s="510"/>
      <c r="Y21" s="510"/>
      <c r="Z21" s="510"/>
      <c r="AA21" s="510"/>
      <c r="AB21" s="510"/>
      <c r="AC21" s="510"/>
      <c r="AD21" s="510"/>
      <c r="AE21" s="510"/>
      <c r="AF21" s="510"/>
      <c r="AG21" s="510"/>
      <c r="AH21" s="510"/>
      <c r="AI21" s="510"/>
      <c r="AJ21" s="510"/>
      <c r="AK21" s="510"/>
      <c r="AL21" s="510"/>
      <c r="AM21" s="510"/>
      <c r="AN21" s="510"/>
      <c r="AO21" s="511"/>
    </row>
    <row r="22" spans="1:41" x14ac:dyDescent="0.25">
      <c r="A22" s="8"/>
      <c r="B22" s="15"/>
      <c r="C22" s="15"/>
      <c r="D22" s="16"/>
      <c r="E22" s="17"/>
      <c r="F22" s="512"/>
      <c r="G22" s="512"/>
      <c r="H22" s="512"/>
      <c r="I22" s="512"/>
      <c r="J22" s="512"/>
      <c r="K22" s="512"/>
      <c r="L22" s="512"/>
      <c r="M22" s="512"/>
      <c r="N22" s="512"/>
      <c r="O22" s="512"/>
      <c r="P22" s="512"/>
      <c r="Q22" s="512"/>
      <c r="R22" s="512"/>
      <c r="S22" s="512"/>
      <c r="T22" s="512"/>
      <c r="U22" s="512"/>
      <c r="V22" s="512"/>
      <c r="W22" s="512"/>
      <c r="X22" s="512"/>
      <c r="Y22" s="512"/>
      <c r="Z22" s="512"/>
      <c r="AA22" s="512"/>
      <c r="AB22" s="512"/>
      <c r="AC22" s="512"/>
      <c r="AD22" s="512"/>
      <c r="AE22" s="512"/>
      <c r="AF22" s="512"/>
      <c r="AG22" s="512"/>
      <c r="AH22" s="512"/>
      <c r="AI22" s="512"/>
      <c r="AJ22" s="512"/>
      <c r="AK22" s="512"/>
      <c r="AL22" s="512"/>
      <c r="AM22" s="512"/>
      <c r="AN22" s="512"/>
      <c r="AO22" s="513"/>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504" t="s">
        <v>31</v>
      </c>
      <c r="J30" s="498"/>
      <c r="K30" s="498"/>
      <c r="L30" s="498"/>
      <c r="M30" s="498"/>
      <c r="N30" s="498"/>
      <c r="O30" s="498"/>
      <c r="P30" s="498"/>
      <c r="Q30" s="498"/>
      <c r="R30" s="498"/>
      <c r="S30" s="498"/>
      <c r="T30" s="498"/>
      <c r="U30" s="498"/>
      <c r="V30" s="498"/>
      <c r="W30" s="505"/>
      <c r="Z30" s="504" t="s">
        <v>32</v>
      </c>
      <c r="AA30" s="498"/>
      <c r="AB30" s="498"/>
      <c r="AC30" s="498"/>
      <c r="AD30" s="498"/>
      <c r="AE30" s="498"/>
      <c r="AF30" s="498"/>
      <c r="AG30" s="498"/>
      <c r="AH30" s="498"/>
      <c r="AI30" s="498"/>
      <c r="AJ30" s="498"/>
      <c r="AK30" s="498"/>
      <c r="AL30" s="498"/>
      <c r="AM30" s="498"/>
      <c r="AN30" s="505"/>
      <c r="AO30" s="27"/>
    </row>
    <row r="31" spans="1:41" x14ac:dyDescent="0.25">
      <c r="A31" s="23"/>
      <c r="G31" s="25"/>
      <c r="H31" s="33" t="s">
        <v>33</v>
      </c>
      <c r="I31" s="506" t="s">
        <v>34</v>
      </c>
      <c r="J31" s="507"/>
      <c r="K31" s="507"/>
      <c r="L31" s="507"/>
      <c r="M31" s="507"/>
      <c r="N31" s="508">
        <f>+Draft!T2</f>
        <v>0</v>
      </c>
      <c r="O31" s="508"/>
      <c r="P31" s="508"/>
      <c r="Q31" s="508"/>
      <c r="R31" s="508"/>
      <c r="S31" s="508"/>
      <c r="T31" s="508"/>
      <c r="U31" s="508"/>
      <c r="V31" s="508"/>
      <c r="W31" s="509"/>
      <c r="Z31" s="506" t="s">
        <v>34</v>
      </c>
      <c r="AA31" s="507"/>
      <c r="AB31" s="507"/>
      <c r="AC31" s="507"/>
      <c r="AD31" s="507"/>
      <c r="AE31" s="508">
        <f>+Draft!AS2</f>
        <v>0</v>
      </c>
      <c r="AF31" s="508"/>
      <c r="AG31" s="508"/>
      <c r="AH31" s="508"/>
      <c r="AI31" s="508"/>
      <c r="AJ31" s="508"/>
      <c r="AK31" s="508"/>
      <c r="AL31" s="508"/>
      <c r="AM31" s="508"/>
      <c r="AN31" s="509"/>
      <c r="AO31" s="27"/>
    </row>
    <row r="32" spans="1:41" x14ac:dyDescent="0.25">
      <c r="A32" s="23"/>
      <c r="G32" s="25"/>
      <c r="H32" s="34"/>
      <c r="I32" s="503" t="s">
        <v>35</v>
      </c>
      <c r="J32" s="499"/>
      <c r="K32" s="499"/>
      <c r="L32" s="499"/>
      <c r="M32" s="499"/>
      <c r="N32" s="500">
        <f>Draft!T3</f>
        <v>0</v>
      </c>
      <c r="O32" s="501"/>
      <c r="P32" s="501"/>
      <c r="Q32" s="501"/>
      <c r="R32" s="499" t="s">
        <v>36</v>
      </c>
      <c r="S32" s="499"/>
      <c r="T32" s="500">
        <f>Draft!T4</f>
        <v>0</v>
      </c>
      <c r="U32" s="501"/>
      <c r="V32" s="501"/>
      <c r="W32" s="502"/>
      <c r="Z32" s="503" t="s">
        <v>35</v>
      </c>
      <c r="AA32" s="499"/>
      <c r="AB32" s="499"/>
      <c r="AC32" s="499"/>
      <c r="AD32" s="499"/>
      <c r="AE32" s="500">
        <f>Draft!AS3</f>
        <v>0</v>
      </c>
      <c r="AF32" s="501"/>
      <c r="AG32" s="501"/>
      <c r="AH32" s="501"/>
      <c r="AI32" s="499" t="s">
        <v>36</v>
      </c>
      <c r="AJ32" s="499"/>
      <c r="AK32" s="500">
        <f>Draft!AS4</f>
        <v>0</v>
      </c>
      <c r="AL32" s="501"/>
      <c r="AM32" s="501"/>
      <c r="AN32" s="502"/>
      <c r="AO32" s="27"/>
    </row>
    <row r="33" spans="1:41" x14ac:dyDescent="0.25">
      <c r="A33" s="23"/>
      <c r="G33" s="25"/>
      <c r="H33" s="33" t="s">
        <v>37</v>
      </c>
      <c r="I33" s="35"/>
      <c r="J33" s="496">
        <f>+General!AB10</f>
        <v>0</v>
      </c>
      <c r="K33" s="496"/>
      <c r="L33" s="496"/>
      <c r="M33" s="496"/>
      <c r="N33" s="496"/>
      <c r="O33" s="496"/>
      <c r="P33" s="496"/>
      <c r="Q33" s="496"/>
      <c r="R33" s="496"/>
      <c r="S33" s="496"/>
      <c r="T33" s="496"/>
      <c r="U33" s="496"/>
      <c r="V33" s="496"/>
      <c r="W33" s="497"/>
      <c r="Z33" s="35"/>
      <c r="AA33" s="496">
        <f>+General!AB11</f>
        <v>0</v>
      </c>
      <c r="AB33" s="496"/>
      <c r="AC33" s="496"/>
      <c r="AD33" s="496"/>
      <c r="AE33" s="496"/>
      <c r="AF33" s="496"/>
      <c r="AG33" s="496"/>
      <c r="AH33" s="496"/>
      <c r="AI33" s="496"/>
      <c r="AJ33" s="496"/>
      <c r="AK33" s="496"/>
      <c r="AL33" s="496"/>
      <c r="AM33" s="496"/>
      <c r="AN33" s="497"/>
      <c r="AO33" s="27"/>
    </row>
    <row r="34" spans="1:41" x14ac:dyDescent="0.25">
      <c r="A34" s="23"/>
      <c r="G34" s="25"/>
      <c r="H34" s="34" t="s">
        <v>38</v>
      </c>
      <c r="I34" s="35"/>
      <c r="J34" s="496">
        <f>+General!H10</f>
        <v>0</v>
      </c>
      <c r="K34" s="496"/>
      <c r="L34" s="496"/>
      <c r="M34" s="496"/>
      <c r="N34" s="496"/>
      <c r="O34" s="496"/>
      <c r="P34" s="496"/>
      <c r="Q34" s="496"/>
      <c r="R34" s="496"/>
      <c r="S34" s="496"/>
      <c r="T34" s="496"/>
      <c r="U34" s="496"/>
      <c r="V34" s="496"/>
      <c r="W34" s="497"/>
      <c r="Z34" s="35"/>
      <c r="AA34" s="496">
        <f>+J34</f>
        <v>0</v>
      </c>
      <c r="AB34" s="496"/>
      <c r="AC34" s="496"/>
      <c r="AD34" s="496"/>
      <c r="AE34" s="496"/>
      <c r="AF34" s="496"/>
      <c r="AG34" s="496"/>
      <c r="AH34" s="496"/>
      <c r="AI34" s="496"/>
      <c r="AJ34" s="496"/>
      <c r="AK34" s="496"/>
      <c r="AL34" s="496"/>
      <c r="AM34" s="496"/>
      <c r="AN34" s="497"/>
      <c r="AO34" s="27"/>
    </row>
    <row r="35" spans="1:41" x14ac:dyDescent="0.25">
      <c r="A35" s="23"/>
      <c r="G35" s="25"/>
      <c r="H35" s="34"/>
      <c r="I35" s="35"/>
      <c r="J35" s="496"/>
      <c r="K35" s="496"/>
      <c r="L35" s="496"/>
      <c r="M35" s="496"/>
      <c r="N35" s="496"/>
      <c r="O35" s="496"/>
      <c r="P35" s="496"/>
      <c r="Q35" s="496"/>
      <c r="R35" s="496"/>
      <c r="S35" s="496"/>
      <c r="T35" s="496"/>
      <c r="U35" s="496"/>
      <c r="V35" s="496"/>
      <c r="W35" s="497"/>
      <c r="Z35" s="35"/>
      <c r="AA35" s="496">
        <f t="shared" ref="AA35:AA40" si="0">+J35</f>
        <v>0</v>
      </c>
      <c r="AB35" s="496"/>
      <c r="AC35" s="496"/>
      <c r="AD35" s="496"/>
      <c r="AE35" s="496"/>
      <c r="AF35" s="496"/>
      <c r="AG35" s="496"/>
      <c r="AH35" s="496"/>
      <c r="AI35" s="496"/>
      <c r="AJ35" s="496"/>
      <c r="AK35" s="496"/>
      <c r="AL35" s="496"/>
      <c r="AM35" s="496"/>
      <c r="AN35" s="497"/>
      <c r="AO35" s="27"/>
    </row>
    <row r="36" spans="1:41" x14ac:dyDescent="0.25">
      <c r="A36" s="23"/>
      <c r="G36" s="25"/>
      <c r="H36" s="34" t="s">
        <v>39</v>
      </c>
      <c r="I36" s="35"/>
      <c r="J36" s="496">
        <f>+General!H11</f>
        <v>0</v>
      </c>
      <c r="K36" s="496"/>
      <c r="L36" s="496"/>
      <c r="M36" s="496"/>
      <c r="N36" s="496"/>
      <c r="O36" s="496"/>
      <c r="P36" s="496"/>
      <c r="Q36" s="496"/>
      <c r="R36" s="496"/>
      <c r="S36" s="496"/>
      <c r="T36" s="496"/>
      <c r="U36" s="496"/>
      <c r="V36" s="496"/>
      <c r="W36" s="497"/>
      <c r="Z36" s="35"/>
      <c r="AA36" s="496">
        <f t="shared" si="0"/>
        <v>0</v>
      </c>
      <c r="AB36" s="496"/>
      <c r="AC36" s="496"/>
      <c r="AD36" s="496"/>
      <c r="AE36" s="496"/>
      <c r="AF36" s="496"/>
      <c r="AG36" s="496"/>
      <c r="AH36" s="496"/>
      <c r="AI36" s="496"/>
      <c r="AJ36" s="496"/>
      <c r="AK36" s="496"/>
      <c r="AL36" s="496"/>
      <c r="AM36" s="496"/>
      <c r="AN36" s="497"/>
      <c r="AO36" s="27"/>
    </row>
    <row r="37" spans="1:41" x14ac:dyDescent="0.25">
      <c r="A37" s="23"/>
      <c r="G37" s="25"/>
      <c r="H37" s="34" t="s">
        <v>40</v>
      </c>
      <c r="I37" s="35"/>
      <c r="J37" s="496">
        <f>+General!H12</f>
        <v>0</v>
      </c>
      <c r="K37" s="496"/>
      <c r="L37" s="496"/>
      <c r="M37" s="496"/>
      <c r="N37" s="496"/>
      <c r="O37" s="496"/>
      <c r="P37" s="496"/>
      <c r="Q37" s="496"/>
      <c r="R37" s="496"/>
      <c r="S37" s="496"/>
      <c r="T37" s="496"/>
      <c r="U37" s="496"/>
      <c r="V37" s="496"/>
      <c r="W37" s="497"/>
      <c r="Z37" s="35"/>
      <c r="AA37" s="496">
        <f t="shared" si="0"/>
        <v>0</v>
      </c>
      <c r="AB37" s="496"/>
      <c r="AC37" s="496"/>
      <c r="AD37" s="496"/>
      <c r="AE37" s="496"/>
      <c r="AF37" s="496"/>
      <c r="AG37" s="496"/>
      <c r="AH37" s="496"/>
      <c r="AI37" s="496"/>
      <c r="AJ37" s="496"/>
      <c r="AK37" s="496"/>
      <c r="AL37" s="496"/>
      <c r="AM37" s="496"/>
      <c r="AN37" s="497"/>
      <c r="AO37" s="27"/>
    </row>
    <row r="38" spans="1:41" x14ac:dyDescent="0.25">
      <c r="A38" s="23"/>
      <c r="G38" s="25"/>
      <c r="H38" s="34" t="s">
        <v>41</v>
      </c>
      <c r="I38" s="35"/>
      <c r="J38" s="496">
        <f>+General!H13</f>
        <v>0</v>
      </c>
      <c r="K38" s="496"/>
      <c r="L38" s="496"/>
      <c r="M38" s="496"/>
      <c r="N38" s="496"/>
      <c r="O38" s="496"/>
      <c r="P38" s="496"/>
      <c r="Q38" s="496"/>
      <c r="R38" s="496"/>
      <c r="S38" s="496"/>
      <c r="T38" s="496"/>
      <c r="U38" s="496"/>
      <c r="V38" s="496"/>
      <c r="W38" s="497"/>
      <c r="Z38" s="35"/>
      <c r="AA38" s="496">
        <f t="shared" si="0"/>
        <v>0</v>
      </c>
      <c r="AB38" s="496"/>
      <c r="AC38" s="496"/>
      <c r="AD38" s="496"/>
      <c r="AE38" s="496"/>
      <c r="AF38" s="496"/>
      <c r="AG38" s="496"/>
      <c r="AH38" s="496"/>
      <c r="AI38" s="496"/>
      <c r="AJ38" s="496"/>
      <c r="AK38" s="496"/>
      <c r="AL38" s="496"/>
      <c r="AM38" s="496"/>
      <c r="AN38" s="497"/>
      <c r="AO38" s="27"/>
    </row>
    <row r="39" spans="1:41" x14ac:dyDescent="0.25">
      <c r="A39" s="23"/>
      <c r="G39" s="25"/>
      <c r="H39" s="34"/>
      <c r="I39" s="35"/>
      <c r="J39" s="496"/>
      <c r="K39" s="496"/>
      <c r="L39" s="496"/>
      <c r="M39" s="496"/>
      <c r="N39" s="496"/>
      <c r="O39" s="496"/>
      <c r="P39" s="496"/>
      <c r="Q39" s="496"/>
      <c r="R39" s="496"/>
      <c r="S39" s="496"/>
      <c r="T39" s="496"/>
      <c r="U39" s="496"/>
      <c r="V39" s="496"/>
      <c r="W39" s="497"/>
      <c r="Z39" s="35"/>
      <c r="AA39" s="496">
        <f t="shared" si="0"/>
        <v>0</v>
      </c>
      <c r="AB39" s="496"/>
      <c r="AC39" s="496"/>
      <c r="AD39" s="496"/>
      <c r="AE39" s="496"/>
      <c r="AF39" s="496"/>
      <c r="AG39" s="496"/>
      <c r="AH39" s="496"/>
      <c r="AI39" s="496"/>
      <c r="AJ39" s="496"/>
      <c r="AK39" s="496"/>
      <c r="AL39" s="496"/>
      <c r="AM39" s="496"/>
      <c r="AN39" s="497"/>
      <c r="AO39" s="27"/>
    </row>
    <row r="40" spans="1:41" x14ac:dyDescent="0.25">
      <c r="A40" s="23"/>
      <c r="G40" s="25"/>
      <c r="H40" s="34" t="s">
        <v>42</v>
      </c>
      <c r="I40" s="35"/>
      <c r="J40" s="496">
        <f>+General!H14</f>
        <v>0</v>
      </c>
      <c r="K40" s="496"/>
      <c r="L40" s="496"/>
      <c r="M40" s="496"/>
      <c r="N40" s="496"/>
      <c r="O40" s="496"/>
      <c r="P40" s="496"/>
      <c r="Q40" s="496"/>
      <c r="R40" s="496"/>
      <c r="S40" s="496"/>
      <c r="T40" s="496"/>
      <c r="U40" s="496"/>
      <c r="V40" s="496"/>
      <c r="W40" s="497"/>
      <c r="Z40" s="35"/>
      <c r="AA40" s="496">
        <f t="shared" si="0"/>
        <v>0</v>
      </c>
      <c r="AB40" s="496"/>
      <c r="AC40" s="496"/>
      <c r="AD40" s="496"/>
      <c r="AE40" s="496"/>
      <c r="AF40" s="496"/>
      <c r="AG40" s="496"/>
      <c r="AH40" s="496"/>
      <c r="AI40" s="496"/>
      <c r="AJ40" s="496"/>
      <c r="AK40" s="496"/>
      <c r="AL40" s="496"/>
      <c r="AM40" s="496"/>
      <c r="AN40" s="497"/>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496">
        <f>+General!H16</f>
        <v>0</v>
      </c>
      <c r="K42" s="496"/>
      <c r="L42" s="496"/>
      <c r="M42" s="496"/>
      <c r="N42" s="496"/>
      <c r="O42" s="496"/>
      <c r="P42" s="496"/>
      <c r="Q42" s="496"/>
      <c r="R42" s="496"/>
      <c r="S42" s="496"/>
      <c r="T42" s="496"/>
      <c r="U42" s="496"/>
      <c r="V42" s="496"/>
      <c r="W42" s="497"/>
      <c r="Z42" s="35"/>
      <c r="AA42" s="496">
        <f>+General!AB16</f>
        <v>0</v>
      </c>
      <c r="AB42" s="496"/>
      <c r="AC42" s="496"/>
      <c r="AD42" s="496"/>
      <c r="AE42" s="496"/>
      <c r="AF42" s="496"/>
      <c r="AG42" s="496"/>
      <c r="AH42" s="496"/>
      <c r="AI42" s="496"/>
      <c r="AJ42" s="496"/>
      <c r="AK42" s="496"/>
      <c r="AL42" s="496"/>
      <c r="AM42" s="496"/>
      <c r="AN42" s="497"/>
      <c r="AO42" s="27"/>
    </row>
    <row r="43" spans="1:41" x14ac:dyDescent="0.25">
      <c r="A43" s="23"/>
      <c r="G43" s="25"/>
      <c r="H43" s="34" t="s">
        <v>44</v>
      </c>
      <c r="I43" s="35"/>
      <c r="J43" s="496"/>
      <c r="K43" s="496"/>
      <c r="L43" s="496"/>
      <c r="M43" s="496"/>
      <c r="N43" s="496"/>
      <c r="O43" s="496"/>
      <c r="P43" s="496"/>
      <c r="Q43" s="496"/>
      <c r="R43" s="496"/>
      <c r="S43" s="496"/>
      <c r="T43" s="496"/>
      <c r="U43" s="496"/>
      <c r="V43" s="496"/>
      <c r="W43" s="497"/>
      <c r="Z43" s="35"/>
      <c r="AA43" s="496">
        <v>0</v>
      </c>
      <c r="AB43" s="496"/>
      <c r="AC43" s="496"/>
      <c r="AD43" s="496"/>
      <c r="AE43" s="496"/>
      <c r="AF43" s="496"/>
      <c r="AG43" s="496"/>
      <c r="AH43" s="496"/>
      <c r="AI43" s="496"/>
      <c r="AJ43" s="496"/>
      <c r="AK43" s="496"/>
      <c r="AL43" s="496"/>
      <c r="AM43" s="496"/>
      <c r="AN43" s="497"/>
      <c r="AO43" s="27"/>
    </row>
    <row r="44" spans="1:41" x14ac:dyDescent="0.25">
      <c r="A44" s="23"/>
      <c r="G44" s="25"/>
      <c r="H44" s="37"/>
      <c r="I44" s="35"/>
      <c r="J44" s="496"/>
      <c r="K44" s="496"/>
      <c r="L44" s="496"/>
      <c r="M44" s="496"/>
      <c r="N44" s="496"/>
      <c r="O44" s="496"/>
      <c r="P44" s="496"/>
      <c r="Q44" s="496"/>
      <c r="R44" s="496"/>
      <c r="S44" s="496"/>
      <c r="T44" s="496"/>
      <c r="U44" s="496"/>
      <c r="V44" s="496"/>
      <c r="W44" s="497"/>
      <c r="Z44" s="35"/>
      <c r="AA44" s="496"/>
      <c r="AB44" s="496"/>
      <c r="AC44" s="496"/>
      <c r="AD44" s="496"/>
      <c r="AE44" s="496"/>
      <c r="AF44" s="496"/>
      <c r="AG44" s="496"/>
      <c r="AH44" s="496"/>
      <c r="AI44" s="496"/>
      <c r="AJ44" s="496"/>
      <c r="AK44" s="496"/>
      <c r="AL44" s="496"/>
      <c r="AM44" s="496"/>
      <c r="AN44" s="497"/>
      <c r="AO44" s="27"/>
    </row>
    <row r="45" spans="1:41" x14ac:dyDescent="0.25">
      <c r="A45" s="23"/>
      <c r="G45" s="25"/>
      <c r="H45" s="34" t="s">
        <v>45</v>
      </c>
      <c r="I45" s="35"/>
      <c r="J45" s="496" t="str">
        <f>IF(Draft!I32="x","GOOD",IF(Draft!J32="X","LIGHT SHOPPY",IF(Draft!K32="X","HEAVY SHOPPY / SWELL"," ")))</f>
        <v>LIGHT SHOPPY</v>
      </c>
      <c r="K45" s="496"/>
      <c r="L45" s="496"/>
      <c r="M45" s="496"/>
      <c r="N45" s="496"/>
      <c r="O45" s="496"/>
      <c r="P45" s="496"/>
      <c r="Q45" s="496"/>
      <c r="R45" s="496"/>
      <c r="S45" s="496"/>
      <c r="T45" s="496"/>
      <c r="U45" s="496"/>
      <c r="V45" s="496"/>
      <c r="W45" s="497"/>
      <c r="Z45" s="35"/>
      <c r="AA45" s="496" t="str">
        <f>IF(Draft!I33="x","GOOD",IF(Draft!J33="X","LIGHT SHOPPY",IF(Draft!K33="X","HEAVY SHOPPY / SWELL"," ")))</f>
        <v>LIGHT SHOPPY</v>
      </c>
      <c r="AB45" s="496"/>
      <c r="AC45" s="496"/>
      <c r="AD45" s="496"/>
      <c r="AE45" s="496"/>
      <c r="AF45" s="496"/>
      <c r="AG45" s="496"/>
      <c r="AH45" s="496"/>
      <c r="AI45" s="496"/>
      <c r="AJ45" s="496"/>
      <c r="AK45" s="496"/>
      <c r="AL45" s="496"/>
      <c r="AM45" s="496"/>
      <c r="AN45" s="497"/>
      <c r="AO45" s="27"/>
    </row>
    <row r="46" spans="1:41" x14ac:dyDescent="0.25">
      <c r="A46" s="23"/>
      <c r="G46" s="25"/>
      <c r="H46" s="34" t="s">
        <v>46</v>
      </c>
      <c r="I46" s="35"/>
      <c r="J46" s="496">
        <f>IF(Draft!A8=0,0,"ALONGSIDE BERTH")</f>
        <v>0</v>
      </c>
      <c r="K46" s="496"/>
      <c r="L46" s="496"/>
      <c r="M46" s="496"/>
      <c r="N46" s="496"/>
      <c r="O46" s="496"/>
      <c r="P46" s="496"/>
      <c r="Q46" s="496"/>
      <c r="R46" s="496"/>
      <c r="S46" s="496"/>
      <c r="T46" s="496"/>
      <c r="U46" s="496"/>
      <c r="V46" s="496"/>
      <c r="W46" s="497"/>
      <c r="Z46" s="35"/>
      <c r="AA46" s="496">
        <f>IF(Draft!Z8=0,0,"ALONGSIDE BERTH")</f>
        <v>0</v>
      </c>
      <c r="AB46" s="496"/>
      <c r="AC46" s="496"/>
      <c r="AD46" s="496"/>
      <c r="AE46" s="496"/>
      <c r="AF46" s="496"/>
      <c r="AG46" s="496"/>
      <c r="AH46" s="496"/>
      <c r="AI46" s="496"/>
      <c r="AJ46" s="496"/>
      <c r="AK46" s="496"/>
      <c r="AL46" s="496"/>
      <c r="AM46" s="496"/>
      <c r="AN46" s="497"/>
      <c r="AO46" s="27"/>
    </row>
    <row r="47" spans="1:41" x14ac:dyDescent="0.25">
      <c r="A47" s="23"/>
      <c r="G47" s="25"/>
      <c r="H47" s="37"/>
      <c r="I47" s="35"/>
      <c r="J47" s="496"/>
      <c r="K47" s="496"/>
      <c r="L47" s="496"/>
      <c r="M47" s="496"/>
      <c r="N47" s="496"/>
      <c r="O47" s="496"/>
      <c r="P47" s="496"/>
      <c r="Q47" s="496"/>
      <c r="R47" s="496"/>
      <c r="S47" s="496"/>
      <c r="T47" s="496"/>
      <c r="U47" s="496"/>
      <c r="V47" s="496"/>
      <c r="W47" s="497"/>
      <c r="Z47" s="35"/>
      <c r="AA47" s="496"/>
      <c r="AB47" s="496"/>
      <c r="AC47" s="496"/>
      <c r="AD47" s="496"/>
      <c r="AE47" s="496"/>
      <c r="AF47" s="496"/>
      <c r="AG47" s="496"/>
      <c r="AH47" s="496"/>
      <c r="AI47" s="496"/>
      <c r="AJ47" s="496"/>
      <c r="AK47" s="496"/>
      <c r="AL47" s="496"/>
      <c r="AM47" s="496"/>
      <c r="AN47" s="497"/>
      <c r="AO47" s="27"/>
    </row>
    <row r="48" spans="1:41" x14ac:dyDescent="0.25">
      <c r="A48" s="23"/>
      <c r="G48" s="25"/>
      <c r="H48" s="34" t="s">
        <v>47</v>
      </c>
      <c r="I48" s="35"/>
      <c r="J48" s="496"/>
      <c r="K48" s="496"/>
      <c r="L48" s="496"/>
      <c r="M48" s="496"/>
      <c r="N48" s="496"/>
      <c r="O48" s="496"/>
      <c r="P48" s="496"/>
      <c r="Q48" s="496"/>
      <c r="R48" s="496"/>
      <c r="S48" s="496"/>
      <c r="T48" s="496"/>
      <c r="U48" s="496"/>
      <c r="V48" s="496"/>
      <c r="W48" s="497"/>
      <c r="Z48" s="35"/>
      <c r="AA48" s="496"/>
      <c r="AB48" s="496"/>
      <c r="AC48" s="496"/>
      <c r="AD48" s="496"/>
      <c r="AE48" s="496"/>
      <c r="AF48" s="496"/>
      <c r="AG48" s="496"/>
      <c r="AH48" s="496"/>
      <c r="AI48" s="496"/>
      <c r="AJ48" s="496"/>
      <c r="AK48" s="496"/>
      <c r="AL48" s="496"/>
      <c r="AM48" s="496"/>
      <c r="AN48" s="497"/>
      <c r="AO48" s="27"/>
    </row>
    <row r="49" spans="1:41" x14ac:dyDescent="0.25">
      <c r="A49" s="23"/>
      <c r="G49" s="25"/>
      <c r="H49" s="34" t="s">
        <v>48</v>
      </c>
      <c r="I49" s="35"/>
      <c r="J49" s="496"/>
      <c r="K49" s="496"/>
      <c r="L49" s="496"/>
      <c r="M49" s="496"/>
      <c r="N49" s="496"/>
      <c r="O49" s="496"/>
      <c r="P49" s="496"/>
      <c r="Q49" s="496"/>
      <c r="R49" s="496"/>
      <c r="S49" s="496"/>
      <c r="T49" s="496"/>
      <c r="U49" s="496"/>
      <c r="V49" s="496"/>
      <c r="W49" s="497"/>
      <c r="Z49" s="35"/>
      <c r="AA49" s="496"/>
      <c r="AB49" s="496"/>
      <c r="AC49" s="496"/>
      <c r="AD49" s="496"/>
      <c r="AE49" s="496"/>
      <c r="AF49" s="496"/>
      <c r="AG49" s="496"/>
      <c r="AH49" s="496"/>
      <c r="AI49" s="496"/>
      <c r="AJ49" s="496"/>
      <c r="AK49" s="496"/>
      <c r="AL49" s="496"/>
      <c r="AM49" s="496"/>
      <c r="AN49" s="497"/>
      <c r="AO49" s="27"/>
    </row>
    <row r="50" spans="1:41" x14ac:dyDescent="0.25">
      <c r="A50" s="23"/>
      <c r="G50" s="25"/>
      <c r="H50" s="34" t="s">
        <v>49</v>
      </c>
      <c r="I50" s="35"/>
      <c r="J50" s="496"/>
      <c r="K50" s="496"/>
      <c r="L50" s="496"/>
      <c r="M50" s="496"/>
      <c r="N50" s="496"/>
      <c r="O50" s="496"/>
      <c r="P50" s="496"/>
      <c r="Q50" s="496"/>
      <c r="R50" s="496"/>
      <c r="S50" s="496"/>
      <c r="T50" s="496"/>
      <c r="U50" s="496"/>
      <c r="V50" s="496"/>
      <c r="W50" s="497"/>
      <c r="Z50" s="35"/>
      <c r="AA50" s="496"/>
      <c r="AB50" s="496"/>
      <c r="AC50" s="496"/>
      <c r="AD50" s="496"/>
      <c r="AE50" s="496"/>
      <c r="AF50" s="496"/>
      <c r="AG50" s="496"/>
      <c r="AH50" s="496"/>
      <c r="AI50" s="496"/>
      <c r="AJ50" s="496"/>
      <c r="AK50" s="496"/>
      <c r="AL50" s="496"/>
      <c r="AM50" s="496"/>
      <c r="AN50" s="497"/>
      <c r="AO50" s="27"/>
    </row>
    <row r="51" spans="1:41" x14ac:dyDescent="0.25">
      <c r="A51" s="23"/>
      <c r="G51" s="25"/>
      <c r="H51" s="34" t="s">
        <v>50</v>
      </c>
      <c r="I51" s="35"/>
      <c r="J51" s="496"/>
      <c r="K51" s="496"/>
      <c r="L51" s="496"/>
      <c r="M51" s="496"/>
      <c r="N51" s="496"/>
      <c r="O51" s="496"/>
      <c r="P51" s="496"/>
      <c r="Q51" s="496"/>
      <c r="R51" s="496"/>
      <c r="S51" s="496"/>
      <c r="T51" s="496"/>
      <c r="U51" s="496"/>
      <c r="V51" s="496"/>
      <c r="W51" s="497"/>
      <c r="Z51" s="35"/>
      <c r="AA51" s="496"/>
      <c r="AB51" s="496"/>
      <c r="AC51" s="496"/>
      <c r="AD51" s="496"/>
      <c r="AE51" s="496"/>
      <c r="AF51" s="496"/>
      <c r="AG51" s="496"/>
      <c r="AH51" s="496"/>
      <c r="AI51" s="496"/>
      <c r="AJ51" s="496"/>
      <c r="AK51" s="496"/>
      <c r="AL51" s="496"/>
      <c r="AM51" s="496"/>
      <c r="AN51" s="497"/>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498"/>
      <c r="B57" s="498"/>
      <c r="C57" s="498"/>
      <c r="D57" s="498"/>
      <c r="E57" s="498"/>
      <c r="F57" s="498"/>
      <c r="G57" s="498"/>
      <c r="H57" s="498"/>
      <c r="I57" s="498"/>
      <c r="J57" s="498"/>
      <c r="K57" s="498"/>
      <c r="L57" s="498"/>
      <c r="M57" s="498"/>
      <c r="N57" s="498"/>
      <c r="O57" s="498"/>
      <c r="P57" s="498"/>
      <c r="Q57" s="498"/>
      <c r="R57" s="498"/>
      <c r="S57" s="498"/>
      <c r="T57" s="498"/>
      <c r="U57" s="498"/>
      <c r="V57" s="498"/>
      <c r="W57" s="498"/>
      <c r="X57" s="498"/>
      <c r="Y57" s="498"/>
      <c r="Z57" s="498"/>
      <c r="AA57" s="498"/>
      <c r="AB57" s="498"/>
      <c r="AC57" s="498"/>
      <c r="AD57" s="498"/>
      <c r="AE57" s="498"/>
      <c r="AF57" s="498"/>
      <c r="AG57" s="498"/>
      <c r="AH57" s="498"/>
      <c r="AI57" s="498"/>
      <c r="AJ57" s="498"/>
      <c r="AK57" s="498"/>
      <c r="AL57" s="498"/>
      <c r="AM57" s="498"/>
      <c r="AN57" s="498"/>
      <c r="AO57" s="498"/>
    </row>
    <row r="58" spans="1:41" ht="24.75" customHeight="1" x14ac:dyDescent="0.25">
      <c r="A58" s="308"/>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row>
  </sheetData>
  <mergeCells count="66">
    <mergeCell ref="F19:AO22"/>
    <mergeCell ref="A1:AO1"/>
    <mergeCell ref="A2:X2"/>
    <mergeCell ref="Y2:AH2"/>
    <mergeCell ref="AI2:AO4"/>
    <mergeCell ref="A3:Y3"/>
    <mergeCell ref="AA3:AH3"/>
    <mergeCell ref="A4:Y4"/>
    <mergeCell ref="AA4:AH4"/>
    <mergeCell ref="B5:AO5"/>
    <mergeCell ref="B6:AO6"/>
    <mergeCell ref="B7:AO7"/>
    <mergeCell ref="B8:AO8"/>
    <mergeCell ref="B16:D16"/>
    <mergeCell ref="I30:W30"/>
    <mergeCell ref="Z30:AN30"/>
    <mergeCell ref="I31:M31"/>
    <mergeCell ref="N31:W31"/>
    <mergeCell ref="Z31:AD31"/>
    <mergeCell ref="AE31:AN31"/>
    <mergeCell ref="AI32:AJ32"/>
    <mergeCell ref="AK32:AN32"/>
    <mergeCell ref="J33:W33"/>
    <mergeCell ref="AA33:AN33"/>
    <mergeCell ref="J34:W34"/>
    <mergeCell ref="AA34:AN34"/>
    <mergeCell ref="I32:M32"/>
    <mergeCell ref="N32:Q32"/>
    <mergeCell ref="R32:S32"/>
    <mergeCell ref="T32:W32"/>
    <mergeCell ref="Z32:AD32"/>
    <mergeCell ref="AE32:AH32"/>
    <mergeCell ref="J35:W35"/>
    <mergeCell ref="AA35:AN35"/>
    <mergeCell ref="J36:W36"/>
    <mergeCell ref="AA36:AN36"/>
    <mergeCell ref="J37:W37"/>
    <mergeCell ref="AA37:AN37"/>
    <mergeCell ref="J38:W38"/>
    <mergeCell ref="AA38:AN38"/>
    <mergeCell ref="J39:W39"/>
    <mergeCell ref="AA39:AN39"/>
    <mergeCell ref="J40:W40"/>
    <mergeCell ref="AA40:AN40"/>
    <mergeCell ref="J42:W42"/>
    <mergeCell ref="AA42:AN42"/>
    <mergeCell ref="J43:W43"/>
    <mergeCell ref="AA43:AN43"/>
    <mergeCell ref="J44:W44"/>
    <mergeCell ref="AA44:AN44"/>
    <mergeCell ref="J45:W45"/>
    <mergeCell ref="AA45:AN45"/>
    <mergeCell ref="J46:W46"/>
    <mergeCell ref="AA46:AN46"/>
    <mergeCell ref="J47:W47"/>
    <mergeCell ref="AA47:AN47"/>
    <mergeCell ref="J51:W51"/>
    <mergeCell ref="AA51:AN51"/>
    <mergeCell ref="A57:AO57"/>
    <mergeCell ref="A58:AO58"/>
    <mergeCell ref="J48:W48"/>
    <mergeCell ref="AA48:AN48"/>
    <mergeCell ref="J49:W49"/>
    <mergeCell ref="AA49:AN49"/>
    <mergeCell ref="J50:W50"/>
    <mergeCell ref="AA50:AN50"/>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92" t="s">
        <v>53</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+A!Z3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+A!Z4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534" t="str">
        <f>A!B6</f>
        <v>MSL Marine Surveyors And Logistics</v>
      </c>
      <c r="B6" s="535"/>
      <c r="C6" s="535"/>
      <c r="D6" s="535"/>
      <c r="E6" s="535"/>
      <c r="F6" s="535"/>
      <c r="G6" s="535"/>
      <c r="H6" s="535"/>
      <c r="I6" s="535"/>
      <c r="J6" s="535"/>
      <c r="K6" s="535"/>
      <c r="L6" s="535"/>
      <c r="M6" s="535"/>
      <c r="N6" s="535"/>
      <c r="O6" s="535"/>
      <c r="P6" s="535"/>
      <c r="Q6" s="535"/>
      <c r="R6" s="535"/>
      <c r="S6" s="535"/>
      <c r="T6" s="535"/>
      <c r="U6" s="535"/>
      <c r="V6" s="535"/>
      <c r="W6" s="535"/>
      <c r="X6" s="535"/>
      <c r="Y6" s="535"/>
      <c r="Z6" s="535"/>
      <c r="AA6" s="535"/>
      <c r="AB6" s="535"/>
      <c r="AC6" s="535"/>
      <c r="AD6" s="535"/>
      <c r="AE6" s="535"/>
      <c r="AF6" s="535"/>
      <c r="AG6" s="535"/>
      <c r="AH6" s="535"/>
      <c r="AI6" s="535"/>
      <c r="AJ6" s="535"/>
      <c r="AK6" s="535"/>
      <c r="AL6" s="535"/>
      <c r="AM6" s="535"/>
      <c r="AN6" s="535"/>
      <c r="AO6" s="536"/>
    </row>
    <row r="7" spans="1:41" ht="12.75" customHeight="1" x14ac:dyDescent="0.25">
      <c r="A7" s="6"/>
      <c r="B7" s="540" t="s">
        <v>11</v>
      </c>
      <c r="C7" s="540"/>
      <c r="D7" s="540"/>
      <c r="E7" s="540"/>
      <c r="F7" s="540"/>
      <c r="G7" s="540"/>
      <c r="H7" s="540"/>
      <c r="I7" s="540"/>
      <c r="J7" s="540"/>
      <c r="K7" s="540"/>
      <c r="L7" s="540"/>
      <c r="M7" s="540"/>
      <c r="N7" s="540"/>
      <c r="O7" s="540"/>
      <c r="P7" s="540"/>
      <c r="Q7" s="540"/>
      <c r="R7" s="540"/>
      <c r="S7" s="540"/>
      <c r="T7" s="540"/>
      <c r="U7" s="540"/>
      <c r="V7" s="540"/>
      <c r="W7" s="540"/>
      <c r="X7" s="540"/>
      <c r="Y7" s="540"/>
      <c r="Z7" s="540" t="s">
        <v>13</v>
      </c>
      <c r="AA7" s="540"/>
      <c r="AB7" s="540"/>
      <c r="AC7" s="540"/>
      <c r="AD7" s="540"/>
      <c r="AE7" s="540"/>
      <c r="AF7" s="540"/>
      <c r="AG7" s="540"/>
      <c r="AH7" s="540"/>
      <c r="AI7" s="540"/>
      <c r="AJ7" s="540"/>
      <c r="AK7" s="540"/>
      <c r="AL7" s="540"/>
      <c r="AM7" s="540"/>
      <c r="AN7" s="540"/>
      <c r="AO7" s="541"/>
    </row>
    <row r="8" spans="1:41" ht="12.75" customHeight="1" x14ac:dyDescent="0.25">
      <c r="A8" s="534"/>
      <c r="B8" s="535"/>
      <c r="C8" s="535"/>
      <c r="D8" s="535"/>
      <c r="E8" s="535"/>
      <c r="F8" s="591">
        <f>+A!G12</f>
        <v>0</v>
      </c>
      <c r="G8" s="591"/>
      <c r="H8" s="591"/>
      <c r="I8" s="591"/>
      <c r="J8" s="591"/>
      <c r="K8" s="591"/>
      <c r="L8" s="591"/>
      <c r="M8" s="591"/>
      <c r="N8" s="591"/>
      <c r="O8" s="591"/>
      <c r="P8" s="591"/>
      <c r="Q8" s="591"/>
      <c r="R8" s="591"/>
      <c r="S8" s="591"/>
      <c r="T8" s="591"/>
      <c r="U8" s="591"/>
      <c r="V8" s="591"/>
      <c r="W8" s="591"/>
      <c r="X8" s="591"/>
      <c r="Y8" s="591"/>
      <c r="Z8" s="591"/>
      <c r="AA8" s="591"/>
      <c r="AB8" s="591"/>
      <c r="AC8" s="544">
        <f>+A!AG12</f>
        <v>0</v>
      </c>
      <c r="AD8" s="544"/>
      <c r="AE8" s="544"/>
      <c r="AF8" s="544"/>
      <c r="AG8" s="544"/>
      <c r="AH8" s="544"/>
      <c r="AI8" s="544"/>
      <c r="AJ8" s="544"/>
      <c r="AK8" s="544"/>
      <c r="AL8" s="544"/>
      <c r="AM8" s="544"/>
      <c r="AN8" s="544"/>
      <c r="AO8" s="545"/>
    </row>
    <row r="9" spans="1:41" ht="12.75" customHeight="1" x14ac:dyDescent="0.25">
      <c r="A9" s="504" t="s">
        <v>54</v>
      </c>
      <c r="B9" s="498"/>
      <c r="C9" s="498"/>
      <c r="D9" s="498"/>
      <c r="E9" s="498"/>
      <c r="F9" s="498"/>
      <c r="G9" s="498"/>
      <c r="H9" s="498"/>
      <c r="I9" s="498"/>
      <c r="J9" s="498"/>
      <c r="K9" s="498"/>
      <c r="L9" s="498"/>
      <c r="M9" s="498"/>
      <c r="N9" s="498"/>
      <c r="O9" s="498"/>
      <c r="P9" s="498"/>
      <c r="Q9" s="498"/>
      <c r="R9" s="498"/>
      <c r="S9" s="498"/>
      <c r="T9" s="498"/>
      <c r="U9" s="498"/>
      <c r="V9" s="498"/>
      <c r="W9" s="498"/>
      <c r="X9" s="498"/>
      <c r="Y9" s="498"/>
      <c r="Z9" s="498"/>
      <c r="AA9" s="498"/>
      <c r="AB9" s="498"/>
      <c r="AC9" s="498"/>
      <c r="AD9" s="498"/>
      <c r="AE9" s="498"/>
      <c r="AF9" s="498"/>
      <c r="AG9" s="498"/>
      <c r="AH9" s="498"/>
      <c r="AI9" s="498"/>
      <c r="AJ9" s="498"/>
      <c r="AK9" s="498"/>
      <c r="AL9" s="498"/>
      <c r="AM9" s="498"/>
      <c r="AN9" s="498"/>
      <c r="AO9" s="505"/>
    </row>
    <row r="10" spans="1:41" ht="12.75" customHeight="1" x14ac:dyDescent="0.25">
      <c r="A10" s="551"/>
      <c r="B10" s="552"/>
      <c r="C10" s="552"/>
      <c r="D10" s="552"/>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3"/>
    </row>
    <row r="11" spans="1:41" ht="12.75" customHeight="1" x14ac:dyDescent="0.25">
      <c r="A11" s="551"/>
      <c r="B11" s="552"/>
      <c r="C11" s="552"/>
      <c r="D11" s="552"/>
      <c r="E11" s="532" t="s">
        <v>55</v>
      </c>
      <c r="F11" s="532"/>
      <c r="G11" s="532"/>
      <c r="H11" s="532"/>
      <c r="I11" s="532"/>
      <c r="J11" s="532"/>
      <c r="K11" s="532"/>
      <c r="L11" s="532"/>
      <c r="M11" s="532"/>
      <c r="N11" s="532"/>
      <c r="O11" s="532"/>
      <c r="P11" s="532"/>
      <c r="Q11" s="532"/>
      <c r="R11" s="532"/>
      <c r="S11" s="532"/>
      <c r="T11" s="532"/>
      <c r="U11" s="532"/>
      <c r="V11" s="532"/>
      <c r="W11" s="532"/>
      <c r="X11" s="533"/>
      <c r="Y11" s="42" t="str">
        <f>+General!W34</f>
        <v>X</v>
      </c>
      <c r="Z11" s="531" t="s">
        <v>56</v>
      </c>
      <c r="AA11" s="532"/>
      <c r="AB11" s="532"/>
      <c r="AC11" s="532"/>
      <c r="AD11" s="532"/>
      <c r="AE11" s="533"/>
      <c r="AF11" s="42">
        <f>+General!AC34</f>
        <v>0</v>
      </c>
      <c r="AG11" s="531" t="s">
        <v>57</v>
      </c>
      <c r="AH11" s="532"/>
      <c r="AI11" s="532"/>
      <c r="AJ11" s="532"/>
      <c r="AK11" s="532"/>
      <c r="AL11" s="532"/>
      <c r="AM11" s="532"/>
      <c r="AN11" s="532"/>
      <c r="AO11" s="533"/>
    </row>
    <row r="12" spans="1:41" ht="12.75" customHeight="1" x14ac:dyDescent="0.25">
      <c r="A12" s="551"/>
      <c r="B12" s="552"/>
      <c r="C12" s="552"/>
      <c r="D12" s="552"/>
      <c r="E12" s="532" t="s">
        <v>58</v>
      </c>
      <c r="F12" s="532"/>
      <c r="G12" s="532"/>
      <c r="H12" s="532"/>
      <c r="I12" s="532"/>
      <c r="J12" s="532"/>
      <c r="K12" s="532"/>
      <c r="L12" s="532"/>
      <c r="M12" s="532"/>
      <c r="N12" s="532"/>
      <c r="O12" s="532"/>
      <c r="P12" s="532"/>
      <c r="Q12" s="532"/>
      <c r="R12" s="532"/>
      <c r="S12" s="532"/>
      <c r="T12" s="532"/>
      <c r="U12" s="532"/>
      <c r="V12" s="532"/>
      <c r="W12" s="532"/>
      <c r="X12" s="533"/>
      <c r="Y12" s="42" t="str">
        <f>+General!W35</f>
        <v>X</v>
      </c>
      <c r="Z12" s="531" t="s">
        <v>56</v>
      </c>
      <c r="AA12" s="532"/>
      <c r="AB12" s="532"/>
      <c r="AC12" s="532"/>
      <c r="AD12" s="532"/>
      <c r="AE12" s="533"/>
      <c r="AF12" s="42">
        <f>+General!AC35</f>
        <v>0</v>
      </c>
      <c r="AG12" s="531" t="s">
        <v>57</v>
      </c>
      <c r="AH12" s="532"/>
      <c r="AI12" s="532"/>
      <c r="AJ12" s="532"/>
      <c r="AK12" s="532"/>
      <c r="AL12" s="532"/>
      <c r="AM12" s="532"/>
      <c r="AN12" s="532"/>
      <c r="AO12" s="533"/>
    </row>
    <row r="13" spans="1:41" ht="12.75" customHeight="1" x14ac:dyDescent="0.25">
      <c r="A13" s="551"/>
      <c r="B13" s="552"/>
      <c r="C13" s="552"/>
      <c r="D13" s="552"/>
      <c r="E13" s="532" t="s">
        <v>59</v>
      </c>
      <c r="F13" s="532"/>
      <c r="G13" s="532"/>
      <c r="H13" s="532"/>
      <c r="I13" s="532"/>
      <c r="J13" s="532"/>
      <c r="K13" s="532"/>
      <c r="L13" s="532"/>
      <c r="M13" s="532"/>
      <c r="N13" s="532"/>
      <c r="O13" s="532"/>
      <c r="P13" s="532"/>
      <c r="Q13" s="532"/>
      <c r="R13" s="532"/>
      <c r="S13" s="532"/>
      <c r="T13" s="532"/>
      <c r="U13" s="532"/>
      <c r="V13" s="532"/>
      <c r="W13" s="532"/>
      <c r="X13" s="533"/>
      <c r="Y13" s="42" t="str">
        <f>+General!W36</f>
        <v>X</v>
      </c>
      <c r="Z13" s="531" t="s">
        <v>56</v>
      </c>
      <c r="AA13" s="532"/>
      <c r="AB13" s="532"/>
      <c r="AC13" s="532"/>
      <c r="AD13" s="532"/>
      <c r="AE13" s="533"/>
      <c r="AF13" s="42">
        <f>+General!AC36</f>
        <v>0</v>
      </c>
      <c r="AG13" s="531" t="s">
        <v>57</v>
      </c>
      <c r="AH13" s="532"/>
      <c r="AI13" s="532"/>
      <c r="AJ13" s="532"/>
      <c r="AK13" s="532"/>
      <c r="AL13" s="532"/>
      <c r="AM13" s="532"/>
      <c r="AN13" s="532"/>
      <c r="AO13" s="533"/>
    </row>
    <row r="14" spans="1:41" ht="12.75" customHeight="1" x14ac:dyDescent="0.25">
      <c r="A14" s="551"/>
      <c r="B14" s="552"/>
      <c r="C14" s="552"/>
      <c r="D14" s="552"/>
      <c r="E14" s="532" t="s">
        <v>60</v>
      </c>
      <c r="F14" s="532"/>
      <c r="G14" s="532"/>
      <c r="H14" s="532"/>
      <c r="I14" s="532"/>
      <c r="J14" s="532"/>
      <c r="K14" s="532"/>
      <c r="L14" s="532"/>
      <c r="M14" s="532"/>
      <c r="N14" s="532"/>
      <c r="O14" s="532"/>
      <c r="P14" s="532"/>
      <c r="Q14" s="532"/>
      <c r="R14" s="532"/>
      <c r="S14" s="532"/>
      <c r="T14" s="532"/>
      <c r="U14" s="532"/>
      <c r="V14" s="532"/>
      <c r="W14" s="532"/>
      <c r="X14" s="533"/>
      <c r="Y14" s="42">
        <f>+General!W37</f>
        <v>0</v>
      </c>
      <c r="Z14" s="531" t="s">
        <v>61</v>
      </c>
      <c r="AA14" s="532"/>
      <c r="AB14" s="532"/>
      <c r="AC14" s="532"/>
      <c r="AD14" s="532"/>
      <c r="AE14" s="533"/>
      <c r="AF14" s="42" t="str">
        <f>+General!AC37</f>
        <v>X</v>
      </c>
      <c r="AG14" s="531" t="s">
        <v>62</v>
      </c>
      <c r="AH14" s="532"/>
      <c r="AI14" s="532"/>
      <c r="AJ14" s="532"/>
      <c r="AK14" s="532"/>
      <c r="AL14" s="532"/>
      <c r="AM14" s="532"/>
      <c r="AN14" s="532"/>
      <c r="AO14" s="533"/>
    </row>
    <row r="15" spans="1:41" ht="12.75" customHeight="1" x14ac:dyDescent="0.25">
      <c r="A15" s="551"/>
      <c r="B15" s="552"/>
      <c r="C15" s="552"/>
      <c r="D15" s="552"/>
      <c r="E15" s="532" t="s">
        <v>63</v>
      </c>
      <c r="F15" s="532"/>
      <c r="G15" s="532"/>
      <c r="H15" s="532"/>
      <c r="I15" s="532"/>
      <c r="J15" s="532"/>
      <c r="K15" s="532"/>
      <c r="L15" s="532"/>
      <c r="M15" s="532"/>
      <c r="N15" s="532"/>
      <c r="O15" s="532"/>
      <c r="P15" s="532"/>
      <c r="Q15" s="532"/>
      <c r="R15" s="532"/>
      <c r="S15" s="532"/>
      <c r="T15" s="532"/>
      <c r="U15" s="532"/>
      <c r="V15" s="532"/>
      <c r="W15" s="532"/>
      <c r="X15" s="533"/>
      <c r="Y15" s="42" t="str">
        <f>+General!W38</f>
        <v>X</v>
      </c>
      <c r="Z15" s="531" t="s">
        <v>56</v>
      </c>
      <c r="AA15" s="532"/>
      <c r="AB15" s="532"/>
      <c r="AC15" s="532"/>
      <c r="AD15" s="532"/>
      <c r="AE15" s="533"/>
      <c r="AF15" s="42">
        <f>+General!AC38</f>
        <v>0</v>
      </c>
      <c r="AG15" s="531" t="s">
        <v>57</v>
      </c>
      <c r="AH15" s="532"/>
      <c r="AI15" s="532"/>
      <c r="AJ15" s="532"/>
      <c r="AK15" s="532"/>
      <c r="AL15" s="532"/>
      <c r="AM15" s="532"/>
      <c r="AN15" s="532"/>
      <c r="AO15" s="533"/>
    </row>
    <row r="16" spans="1:41" ht="12.75" customHeight="1" x14ac:dyDescent="0.25">
      <c r="A16" s="534"/>
      <c r="B16" s="535"/>
      <c r="C16" s="535"/>
      <c r="D16" s="535"/>
      <c r="E16" s="535"/>
      <c r="F16" s="535"/>
      <c r="G16" s="535"/>
      <c r="H16" s="535"/>
      <c r="I16" s="535"/>
      <c r="J16" s="535"/>
      <c r="K16" s="535"/>
      <c r="L16" s="535"/>
      <c r="M16" s="535"/>
      <c r="N16" s="535"/>
      <c r="O16" s="535"/>
      <c r="P16" s="535"/>
      <c r="Q16" s="535"/>
      <c r="R16" s="535"/>
      <c r="S16" s="535"/>
      <c r="T16" s="535"/>
      <c r="U16" s="535"/>
      <c r="V16" s="535"/>
      <c r="W16" s="535"/>
      <c r="X16" s="535"/>
      <c r="Y16" s="535"/>
      <c r="Z16" s="535"/>
      <c r="AA16" s="535"/>
      <c r="AB16" s="535"/>
      <c r="AC16" s="535"/>
      <c r="AD16" s="535"/>
      <c r="AE16" s="535"/>
      <c r="AF16" s="535"/>
      <c r="AG16" s="535"/>
      <c r="AH16" s="535"/>
      <c r="AI16" s="535"/>
      <c r="AJ16" s="535"/>
      <c r="AK16" s="535"/>
      <c r="AL16" s="535"/>
      <c r="AM16" s="535"/>
      <c r="AN16" s="535"/>
      <c r="AO16" s="536"/>
    </row>
    <row r="17" spans="1:41" ht="12.75" customHeight="1" x14ac:dyDescent="0.25">
      <c r="A17" s="43"/>
      <c r="B17" s="585" t="s">
        <v>64</v>
      </c>
      <c r="C17" s="585"/>
      <c r="D17" s="585"/>
      <c r="E17" s="585"/>
      <c r="F17" s="585"/>
      <c r="G17" s="585"/>
      <c r="H17" s="585"/>
      <c r="I17" s="585"/>
      <c r="J17" s="585"/>
      <c r="K17" s="585"/>
      <c r="L17" s="585"/>
      <c r="M17" s="585"/>
      <c r="N17" s="585"/>
      <c r="O17" s="585"/>
      <c r="P17" s="585"/>
      <c r="Q17" s="585"/>
      <c r="R17" s="585"/>
      <c r="S17" s="585"/>
      <c r="T17" s="585"/>
      <c r="U17" s="585"/>
      <c r="V17" s="585"/>
      <c r="W17" s="585"/>
      <c r="X17" s="585"/>
      <c r="Y17" s="585"/>
      <c r="Z17" s="585"/>
      <c r="AA17" s="585"/>
      <c r="AB17" s="585"/>
      <c r="AC17" s="585"/>
      <c r="AD17" s="585"/>
      <c r="AE17" s="585"/>
      <c r="AF17" s="585"/>
      <c r="AG17" s="585"/>
      <c r="AH17" s="585"/>
      <c r="AI17" s="585"/>
      <c r="AJ17" s="585"/>
      <c r="AK17" s="585"/>
      <c r="AL17" s="585"/>
      <c r="AM17" s="585"/>
      <c r="AN17" s="585"/>
      <c r="AO17" s="586"/>
    </row>
    <row r="18" spans="1:41" ht="12.75" customHeight="1" x14ac:dyDescent="0.25">
      <c r="A18" s="45"/>
      <c r="B18" s="46" t="str">
        <f>+Draft!A37</f>
        <v>REMARK: Swell Condition, Initial ( 0,10 to 0.20 Mtr) /  Final Draft ( 0,10 to 0,20 Mtr)</v>
      </c>
      <c r="AO18" s="30"/>
    </row>
    <row r="19" spans="1:41" ht="12.75" customHeight="1" x14ac:dyDescent="0.25">
      <c r="A19" s="43"/>
      <c r="B19" s="540" t="s">
        <v>65</v>
      </c>
      <c r="C19" s="585"/>
      <c r="D19" s="585"/>
      <c r="E19" s="585"/>
      <c r="F19" s="585"/>
      <c r="G19" s="585"/>
      <c r="H19" s="585"/>
      <c r="I19" s="585"/>
      <c r="J19" s="585"/>
      <c r="K19" s="585"/>
      <c r="L19" s="585"/>
      <c r="M19" s="585"/>
      <c r="N19" s="585"/>
      <c r="O19" s="585"/>
      <c r="P19" s="585"/>
      <c r="Q19" s="585"/>
      <c r="R19" s="585"/>
      <c r="S19" s="585"/>
      <c r="T19" s="585"/>
      <c r="U19" s="585"/>
      <c r="V19" s="585"/>
      <c r="W19" s="585"/>
      <c r="X19" s="585"/>
      <c r="Y19" s="585"/>
      <c r="Z19" s="585"/>
      <c r="AA19" s="585"/>
      <c r="AB19" s="585"/>
      <c r="AC19" s="585"/>
      <c r="AD19" s="585"/>
      <c r="AE19" s="585"/>
      <c r="AF19" s="585"/>
      <c r="AG19" s="585"/>
      <c r="AH19" s="585"/>
      <c r="AI19" s="585"/>
      <c r="AJ19" s="585"/>
      <c r="AK19" s="585"/>
      <c r="AL19" s="585"/>
      <c r="AM19" s="585"/>
      <c r="AN19" s="585"/>
      <c r="AO19" s="586"/>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587" t="s">
        <v>66</v>
      </c>
      <c r="B21" s="588"/>
      <c r="C21" s="588"/>
      <c r="D21" s="588"/>
      <c r="E21" s="588"/>
      <c r="F21" s="588"/>
      <c r="G21" s="588"/>
      <c r="H21" s="588"/>
      <c r="I21" s="588"/>
      <c r="J21" s="588"/>
      <c r="K21" s="588"/>
      <c r="L21" s="588"/>
      <c r="M21" s="588"/>
      <c r="N21" s="588"/>
      <c r="O21" s="588"/>
      <c r="P21" s="588"/>
      <c r="Q21" s="588"/>
      <c r="R21" s="588"/>
      <c r="S21" s="588"/>
      <c r="T21" s="588"/>
      <c r="U21" s="588"/>
      <c r="V21" s="588"/>
      <c r="W21" s="588"/>
      <c r="X21" s="588"/>
      <c r="Y21" s="588"/>
      <c r="Z21" s="588"/>
      <c r="AA21" s="588"/>
      <c r="AB21" s="588"/>
      <c r="AC21" s="588"/>
      <c r="AD21" s="588"/>
      <c r="AE21" s="588"/>
      <c r="AF21" s="588"/>
      <c r="AG21" s="588"/>
      <c r="AH21" s="588"/>
      <c r="AI21" s="588"/>
      <c r="AJ21" s="588"/>
      <c r="AK21" s="588"/>
      <c r="AL21" s="588"/>
      <c r="AM21" s="588"/>
      <c r="AN21" s="588"/>
      <c r="AO21" s="589"/>
    </row>
    <row r="22" spans="1:41" ht="12.75" customHeight="1" x14ac:dyDescent="0.25">
      <c r="A22" s="4"/>
      <c r="B22" s="273" t="str">
        <f>+General!A28</f>
        <v>ABS  JAN 12 /2001</v>
      </c>
      <c r="C22" s="273"/>
      <c r="D22" s="273"/>
      <c r="E22" s="273"/>
      <c r="F22" s="273"/>
      <c r="G22" s="273"/>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590"/>
    </row>
    <row r="23" spans="1:41" ht="7.95" customHeight="1" x14ac:dyDescent="0.25">
      <c r="A23" s="504"/>
      <c r="B23" s="498"/>
      <c r="C23" s="498"/>
      <c r="D23" s="498"/>
      <c r="E23" s="498"/>
      <c r="F23" s="498"/>
      <c r="G23" s="498"/>
      <c r="H23" s="498"/>
      <c r="I23" s="498"/>
      <c r="J23" s="498"/>
      <c r="K23" s="498"/>
      <c r="L23" s="498"/>
      <c r="M23" s="498"/>
      <c r="N23" s="498"/>
      <c r="O23" s="498"/>
      <c r="P23" s="498"/>
      <c r="Q23" s="498"/>
      <c r="R23" s="498"/>
      <c r="S23" s="498"/>
      <c r="T23" s="498"/>
      <c r="U23" s="498"/>
      <c r="V23" s="498"/>
      <c r="W23" s="498"/>
      <c r="X23" s="498"/>
      <c r="Y23" s="498"/>
      <c r="Z23" s="498"/>
      <c r="AA23" s="498"/>
      <c r="AB23" s="498"/>
      <c r="AC23" s="498"/>
      <c r="AD23" s="498"/>
      <c r="AE23" s="498"/>
      <c r="AF23" s="498"/>
      <c r="AG23" s="498"/>
      <c r="AH23" s="498"/>
      <c r="AI23" s="498"/>
      <c r="AJ23" s="498"/>
      <c r="AK23" s="498"/>
      <c r="AL23" s="498"/>
      <c r="AM23" s="498"/>
      <c r="AN23" s="498"/>
      <c r="AO23" s="505"/>
    </row>
    <row r="24" spans="1:41" ht="12.75" customHeight="1" x14ac:dyDescent="0.3">
      <c r="A24" s="23"/>
      <c r="B24" s="583" t="s">
        <v>67</v>
      </c>
      <c r="C24" s="583"/>
      <c r="D24" s="583"/>
      <c r="E24" s="583"/>
      <c r="F24" s="583"/>
      <c r="G24" s="583"/>
      <c r="H24" s="583"/>
      <c r="I24" s="583"/>
      <c r="J24" s="583"/>
      <c r="K24" s="583"/>
      <c r="L24" s="583"/>
      <c r="M24" s="583"/>
      <c r="N24" s="583"/>
      <c r="O24" s="583"/>
      <c r="P24" s="583"/>
      <c r="Q24" s="583"/>
      <c r="R24" s="583"/>
      <c r="S24" s="583"/>
      <c r="T24" s="583"/>
      <c r="U24" s="583"/>
      <c r="V24" s="584"/>
      <c r="W24" s="49" t="str">
        <f>+General!W39</f>
        <v>X</v>
      </c>
      <c r="X24" s="531" t="s">
        <v>68</v>
      </c>
      <c r="Y24" s="532"/>
      <c r="Z24" s="533"/>
      <c r="AA24" s="50">
        <f>+General!AC39</f>
        <v>0</v>
      </c>
      <c r="AB24" s="531" t="s">
        <v>69</v>
      </c>
      <c r="AC24" s="532"/>
      <c r="AD24" s="532"/>
      <c r="AE24" s="532"/>
      <c r="AF24" s="532"/>
      <c r="AG24" s="532"/>
      <c r="AH24" s="532"/>
      <c r="AI24" s="532"/>
      <c r="AJ24" s="532"/>
      <c r="AK24" s="532"/>
      <c r="AL24" s="532"/>
      <c r="AM24" s="532"/>
      <c r="AN24" s="532"/>
      <c r="AO24" s="533"/>
    </row>
    <row r="25" spans="1:41" ht="6.6" customHeight="1" x14ac:dyDescent="0.25">
      <c r="A25" s="534"/>
      <c r="B25" s="535"/>
      <c r="C25" s="535"/>
      <c r="D25" s="535"/>
      <c r="E25" s="535"/>
      <c r="F25" s="535"/>
      <c r="G25" s="535"/>
      <c r="H25" s="535"/>
      <c r="I25" s="535"/>
      <c r="J25" s="535"/>
      <c r="K25" s="535"/>
      <c r="L25" s="535"/>
      <c r="M25" s="535"/>
      <c r="N25" s="535"/>
      <c r="O25" s="535"/>
      <c r="P25" s="535"/>
      <c r="Q25" s="535"/>
      <c r="R25" s="535"/>
      <c r="S25" s="535"/>
      <c r="T25" s="535"/>
      <c r="U25" s="535"/>
      <c r="V25" s="535"/>
      <c r="W25" s="535"/>
      <c r="X25" s="535"/>
      <c r="Y25" s="535"/>
      <c r="Z25" s="535"/>
      <c r="AA25" s="535"/>
      <c r="AB25" s="535"/>
      <c r="AC25" s="535"/>
      <c r="AD25" s="535"/>
      <c r="AE25" s="535"/>
      <c r="AF25" s="535"/>
      <c r="AG25" s="535"/>
      <c r="AH25" s="535"/>
      <c r="AI25" s="535"/>
      <c r="AJ25" s="535"/>
      <c r="AK25" s="535"/>
      <c r="AL25" s="535"/>
      <c r="AM25" s="535"/>
      <c r="AN25" s="535"/>
      <c r="AO25" s="536"/>
    </row>
    <row r="26" spans="1:41" ht="12.75" customHeight="1" x14ac:dyDescent="0.25">
      <c r="A26" s="6"/>
      <c r="B26" s="585" t="s">
        <v>70</v>
      </c>
      <c r="C26" s="585"/>
      <c r="D26" s="585"/>
      <c r="E26" s="585"/>
      <c r="F26" s="585"/>
      <c r="G26" s="585"/>
      <c r="H26" s="585"/>
      <c r="I26" s="585"/>
      <c r="J26" s="585"/>
      <c r="K26" s="585"/>
      <c r="L26" s="585"/>
      <c r="M26" s="585"/>
      <c r="N26" s="585"/>
      <c r="O26" s="585"/>
      <c r="P26" s="585"/>
      <c r="Q26" s="585"/>
      <c r="R26" s="585"/>
      <c r="S26" s="585"/>
      <c r="T26" s="585"/>
      <c r="U26" s="585"/>
      <c r="V26" s="585"/>
      <c r="W26" s="585"/>
      <c r="X26" s="585"/>
      <c r="Y26" s="585"/>
      <c r="Z26" s="585"/>
      <c r="AA26" s="585"/>
      <c r="AB26" s="585"/>
      <c r="AC26" s="585"/>
      <c r="AD26" s="585"/>
      <c r="AE26" s="585"/>
      <c r="AF26" s="585"/>
      <c r="AG26" s="585"/>
      <c r="AH26" s="585"/>
      <c r="AI26" s="585"/>
      <c r="AJ26" s="585"/>
      <c r="AK26" s="585"/>
      <c r="AL26" s="585"/>
      <c r="AM26" s="585"/>
      <c r="AN26" s="585"/>
      <c r="AO26" s="586"/>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585" t="s">
        <v>71</v>
      </c>
      <c r="C28" s="585"/>
      <c r="D28" s="585"/>
      <c r="E28" s="585"/>
      <c r="F28" s="585"/>
      <c r="G28" s="585"/>
      <c r="H28" s="585"/>
      <c r="I28" s="585"/>
      <c r="J28" s="585"/>
      <c r="K28" s="585"/>
      <c r="L28" s="585"/>
      <c r="M28" s="585"/>
      <c r="N28" s="585"/>
      <c r="O28" s="585"/>
      <c r="P28" s="585"/>
      <c r="Q28" s="585"/>
      <c r="R28" s="585"/>
      <c r="S28" s="585" t="s">
        <v>72</v>
      </c>
      <c r="T28" s="585"/>
      <c r="U28" s="585"/>
      <c r="V28" s="585"/>
      <c r="W28" s="585"/>
      <c r="X28" s="585"/>
      <c r="Y28" s="585"/>
      <c r="Z28" s="585"/>
      <c r="AA28" s="585"/>
      <c r="AB28" s="585"/>
      <c r="AC28" s="540" t="s">
        <v>73</v>
      </c>
      <c r="AD28" s="540"/>
      <c r="AE28" s="540"/>
      <c r="AF28" s="540"/>
      <c r="AG28" s="540"/>
      <c r="AH28" s="540"/>
      <c r="AI28" s="540"/>
      <c r="AJ28" s="540"/>
      <c r="AK28" s="540"/>
      <c r="AL28" s="540"/>
      <c r="AM28" s="540"/>
      <c r="AN28" s="540"/>
      <c r="AO28" s="541"/>
    </row>
    <row r="29" spans="1:41" ht="12.75" customHeight="1" x14ac:dyDescent="0.25">
      <c r="A29" s="8"/>
      <c r="B29" s="15"/>
      <c r="C29" s="15"/>
      <c r="D29" s="16"/>
      <c r="E29" s="544"/>
      <c r="F29" s="544"/>
      <c r="G29" s="544"/>
      <c r="H29" s="544"/>
      <c r="I29" s="544"/>
      <c r="J29" s="544"/>
      <c r="K29" s="544"/>
      <c r="L29" s="544"/>
      <c r="M29" s="544"/>
      <c r="N29" s="544"/>
      <c r="O29" s="544"/>
      <c r="P29" s="544"/>
      <c r="Q29" s="544"/>
      <c r="R29" s="544"/>
      <c r="S29" s="544"/>
      <c r="T29" s="544"/>
      <c r="U29" s="544"/>
      <c r="V29" s="544"/>
      <c r="W29" s="544"/>
      <c r="X29" s="544"/>
      <c r="Y29" s="544"/>
      <c r="Z29" s="544"/>
      <c r="AA29" s="544"/>
      <c r="AB29" s="544"/>
      <c r="AC29" s="544"/>
      <c r="AD29" s="544"/>
      <c r="AE29" s="544"/>
      <c r="AF29" s="581"/>
      <c r="AG29" s="581"/>
      <c r="AH29" s="581"/>
      <c r="AI29" s="581"/>
      <c r="AJ29" s="581"/>
      <c r="AK29" s="581"/>
      <c r="AL29" s="581"/>
      <c r="AM29" s="581"/>
      <c r="AN29" s="581"/>
      <c r="AO29" s="582"/>
    </row>
    <row r="30" spans="1:41" ht="12.75" customHeight="1" x14ac:dyDescent="0.25">
      <c r="A30" s="504"/>
      <c r="B30" s="540" t="s">
        <v>74</v>
      </c>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c r="AC30" s="540"/>
      <c r="AD30" s="540"/>
      <c r="AE30" s="540"/>
      <c r="AF30" s="540"/>
      <c r="AG30" s="540"/>
      <c r="AH30" s="540"/>
      <c r="AI30" s="540"/>
      <c r="AJ30" s="540"/>
      <c r="AK30" s="540"/>
      <c r="AL30" s="540"/>
      <c r="AM30" s="540"/>
      <c r="AN30" s="540"/>
      <c r="AO30" s="541"/>
    </row>
    <row r="31" spans="1:41" ht="12.75" customHeight="1" x14ac:dyDescent="0.25">
      <c r="A31" s="534"/>
      <c r="B31" s="538"/>
      <c r="C31" s="538"/>
      <c r="D31" s="538"/>
      <c r="E31" s="538"/>
      <c r="F31" s="538"/>
      <c r="G31" s="538"/>
      <c r="H31" s="538"/>
      <c r="I31" s="538"/>
      <c r="J31" s="538"/>
      <c r="K31" s="538"/>
      <c r="L31" s="538"/>
      <c r="M31" s="538"/>
      <c r="N31" s="538"/>
      <c r="O31" s="538"/>
      <c r="P31" s="538"/>
      <c r="Q31" s="538"/>
      <c r="R31" s="538"/>
      <c r="S31" s="538"/>
      <c r="T31" s="538"/>
      <c r="U31" s="538"/>
      <c r="V31" s="538"/>
      <c r="W31" s="538"/>
      <c r="X31" s="538"/>
      <c r="Y31" s="538"/>
      <c r="Z31" s="538"/>
      <c r="AA31" s="538"/>
      <c r="AB31" s="538"/>
      <c r="AC31" s="538"/>
      <c r="AD31" s="538"/>
      <c r="AE31" s="538"/>
      <c r="AF31" s="538"/>
      <c r="AG31" s="538"/>
      <c r="AH31" s="538"/>
      <c r="AI31" s="538"/>
      <c r="AJ31" s="538"/>
      <c r="AK31" s="538"/>
      <c r="AL31" s="538"/>
      <c r="AM31" s="538"/>
      <c r="AN31" s="538"/>
      <c r="AO31" s="539"/>
    </row>
    <row r="32" spans="1:41" ht="12.75" customHeight="1" x14ac:dyDescent="0.25">
      <c r="A32" s="504"/>
      <c r="B32" s="498"/>
      <c r="C32" s="498"/>
      <c r="D32" s="498"/>
      <c r="E32" s="498"/>
      <c r="F32" s="498"/>
      <c r="G32" s="498"/>
      <c r="H32" s="498"/>
      <c r="I32" s="498"/>
      <c r="J32" s="498"/>
      <c r="K32" s="498"/>
      <c r="L32" s="498"/>
      <c r="M32" s="505"/>
      <c r="N32" s="577" t="s">
        <v>75</v>
      </c>
      <c r="O32" s="578"/>
      <c r="P32" s="578"/>
      <c r="Q32" s="578"/>
      <c r="R32" s="578"/>
      <c r="S32" s="579"/>
      <c r="T32" s="580"/>
      <c r="U32" s="560"/>
      <c r="V32" s="560"/>
      <c r="W32" s="560"/>
      <c r="X32" s="560"/>
      <c r="Y32" s="560"/>
      <c r="Z32" s="560"/>
      <c r="AA32" s="560"/>
      <c r="AB32" s="560"/>
      <c r="AC32" s="560"/>
      <c r="AD32" s="561"/>
      <c r="AE32" s="504" t="s">
        <v>76</v>
      </c>
      <c r="AF32" s="498"/>
      <c r="AG32" s="498"/>
      <c r="AH32" s="498"/>
      <c r="AI32" s="498"/>
      <c r="AJ32" s="505"/>
      <c r="AK32" s="580"/>
      <c r="AL32" s="560"/>
      <c r="AM32" s="560"/>
      <c r="AN32" s="560"/>
      <c r="AO32" s="561"/>
    </row>
    <row r="33" spans="1:41" ht="12.75" customHeight="1" x14ac:dyDescent="0.25">
      <c r="A33" s="547" t="s">
        <v>77</v>
      </c>
      <c r="B33" s="548"/>
      <c r="C33" s="548"/>
      <c r="D33" s="548"/>
      <c r="E33" s="548"/>
      <c r="F33" s="548"/>
      <c r="G33" s="548"/>
      <c r="H33" s="548"/>
      <c r="I33" s="548"/>
      <c r="J33" s="548"/>
      <c r="K33" s="548"/>
      <c r="L33" s="548"/>
      <c r="N33" s="563">
        <f>+General!M18</f>
        <v>0</v>
      </c>
      <c r="O33" s="564"/>
      <c r="P33" s="564"/>
      <c r="Q33" s="564"/>
      <c r="R33" s="564"/>
      <c r="S33" s="53"/>
      <c r="T33" s="547" t="s">
        <v>78</v>
      </c>
      <c r="U33" s="548"/>
      <c r="V33" s="548"/>
      <c r="W33" s="548"/>
      <c r="X33" s="548"/>
      <c r="Y33" s="548"/>
      <c r="Z33" s="548"/>
      <c r="AA33" s="548"/>
      <c r="AB33" s="548"/>
      <c r="AC33" s="548"/>
      <c r="AD33" s="25"/>
      <c r="AE33" s="565">
        <f>+General!AG18</f>
        <v>0</v>
      </c>
      <c r="AF33" s="566"/>
      <c r="AG33" s="566"/>
      <c r="AH33" s="566"/>
      <c r="AI33" s="566"/>
      <c r="AJ33" s="53"/>
      <c r="AK33" s="567"/>
      <c r="AL33" s="367"/>
      <c r="AM33" s="367"/>
      <c r="AN33" s="367"/>
      <c r="AO33" s="562"/>
    </row>
    <row r="34" spans="1:41" ht="12.75" customHeight="1" x14ac:dyDescent="0.25">
      <c r="A34" s="547" t="s">
        <v>79</v>
      </c>
      <c r="B34" s="548"/>
      <c r="C34" s="548"/>
      <c r="D34" s="548"/>
      <c r="E34" s="548"/>
      <c r="F34" s="548"/>
      <c r="G34" s="548"/>
      <c r="H34" s="548"/>
      <c r="I34" s="548"/>
      <c r="J34" s="548"/>
      <c r="K34" s="548"/>
      <c r="L34" s="548"/>
      <c r="N34" s="563">
        <f>+General!M19</f>
        <v>0</v>
      </c>
      <c r="O34" s="564"/>
      <c r="P34" s="564"/>
      <c r="Q34" s="564"/>
      <c r="R34" s="564"/>
      <c r="S34" s="53"/>
      <c r="T34" s="547" t="s">
        <v>80</v>
      </c>
      <c r="U34" s="548"/>
      <c r="V34" s="548"/>
      <c r="W34" s="548"/>
      <c r="X34" s="548"/>
      <c r="Y34" s="548"/>
      <c r="Z34" s="548"/>
      <c r="AA34" s="548"/>
      <c r="AB34" s="548"/>
      <c r="AC34" s="548"/>
      <c r="AD34" s="25"/>
      <c r="AE34" s="565">
        <f>+General!AG19</f>
        <v>0</v>
      </c>
      <c r="AF34" s="566"/>
      <c r="AG34" s="566"/>
      <c r="AH34" s="566"/>
      <c r="AI34" s="566"/>
      <c r="AJ34" s="53"/>
      <c r="AK34" s="567"/>
      <c r="AL34" s="367"/>
      <c r="AM34" s="367"/>
      <c r="AN34" s="367"/>
      <c r="AO34" s="562"/>
    </row>
    <row r="35" spans="1:41" ht="12.75" customHeight="1" x14ac:dyDescent="0.25">
      <c r="A35" s="547" t="s">
        <v>81</v>
      </c>
      <c r="B35" s="548"/>
      <c r="C35" s="548"/>
      <c r="D35" s="548"/>
      <c r="E35" s="548"/>
      <c r="F35" s="548"/>
      <c r="G35" s="548"/>
      <c r="H35" s="548"/>
      <c r="I35" s="548"/>
      <c r="J35" s="548"/>
      <c r="K35" s="548"/>
      <c r="L35" s="548"/>
      <c r="N35" s="563">
        <f>+General!M20</f>
        <v>0</v>
      </c>
      <c r="O35" s="564"/>
      <c r="P35" s="564"/>
      <c r="Q35" s="564"/>
      <c r="R35" s="564"/>
      <c r="S35" s="53"/>
      <c r="T35" s="547" t="s">
        <v>82</v>
      </c>
      <c r="U35" s="548"/>
      <c r="V35" s="548"/>
      <c r="W35" s="548"/>
      <c r="X35" s="548"/>
      <c r="Y35" s="548"/>
      <c r="Z35" s="548"/>
      <c r="AA35" s="548"/>
      <c r="AB35" s="548"/>
      <c r="AC35" s="548"/>
      <c r="AD35" s="25"/>
      <c r="AE35" s="565">
        <f>+General!AG20</f>
        <v>0</v>
      </c>
      <c r="AF35" s="566"/>
      <c r="AG35" s="566"/>
      <c r="AH35" s="566"/>
      <c r="AI35" s="566"/>
      <c r="AJ35" s="53"/>
      <c r="AK35" s="567"/>
      <c r="AL35" s="367"/>
      <c r="AM35" s="367"/>
      <c r="AN35" s="367"/>
      <c r="AO35" s="562"/>
    </row>
    <row r="36" spans="1:41" ht="12.75" customHeight="1" x14ac:dyDescent="0.25">
      <c r="A36" s="547" t="s">
        <v>83</v>
      </c>
      <c r="B36" s="548"/>
      <c r="C36" s="548"/>
      <c r="D36" s="548"/>
      <c r="E36" s="548"/>
      <c r="F36" s="548"/>
      <c r="G36" s="548"/>
      <c r="H36" s="548"/>
      <c r="I36" s="548"/>
      <c r="J36" s="548"/>
      <c r="K36" s="548"/>
      <c r="L36" s="548"/>
      <c r="N36" s="563">
        <f>+General!M21</f>
        <v>0</v>
      </c>
      <c r="O36" s="564"/>
      <c r="P36" s="564"/>
      <c r="Q36" s="564"/>
      <c r="R36" s="564"/>
      <c r="S36" s="53"/>
      <c r="T36" s="547" t="s">
        <v>84</v>
      </c>
      <c r="U36" s="548"/>
      <c r="V36" s="548"/>
      <c r="W36" s="548"/>
      <c r="X36" s="548"/>
      <c r="Y36" s="548"/>
      <c r="Z36" s="548"/>
      <c r="AA36" s="548"/>
      <c r="AB36" s="548"/>
      <c r="AC36" s="548"/>
      <c r="AD36" s="25"/>
      <c r="AE36" s="565">
        <f>+General!AG21</f>
        <v>0</v>
      </c>
      <c r="AF36" s="566"/>
      <c r="AG36" s="566"/>
      <c r="AH36" s="566"/>
      <c r="AI36" s="566"/>
      <c r="AJ36" s="53"/>
      <c r="AK36" s="567"/>
      <c r="AL36" s="367"/>
      <c r="AM36" s="367"/>
      <c r="AN36" s="367"/>
      <c r="AO36" s="562"/>
    </row>
    <row r="37" spans="1:41" ht="12.75" customHeight="1" x14ac:dyDescent="0.25">
      <c r="A37" s="558" t="s">
        <v>85</v>
      </c>
      <c r="B37" s="559"/>
      <c r="C37" s="559"/>
      <c r="D37" s="559"/>
      <c r="E37" s="559"/>
      <c r="F37" s="559"/>
      <c r="G37" s="559"/>
      <c r="H37" s="559"/>
      <c r="I37" s="559"/>
      <c r="J37" s="559"/>
      <c r="K37" s="559"/>
      <c r="L37" s="559"/>
      <c r="N37" s="563">
        <f>+General!M22</f>
        <v>0</v>
      </c>
      <c r="O37" s="564"/>
      <c r="P37" s="564"/>
      <c r="Q37" s="564"/>
      <c r="R37" s="564"/>
      <c r="S37" s="53"/>
      <c r="T37" s="547" t="s">
        <v>86</v>
      </c>
      <c r="U37" s="548"/>
      <c r="V37" s="548"/>
      <c r="W37" s="548"/>
      <c r="X37" s="548"/>
      <c r="Y37" s="548"/>
      <c r="Z37" s="548"/>
      <c r="AA37" s="548"/>
      <c r="AB37" s="548"/>
      <c r="AC37" s="548"/>
      <c r="AD37" s="25"/>
      <c r="AE37" s="565">
        <f>+General!AG22</f>
        <v>0</v>
      </c>
      <c r="AF37" s="566"/>
      <c r="AG37" s="566"/>
      <c r="AH37" s="566"/>
      <c r="AI37" s="566"/>
      <c r="AJ37" s="53"/>
      <c r="AK37" s="567"/>
      <c r="AL37" s="367"/>
      <c r="AM37" s="367"/>
      <c r="AN37" s="367"/>
      <c r="AO37" s="562"/>
    </row>
    <row r="38" spans="1:41" ht="12.75" customHeight="1" x14ac:dyDescent="0.25">
      <c r="A38" s="547" t="s">
        <v>87</v>
      </c>
      <c r="B38" s="548"/>
      <c r="C38" s="548"/>
      <c r="D38" s="548"/>
      <c r="E38" s="548"/>
      <c r="F38" s="548"/>
      <c r="G38" s="548"/>
      <c r="H38" s="548"/>
      <c r="I38" s="548"/>
      <c r="J38" s="548"/>
      <c r="K38" s="548"/>
      <c r="L38" s="548"/>
      <c r="N38" s="563">
        <f>+General!M23</f>
        <v>0</v>
      </c>
      <c r="O38" s="564"/>
      <c r="P38" s="564"/>
      <c r="Q38" s="564"/>
      <c r="R38" s="564"/>
      <c r="S38" s="53"/>
      <c r="T38" s="547" t="s">
        <v>88</v>
      </c>
      <c r="U38" s="548"/>
      <c r="V38" s="548"/>
      <c r="W38" s="548"/>
      <c r="X38" s="548"/>
      <c r="Y38" s="548"/>
      <c r="Z38" s="548"/>
      <c r="AA38" s="548"/>
      <c r="AB38" s="548"/>
      <c r="AC38" s="548"/>
      <c r="AD38" s="25"/>
      <c r="AE38" s="573">
        <f>+General!AG23</f>
        <v>0</v>
      </c>
      <c r="AF38" s="574"/>
      <c r="AG38" s="574"/>
      <c r="AH38" s="574"/>
      <c r="AI38" s="574"/>
      <c r="AJ38" s="55"/>
      <c r="AK38" s="567"/>
      <c r="AL38" s="367"/>
      <c r="AM38" s="367"/>
      <c r="AN38" s="367"/>
      <c r="AO38" s="562"/>
    </row>
    <row r="39" spans="1:41" ht="12.75" customHeight="1" x14ac:dyDescent="0.25">
      <c r="A39" s="547" t="s">
        <v>89</v>
      </c>
      <c r="B39" s="548"/>
      <c r="C39" s="548"/>
      <c r="D39" s="548"/>
      <c r="E39" s="548"/>
      <c r="F39" s="548"/>
      <c r="G39" s="548"/>
      <c r="H39" s="548"/>
      <c r="I39" s="548"/>
      <c r="J39" s="548"/>
      <c r="K39" s="548"/>
      <c r="L39" s="548"/>
      <c r="N39" s="563">
        <f>+General!M24</f>
        <v>0</v>
      </c>
      <c r="O39" s="564"/>
      <c r="P39" s="564"/>
      <c r="Q39" s="564"/>
      <c r="R39" s="564"/>
      <c r="S39" s="53"/>
      <c r="T39" s="547" t="s">
        <v>90</v>
      </c>
      <c r="U39" s="548"/>
      <c r="V39" s="548"/>
      <c r="W39" s="548"/>
      <c r="X39" s="548"/>
      <c r="Y39" s="548"/>
      <c r="Z39" s="548"/>
      <c r="AA39" s="548"/>
      <c r="AB39" s="548"/>
      <c r="AC39" s="548"/>
      <c r="AD39" s="25"/>
      <c r="AE39" s="575">
        <f>+General!AG24</f>
        <v>0</v>
      </c>
      <c r="AF39" s="576"/>
      <c r="AG39" s="576"/>
      <c r="AH39" s="576"/>
      <c r="AI39" s="576"/>
      <c r="AJ39" s="56"/>
      <c r="AK39" s="567"/>
      <c r="AL39" s="367"/>
      <c r="AM39" s="367"/>
      <c r="AN39" s="367"/>
      <c r="AO39" s="562"/>
    </row>
    <row r="40" spans="1:41" ht="12.75" customHeight="1" x14ac:dyDescent="0.25">
      <c r="A40" s="558" t="s">
        <v>91</v>
      </c>
      <c r="B40" s="559"/>
      <c r="C40" s="559"/>
      <c r="D40" s="559"/>
      <c r="E40" s="559"/>
      <c r="F40" s="559"/>
      <c r="G40" s="559"/>
      <c r="H40" s="559"/>
      <c r="I40" s="559"/>
      <c r="J40" s="559"/>
      <c r="K40" s="559"/>
      <c r="L40" s="559"/>
      <c r="N40" s="563">
        <f>+General!M25</f>
        <v>0</v>
      </c>
      <c r="O40" s="564"/>
      <c r="P40" s="564"/>
      <c r="Q40" s="564"/>
      <c r="R40" s="564"/>
      <c r="S40" s="53"/>
      <c r="T40" s="547" t="s">
        <v>92</v>
      </c>
      <c r="U40" s="548"/>
      <c r="V40" s="548"/>
      <c r="W40" s="548"/>
      <c r="X40" s="548"/>
      <c r="Y40" s="548"/>
      <c r="Z40" s="548"/>
      <c r="AA40" s="548"/>
      <c r="AB40" s="548"/>
      <c r="AC40" s="548"/>
      <c r="AD40" s="25"/>
      <c r="AE40" s="565">
        <f>+General!AG25</f>
        <v>0</v>
      </c>
      <c r="AF40" s="566"/>
      <c r="AG40" s="566"/>
      <c r="AH40" s="566"/>
      <c r="AI40" s="566"/>
      <c r="AJ40" s="53"/>
      <c r="AK40" s="567"/>
      <c r="AL40" s="367"/>
      <c r="AM40" s="367"/>
      <c r="AN40" s="367"/>
      <c r="AO40" s="562"/>
    </row>
    <row r="41" spans="1:41" ht="12.75" customHeight="1" x14ac:dyDescent="0.25">
      <c r="A41" s="534"/>
      <c r="B41" s="535"/>
      <c r="C41" s="535"/>
      <c r="D41" s="535"/>
      <c r="E41" s="535"/>
      <c r="F41" s="535"/>
      <c r="G41" s="535"/>
      <c r="H41" s="535"/>
      <c r="I41" s="535"/>
      <c r="J41" s="535"/>
      <c r="K41" s="535"/>
      <c r="L41" s="535"/>
      <c r="M41" s="536"/>
      <c r="N41" s="568"/>
      <c r="O41" s="569"/>
      <c r="P41" s="569"/>
      <c r="Q41" s="569"/>
      <c r="R41" s="569"/>
      <c r="S41" s="570"/>
      <c r="T41" s="17"/>
      <c r="U41" s="17"/>
      <c r="V41" s="17"/>
      <c r="W41" s="17"/>
      <c r="X41" s="17"/>
      <c r="Y41" s="16"/>
      <c r="Z41" s="16"/>
      <c r="AA41" s="16"/>
      <c r="AB41" s="16"/>
      <c r="AC41" s="57"/>
      <c r="AD41" s="16"/>
      <c r="AE41" s="58"/>
      <c r="AF41" s="59"/>
      <c r="AG41" s="17"/>
      <c r="AH41" s="17"/>
      <c r="AI41" s="59"/>
      <c r="AJ41" s="55"/>
      <c r="AK41" s="571"/>
      <c r="AL41" s="550"/>
      <c r="AM41" s="550"/>
      <c r="AN41" s="550"/>
      <c r="AO41" s="572"/>
    </row>
    <row r="42" spans="1:41" ht="12.75" customHeight="1" x14ac:dyDescent="0.25">
      <c r="A42" s="504"/>
      <c r="B42" s="498"/>
      <c r="C42" s="498"/>
      <c r="D42" s="498"/>
      <c r="E42" s="498"/>
      <c r="F42" s="498"/>
      <c r="G42" s="498"/>
      <c r="H42" s="498"/>
      <c r="I42" s="498"/>
      <c r="J42" s="498"/>
      <c r="K42" s="498"/>
      <c r="L42" s="498"/>
      <c r="M42" s="498"/>
      <c r="N42" s="498"/>
      <c r="O42" s="498"/>
      <c r="P42" s="498"/>
      <c r="Q42" s="498"/>
      <c r="R42" s="498"/>
      <c r="S42" s="498" t="s">
        <v>31</v>
      </c>
      <c r="T42" s="498"/>
      <c r="U42" s="498"/>
      <c r="V42" s="498"/>
      <c r="W42" s="498"/>
      <c r="X42" s="498"/>
      <c r="Y42" s="498"/>
      <c r="Z42" s="560"/>
      <c r="AA42" s="560"/>
      <c r="AB42" s="560"/>
      <c r="AC42" s="498" t="s">
        <v>32</v>
      </c>
      <c r="AD42" s="498" t="s">
        <v>32</v>
      </c>
      <c r="AE42" s="498"/>
      <c r="AF42" s="498"/>
      <c r="AG42" s="498"/>
      <c r="AH42" s="498"/>
      <c r="AI42" s="498"/>
      <c r="AJ42" s="560"/>
      <c r="AK42" s="560"/>
      <c r="AL42" s="560"/>
      <c r="AM42" s="560"/>
      <c r="AN42" s="560"/>
      <c r="AO42" s="561"/>
    </row>
    <row r="43" spans="1:41" ht="12.75" customHeight="1" x14ac:dyDescent="0.25">
      <c r="A43" s="558" t="s">
        <v>93</v>
      </c>
      <c r="B43" s="559"/>
      <c r="C43" s="559"/>
      <c r="D43" s="559"/>
      <c r="E43" s="559"/>
      <c r="F43" s="559"/>
      <c r="G43" s="559"/>
      <c r="H43" s="559"/>
      <c r="I43" s="559"/>
      <c r="J43" s="559"/>
      <c r="K43" s="559"/>
      <c r="L43" s="559"/>
      <c r="M43" s="559"/>
      <c r="N43" s="559"/>
      <c r="O43" s="559"/>
      <c r="P43" s="559"/>
      <c r="Q43" s="559"/>
      <c r="S43" s="557" t="e">
        <f>+Draft!E16</f>
        <v>#DIV/0!</v>
      </c>
      <c r="T43" s="549"/>
      <c r="U43" s="549"/>
      <c r="V43" s="549"/>
      <c r="W43" s="549"/>
      <c r="X43" s="550"/>
      <c r="Y43" s="550"/>
      <c r="Z43" s="367"/>
      <c r="AA43" s="367"/>
      <c r="AB43" s="367"/>
      <c r="AC43" s="557" t="e">
        <f>+Draft!AD16</f>
        <v>#DIV/0!</v>
      </c>
      <c r="AD43" s="549"/>
      <c r="AE43" s="549"/>
      <c r="AF43" s="549"/>
      <c r="AG43" s="549"/>
      <c r="AH43" s="550"/>
      <c r="AI43" s="550"/>
      <c r="AJ43" s="367"/>
      <c r="AK43" s="367"/>
      <c r="AL43" s="367"/>
      <c r="AM43" s="367"/>
      <c r="AN43" s="367"/>
      <c r="AO43" s="562"/>
    </row>
    <row r="44" spans="1:41" ht="12.75" customHeight="1" x14ac:dyDescent="0.25">
      <c r="A44" s="547" t="s">
        <v>94</v>
      </c>
      <c r="B44" s="548"/>
      <c r="C44" s="548"/>
      <c r="D44" s="548"/>
      <c r="E44" s="548"/>
      <c r="F44" s="548"/>
      <c r="G44" s="548"/>
      <c r="H44" s="548"/>
      <c r="I44" s="548"/>
      <c r="J44" s="548"/>
      <c r="K44" s="548"/>
      <c r="L44" s="548"/>
      <c r="M44" s="548"/>
      <c r="N44" s="548"/>
      <c r="O44" s="548"/>
      <c r="P44" s="548"/>
      <c r="Q44" s="548"/>
      <c r="S44" s="557" t="e">
        <f>+Draft!A16</f>
        <v>#DIV/0!</v>
      </c>
      <c r="T44" s="549"/>
      <c r="U44" s="549"/>
      <c r="V44" s="549"/>
      <c r="W44" s="549"/>
      <c r="X44" s="550"/>
      <c r="Y44" s="550"/>
      <c r="Z44" s="367"/>
      <c r="AA44" s="367"/>
      <c r="AB44" s="367"/>
      <c r="AC44" s="557" t="e">
        <f>+Draft!Z16</f>
        <v>#DIV/0!</v>
      </c>
      <c r="AD44" s="549"/>
      <c r="AE44" s="549"/>
      <c r="AF44" s="549"/>
      <c r="AG44" s="549"/>
      <c r="AH44" s="550"/>
      <c r="AI44" s="550"/>
      <c r="AJ44" s="367"/>
      <c r="AK44" s="367"/>
      <c r="AL44" s="367"/>
      <c r="AM44" s="367"/>
      <c r="AN44" s="367"/>
      <c r="AO44" s="562"/>
    </row>
    <row r="45" spans="1:41" ht="12.75" customHeight="1" x14ac:dyDescent="0.25">
      <c r="A45" s="547" t="s">
        <v>95</v>
      </c>
      <c r="B45" s="548"/>
      <c r="C45" s="548"/>
      <c r="D45" s="548"/>
      <c r="E45" s="548"/>
      <c r="F45" s="548"/>
      <c r="G45" s="548"/>
      <c r="H45" s="548"/>
      <c r="I45" s="548"/>
      <c r="J45" s="548"/>
      <c r="K45" s="548"/>
      <c r="L45" s="548"/>
      <c r="M45" s="548"/>
      <c r="N45" s="548"/>
      <c r="O45" s="548"/>
      <c r="P45" s="548"/>
      <c r="Q45" s="548"/>
      <c r="S45" s="557">
        <f>+Draft!V8</f>
        <v>0</v>
      </c>
      <c r="T45" s="549"/>
      <c r="U45" s="549"/>
      <c r="V45" s="549"/>
      <c r="W45" s="549"/>
      <c r="X45" s="550"/>
      <c r="Y45" s="550"/>
      <c r="Z45" s="367"/>
      <c r="AA45" s="367"/>
      <c r="AB45" s="367"/>
      <c r="AC45" s="557">
        <f>+Draft!AU8</f>
        <v>0</v>
      </c>
      <c r="AD45" s="549"/>
      <c r="AE45" s="549"/>
      <c r="AF45" s="549"/>
      <c r="AG45" s="549"/>
      <c r="AH45" s="550"/>
      <c r="AI45" s="550"/>
      <c r="AJ45" s="367"/>
      <c r="AK45" s="367"/>
      <c r="AL45" s="367"/>
      <c r="AM45" s="367"/>
      <c r="AN45" s="367"/>
      <c r="AO45" s="562"/>
    </row>
    <row r="46" spans="1:41" ht="12.75" customHeight="1" x14ac:dyDescent="0.25">
      <c r="A46" s="547" t="s">
        <v>96</v>
      </c>
      <c r="B46" s="548"/>
      <c r="C46" s="548"/>
      <c r="D46" s="548"/>
      <c r="E46" s="548"/>
      <c r="F46" s="548"/>
      <c r="G46" s="548"/>
      <c r="H46" s="548"/>
      <c r="I46" s="548"/>
      <c r="J46" s="548"/>
      <c r="K46" s="548"/>
      <c r="L46" s="548"/>
      <c r="M46" s="548"/>
      <c r="N46" s="548"/>
      <c r="O46" s="548"/>
      <c r="P46" s="548"/>
      <c r="Q46" s="548"/>
      <c r="S46" s="557">
        <f>+Draft!V10</f>
        <v>0</v>
      </c>
      <c r="T46" s="549"/>
      <c r="U46" s="549"/>
      <c r="V46" s="549"/>
      <c r="W46" s="549"/>
      <c r="X46" s="550"/>
      <c r="Y46" s="550"/>
      <c r="Z46" s="367"/>
      <c r="AA46" s="367"/>
      <c r="AB46" s="367"/>
      <c r="AC46" s="557">
        <f>+Draft!AU10</f>
        <v>0</v>
      </c>
      <c r="AD46" s="549"/>
      <c r="AE46" s="549"/>
      <c r="AF46" s="549"/>
      <c r="AG46" s="549"/>
      <c r="AH46" s="550"/>
      <c r="AI46" s="550"/>
      <c r="AJ46" s="367"/>
      <c r="AK46" s="367"/>
      <c r="AL46" s="367"/>
      <c r="AM46" s="367"/>
      <c r="AN46" s="367"/>
      <c r="AO46" s="562"/>
    </row>
    <row r="47" spans="1:41" ht="12.75" customHeight="1" x14ac:dyDescent="0.25">
      <c r="A47" s="547" t="s">
        <v>97</v>
      </c>
      <c r="B47" s="548"/>
      <c r="C47" s="548"/>
      <c r="D47" s="548"/>
      <c r="E47" s="548"/>
      <c r="F47" s="548"/>
      <c r="G47" s="548"/>
      <c r="H47" s="548"/>
      <c r="I47" s="548"/>
      <c r="J47" s="548"/>
      <c r="K47" s="548"/>
      <c r="L47" s="548"/>
      <c r="M47" s="548"/>
      <c r="N47" s="548"/>
      <c r="O47" s="548"/>
      <c r="P47" s="548"/>
      <c r="Q47" s="548"/>
      <c r="S47" s="557">
        <f>+Draft!V9</f>
        <v>0</v>
      </c>
      <c r="T47" s="549"/>
      <c r="U47" s="549"/>
      <c r="V47" s="549"/>
      <c r="W47" s="549"/>
      <c r="X47" s="550"/>
      <c r="Y47" s="550"/>
      <c r="Z47" s="367"/>
      <c r="AA47" s="367"/>
      <c r="AB47" s="367"/>
      <c r="AC47" s="557">
        <f>+Draft!AU9</f>
        <v>0</v>
      </c>
      <c r="AD47" s="549"/>
      <c r="AE47" s="549"/>
      <c r="AF47" s="549"/>
      <c r="AG47" s="549"/>
      <c r="AH47" s="550"/>
      <c r="AI47" s="550"/>
      <c r="AJ47" s="367"/>
      <c r="AK47" s="367"/>
      <c r="AL47" s="367"/>
      <c r="AM47" s="367"/>
      <c r="AN47" s="367"/>
      <c r="AO47" s="562"/>
    </row>
    <row r="48" spans="1:41" ht="12.75" customHeight="1" x14ac:dyDescent="0.25">
      <c r="A48" s="558" t="s">
        <v>98</v>
      </c>
      <c r="B48" s="559"/>
      <c r="C48" s="559"/>
      <c r="D48" s="559"/>
      <c r="E48" s="559"/>
      <c r="F48" s="559"/>
      <c r="G48" s="559"/>
      <c r="H48" s="559"/>
      <c r="I48" s="559"/>
      <c r="J48" s="559"/>
      <c r="K48" s="559"/>
      <c r="L48" s="559"/>
      <c r="M48" s="559"/>
      <c r="N48" s="559"/>
      <c r="O48" s="559"/>
      <c r="P48" s="559"/>
      <c r="Q48" s="559"/>
      <c r="S48" s="557">
        <f>+Draft!I16</f>
        <v>0</v>
      </c>
      <c r="T48" s="549"/>
      <c r="U48" s="549"/>
      <c r="V48" s="549"/>
      <c r="W48" s="549"/>
      <c r="X48" s="550"/>
      <c r="Y48" s="550"/>
      <c r="Z48" s="367"/>
      <c r="AA48" s="367"/>
      <c r="AB48" s="367"/>
      <c r="AC48" s="557">
        <f>+Draft!AH16</f>
        <v>0</v>
      </c>
      <c r="AD48" s="549"/>
      <c r="AE48" s="549"/>
      <c r="AF48" s="549"/>
      <c r="AG48" s="549"/>
      <c r="AH48" s="550"/>
      <c r="AI48" s="550"/>
      <c r="AJ48" s="367"/>
      <c r="AK48" s="367"/>
      <c r="AL48" s="367"/>
      <c r="AM48" s="367"/>
      <c r="AN48" s="367"/>
      <c r="AO48" s="562"/>
    </row>
    <row r="49" spans="1:41" ht="12.75" customHeight="1" x14ac:dyDescent="0.25">
      <c r="A49" s="547" t="s">
        <v>99</v>
      </c>
      <c r="B49" s="548"/>
      <c r="C49" s="548"/>
      <c r="D49" s="548"/>
      <c r="E49" s="548"/>
      <c r="F49" s="548"/>
      <c r="G49" s="548"/>
      <c r="H49" s="548"/>
      <c r="I49" s="548"/>
      <c r="J49" s="548"/>
      <c r="K49" s="548"/>
      <c r="L49" s="548"/>
      <c r="M49" s="548"/>
      <c r="N49" s="548"/>
      <c r="O49" s="548"/>
      <c r="P49" s="548"/>
      <c r="Q49" s="548"/>
      <c r="S49" s="557">
        <f>+Draft!M16</f>
        <v>0</v>
      </c>
      <c r="T49" s="549"/>
      <c r="U49" s="549"/>
      <c r="V49" s="549"/>
      <c r="W49" s="549"/>
      <c r="X49" s="550"/>
      <c r="Y49" s="550"/>
      <c r="Z49" s="367"/>
      <c r="AA49" s="367"/>
      <c r="AB49" s="367"/>
      <c r="AC49" s="557">
        <f>+Draft!AL16</f>
        <v>0</v>
      </c>
      <c r="AD49" s="549"/>
      <c r="AE49" s="549"/>
      <c r="AF49" s="549"/>
      <c r="AG49" s="549"/>
      <c r="AH49" s="550"/>
      <c r="AI49" s="550"/>
      <c r="AJ49" s="367"/>
      <c r="AK49" s="367"/>
      <c r="AL49" s="367"/>
      <c r="AM49" s="367"/>
      <c r="AN49" s="367"/>
      <c r="AO49" s="562"/>
    </row>
    <row r="50" spans="1:41" ht="12.75" customHeight="1" x14ac:dyDescent="0.25">
      <c r="A50" s="547" t="s">
        <v>100</v>
      </c>
      <c r="B50" s="548"/>
      <c r="C50" s="548"/>
      <c r="D50" s="548"/>
      <c r="E50" s="548"/>
      <c r="F50" s="548"/>
      <c r="G50" s="548"/>
      <c r="H50" s="548"/>
      <c r="I50" s="548"/>
      <c r="J50" s="548"/>
      <c r="K50" s="548"/>
      <c r="L50" s="548"/>
      <c r="M50" s="548"/>
      <c r="N50" s="548"/>
      <c r="O50" s="548"/>
      <c r="P50" s="548"/>
      <c r="Q50" s="548"/>
      <c r="S50" s="549">
        <f>+Draft!E23</f>
        <v>0</v>
      </c>
      <c r="T50" s="549"/>
      <c r="U50" s="549"/>
      <c r="V50" s="549"/>
      <c r="W50" s="549"/>
      <c r="X50" s="550"/>
      <c r="Y50" s="550"/>
      <c r="Z50" s="367"/>
      <c r="AA50" s="367"/>
      <c r="AB50" s="367"/>
      <c r="AC50" s="549">
        <f>+Draft!O23</f>
        <v>0</v>
      </c>
      <c r="AD50" s="549"/>
      <c r="AE50" s="549"/>
      <c r="AF50" s="549"/>
      <c r="AG50" s="549"/>
      <c r="AH50" s="550"/>
      <c r="AI50" s="550"/>
      <c r="AJ50" s="367"/>
      <c r="AK50" s="367"/>
      <c r="AL50" s="367"/>
      <c r="AM50" s="367"/>
      <c r="AN50" s="367"/>
      <c r="AO50" s="562"/>
    </row>
    <row r="51" spans="1:41" ht="12.75" customHeight="1" x14ac:dyDescent="0.25">
      <c r="A51" s="547" t="s">
        <v>101</v>
      </c>
      <c r="B51" s="548"/>
      <c r="C51" s="548"/>
      <c r="D51" s="548"/>
      <c r="E51" s="548"/>
      <c r="F51" s="548"/>
      <c r="G51" s="548"/>
      <c r="H51" s="548"/>
      <c r="I51" s="548"/>
      <c r="J51" s="548"/>
      <c r="K51" s="548"/>
      <c r="L51" s="548"/>
      <c r="M51" s="548"/>
      <c r="N51" s="548"/>
      <c r="O51" s="548"/>
      <c r="P51" s="548"/>
      <c r="Q51" s="548"/>
      <c r="S51" s="549">
        <f>IF(Draft!A8=0,0,IF(Draft!I30="x","GOOD",IF(Draft!J30="X","REGULAR","BAD")))</f>
        <v>0</v>
      </c>
      <c r="T51" s="549"/>
      <c r="U51" s="549"/>
      <c r="V51" s="549"/>
      <c r="W51" s="549"/>
      <c r="X51" s="550"/>
      <c r="Y51" s="550"/>
      <c r="Z51" s="367"/>
      <c r="AA51" s="367"/>
      <c r="AB51" s="367"/>
      <c r="AC51" s="549">
        <f>IF(Draft!Z8=0,0,IF(Draft!I30="x","GOOD",IF(Draft!J30="X","REGULAR","BAD")))</f>
        <v>0</v>
      </c>
      <c r="AD51" s="549"/>
      <c r="AE51" s="549"/>
      <c r="AF51" s="549"/>
      <c r="AG51" s="549"/>
      <c r="AH51" s="550"/>
      <c r="AI51" s="550"/>
      <c r="AJ51" s="367"/>
      <c r="AK51" s="367"/>
      <c r="AL51" s="367"/>
      <c r="AM51" s="367"/>
      <c r="AN51" s="367"/>
      <c r="AO51" s="562"/>
    </row>
    <row r="52" spans="1:41" ht="12.75" customHeight="1" x14ac:dyDescent="0.25">
      <c r="A52" s="547" t="s">
        <v>102</v>
      </c>
      <c r="B52" s="548"/>
      <c r="C52" s="548"/>
      <c r="D52" s="548"/>
      <c r="E52" s="548"/>
      <c r="F52" s="548"/>
      <c r="G52" s="548"/>
      <c r="H52" s="548"/>
      <c r="I52" s="548"/>
      <c r="J52" s="548"/>
      <c r="K52" s="548"/>
      <c r="L52" s="548"/>
      <c r="M52" s="548"/>
      <c r="N52" s="548"/>
      <c r="O52" s="548"/>
      <c r="P52" s="548"/>
      <c r="Q52" s="548"/>
      <c r="S52" s="549">
        <f>+Draft!E25</f>
        <v>0</v>
      </c>
      <c r="T52" s="549"/>
      <c r="U52" s="549"/>
      <c r="V52" s="549"/>
      <c r="W52" s="549"/>
      <c r="X52" s="550"/>
      <c r="Y52" s="550"/>
      <c r="Z52" s="367"/>
      <c r="AA52" s="367"/>
      <c r="AB52" s="367"/>
      <c r="AC52" s="549">
        <f>+Draft!O25</f>
        <v>0</v>
      </c>
      <c r="AD52" s="549"/>
      <c r="AE52" s="549"/>
      <c r="AF52" s="549"/>
      <c r="AG52" s="549"/>
      <c r="AH52" s="550"/>
      <c r="AI52" s="550"/>
      <c r="AJ52" s="367"/>
      <c r="AK52" s="367"/>
      <c r="AL52" s="367"/>
      <c r="AM52" s="367"/>
      <c r="AN52" s="367"/>
      <c r="AO52" s="562"/>
    </row>
    <row r="53" spans="1:41" ht="12.75" customHeight="1" x14ac:dyDescent="0.25">
      <c r="A53" s="547" t="s">
        <v>103</v>
      </c>
      <c r="B53" s="548"/>
      <c r="C53" s="548"/>
      <c r="D53" s="548"/>
      <c r="E53" s="548"/>
      <c r="F53" s="548"/>
      <c r="G53" s="548"/>
      <c r="H53" s="548"/>
      <c r="I53" s="548"/>
      <c r="J53" s="548"/>
      <c r="K53" s="548"/>
      <c r="L53" s="548"/>
      <c r="M53" s="548"/>
      <c r="N53" s="548"/>
      <c r="O53" s="548"/>
      <c r="P53" s="548"/>
      <c r="Q53" s="548"/>
      <c r="S53" s="549">
        <f>IF(Draft!A8=0,0,IF(Draft!I31="x","GOOD",IF(Draft!J31="X","REGULAR","BAD")))</f>
        <v>0</v>
      </c>
      <c r="T53" s="549"/>
      <c r="U53" s="549"/>
      <c r="V53" s="549"/>
      <c r="W53" s="549"/>
      <c r="X53" s="550"/>
      <c r="Y53" s="550"/>
      <c r="Z53" s="367"/>
      <c r="AA53" s="367"/>
      <c r="AB53" s="367"/>
      <c r="AC53" s="549">
        <f>IF(Draft!Z8=0,0,IF(Draft!I31="x","GOOD",IF(Draft!J31="X","REGULAR","BAD")))</f>
        <v>0</v>
      </c>
      <c r="AD53" s="549"/>
      <c r="AE53" s="549"/>
      <c r="AF53" s="549"/>
      <c r="AG53" s="549"/>
      <c r="AH53" s="550"/>
      <c r="AI53" s="550"/>
      <c r="AJ53" s="367"/>
      <c r="AK53" s="367"/>
      <c r="AL53" s="367"/>
      <c r="AM53" s="367"/>
      <c r="AN53" s="367"/>
      <c r="AO53" s="562"/>
    </row>
    <row r="54" spans="1:41" ht="12.75" customHeight="1" x14ac:dyDescent="0.25">
      <c r="A54" s="551"/>
      <c r="B54" s="552"/>
      <c r="C54" s="552"/>
      <c r="D54" s="552"/>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3"/>
    </row>
    <row r="55" spans="1:41" ht="3" customHeight="1" x14ac:dyDescent="0.25">
      <c r="A55" s="534"/>
      <c r="B55" s="535"/>
      <c r="C55" s="535"/>
      <c r="D55" s="535"/>
      <c r="E55" s="535"/>
      <c r="F55" s="535"/>
      <c r="G55" s="535"/>
      <c r="H55" s="535"/>
      <c r="I55" s="535"/>
      <c r="J55" s="535"/>
      <c r="K55" s="535"/>
      <c r="L55" s="535"/>
      <c r="M55" s="535"/>
      <c r="N55" s="535"/>
      <c r="O55" s="535"/>
      <c r="P55" s="535"/>
      <c r="Q55" s="535"/>
      <c r="R55" s="535"/>
      <c r="S55" s="535"/>
      <c r="T55" s="535"/>
      <c r="U55" s="535"/>
      <c r="V55" s="535"/>
      <c r="W55" s="535"/>
      <c r="X55" s="535"/>
      <c r="Y55" s="535"/>
      <c r="Z55" s="535"/>
      <c r="AA55" s="535"/>
      <c r="AB55" s="535"/>
      <c r="AC55" s="535"/>
      <c r="AD55" s="535"/>
      <c r="AE55" s="535"/>
      <c r="AF55" s="535"/>
      <c r="AG55" s="535"/>
      <c r="AH55" s="535"/>
      <c r="AI55" s="535"/>
      <c r="AJ55" s="535"/>
      <c r="AK55" s="535"/>
      <c r="AL55" s="535"/>
      <c r="AM55" s="535"/>
      <c r="AN55" s="535"/>
      <c r="AO55" s="536"/>
    </row>
    <row r="56" spans="1:41" ht="12.75" customHeight="1" x14ac:dyDescent="0.25">
      <c r="A56" s="504"/>
      <c r="B56" s="554" t="s">
        <v>104</v>
      </c>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5"/>
    </row>
    <row r="57" spans="1:41" ht="12.75" customHeight="1" x14ac:dyDescent="0.25">
      <c r="A57" s="534"/>
      <c r="B57" s="507" t="s">
        <v>105</v>
      </c>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56"/>
    </row>
    <row r="58" spans="1:41" ht="12.75" customHeight="1" x14ac:dyDescent="0.25">
      <c r="A58" s="498"/>
      <c r="B58" s="498"/>
      <c r="C58" s="498"/>
      <c r="D58" s="498"/>
      <c r="E58" s="498"/>
      <c r="F58" s="498"/>
      <c r="G58" s="498"/>
      <c r="H58" s="498"/>
      <c r="I58" s="498"/>
      <c r="J58" s="498"/>
      <c r="K58" s="498"/>
      <c r="L58" s="498"/>
      <c r="M58" s="498"/>
      <c r="N58" s="498"/>
      <c r="O58" s="498"/>
      <c r="P58" s="498"/>
      <c r="Q58" s="498"/>
      <c r="R58" s="498"/>
      <c r="S58" s="498"/>
      <c r="T58" s="498"/>
      <c r="U58" s="498"/>
      <c r="V58" s="498"/>
      <c r="W58" s="498"/>
      <c r="X58" s="498"/>
      <c r="Y58" s="498"/>
      <c r="Z58" s="498"/>
      <c r="AA58" s="498"/>
      <c r="AB58" s="498"/>
      <c r="AC58" s="498"/>
      <c r="AD58" s="498"/>
      <c r="AE58" s="498"/>
      <c r="AF58" s="498"/>
      <c r="AG58" s="498"/>
      <c r="AH58" s="498"/>
      <c r="AI58" s="498"/>
      <c r="AJ58" s="498"/>
      <c r="AK58" s="498"/>
      <c r="AL58" s="498"/>
      <c r="AM58" s="498"/>
      <c r="AN58" s="498"/>
      <c r="AO58" s="498"/>
    </row>
    <row r="59" spans="1:41" ht="25.5" customHeight="1" x14ac:dyDescent="0.25">
      <c r="A59" s="308"/>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row>
  </sheetData>
  <mergeCells count="1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 ref="A10:AO10"/>
    <mergeCell ref="A11:D15"/>
    <mergeCell ref="E11:X11"/>
    <mergeCell ref="Z11:AE11"/>
    <mergeCell ref="AG11:AO11"/>
    <mergeCell ref="E12:X12"/>
    <mergeCell ref="Z12:AE12"/>
    <mergeCell ref="AG12:AO12"/>
    <mergeCell ref="E13:X13"/>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32:M32"/>
    <mergeCell ref="N32:S32"/>
    <mergeCell ref="T32:AD32"/>
    <mergeCell ref="AE32:AJ32"/>
    <mergeCell ref="AK32:AO32"/>
    <mergeCell ref="A33:L33"/>
    <mergeCell ref="N33:R33"/>
    <mergeCell ref="T33:AC33"/>
    <mergeCell ref="AE33:AI33"/>
    <mergeCell ref="AK33:AO33"/>
    <mergeCell ref="A34:L34"/>
    <mergeCell ref="N34:R34"/>
    <mergeCell ref="T34:AC34"/>
    <mergeCell ref="AE34:AI34"/>
    <mergeCell ref="AK34:AO34"/>
    <mergeCell ref="A35:L35"/>
    <mergeCell ref="N35:R35"/>
    <mergeCell ref="T35:AC35"/>
    <mergeCell ref="AE35:AI35"/>
    <mergeCell ref="AK35:AO35"/>
    <mergeCell ref="A36:L36"/>
    <mergeCell ref="N36:R36"/>
    <mergeCell ref="T36:AC36"/>
    <mergeCell ref="AE36:AI36"/>
    <mergeCell ref="AK36:AO36"/>
    <mergeCell ref="A37:L37"/>
    <mergeCell ref="N37:R37"/>
    <mergeCell ref="T37:AC37"/>
    <mergeCell ref="AE37:AI37"/>
    <mergeCell ref="AK37:AO37"/>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H46:AI46"/>
    <mergeCell ref="A47:Q47"/>
    <mergeCell ref="S47:W47"/>
    <mergeCell ref="X47:Y47"/>
    <mergeCell ref="AC47:AG47"/>
    <mergeCell ref="AH47:AI47"/>
    <mergeCell ref="A48:Q48"/>
    <mergeCell ref="S48:W48"/>
    <mergeCell ref="X48:Y48"/>
    <mergeCell ref="AC48:AG48"/>
    <mergeCell ref="AH48:AI48"/>
    <mergeCell ref="A49:Q49"/>
    <mergeCell ref="S49:W49"/>
    <mergeCell ref="X49:Y49"/>
    <mergeCell ref="AC49:AG49"/>
    <mergeCell ref="AH49:AI49"/>
    <mergeCell ref="A50:Q50"/>
    <mergeCell ref="S50:W50"/>
    <mergeCell ref="X50:Y50"/>
    <mergeCell ref="AC50:AG50"/>
    <mergeCell ref="AH50:AI50"/>
    <mergeCell ref="A51:Q51"/>
    <mergeCell ref="S51:W51"/>
    <mergeCell ref="X51:Y51"/>
    <mergeCell ref="AC51:AG51"/>
    <mergeCell ref="AH51:AI51"/>
    <mergeCell ref="A54:AO55"/>
    <mergeCell ref="A56:A57"/>
    <mergeCell ref="B56:AO56"/>
    <mergeCell ref="B57:AO57"/>
    <mergeCell ref="A58:AO58"/>
    <mergeCell ref="A59:AO59"/>
    <mergeCell ref="A52:Q52"/>
    <mergeCell ref="S52:W52"/>
    <mergeCell ref="X52:Y52"/>
    <mergeCell ref="AC52:AG52"/>
    <mergeCell ref="AH52:AI52"/>
    <mergeCell ref="A53:Q53"/>
    <mergeCell ref="S53:W53"/>
    <mergeCell ref="X53:Y53"/>
    <mergeCell ref="AC53:AG53"/>
    <mergeCell ref="AH53:AI53"/>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92" t="s">
        <v>106</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+A!Z3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+A!Z4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534" t="str">
        <f>A!B6</f>
        <v>MSL Marine Surveyors And Logistics</v>
      </c>
      <c r="B6" s="535"/>
      <c r="C6" s="535"/>
      <c r="D6" s="535"/>
      <c r="E6" s="535"/>
      <c r="F6" s="535"/>
      <c r="G6" s="535"/>
      <c r="H6" s="535"/>
      <c r="I6" s="535"/>
      <c r="J6" s="535"/>
      <c r="K6" s="535"/>
      <c r="L6" s="535"/>
      <c r="M6" s="535"/>
      <c r="N6" s="535"/>
      <c r="O6" s="535"/>
      <c r="P6" s="535"/>
      <c r="Q6" s="535"/>
      <c r="R6" s="535"/>
      <c r="S6" s="535"/>
      <c r="T6" s="535"/>
      <c r="U6" s="535"/>
      <c r="V6" s="535"/>
      <c r="W6" s="535"/>
      <c r="X6" s="535"/>
      <c r="Y6" s="535"/>
      <c r="Z6" s="535"/>
      <c r="AA6" s="535"/>
      <c r="AB6" s="535"/>
      <c r="AC6" s="535"/>
      <c r="AD6" s="535"/>
      <c r="AE6" s="535"/>
      <c r="AF6" s="535"/>
      <c r="AG6" s="535"/>
      <c r="AH6" s="535"/>
      <c r="AI6" s="535"/>
      <c r="AJ6" s="535"/>
      <c r="AK6" s="535"/>
      <c r="AL6" s="535"/>
      <c r="AM6" s="535"/>
      <c r="AN6" s="535"/>
      <c r="AO6" s="536"/>
    </row>
    <row r="7" spans="1:41" ht="12.75" customHeight="1" x14ac:dyDescent="0.25">
      <c r="A7" s="6"/>
      <c r="B7" s="540" t="s">
        <v>11</v>
      </c>
      <c r="C7" s="540"/>
      <c r="D7" s="540"/>
      <c r="E7" s="540"/>
      <c r="F7" s="540"/>
      <c r="G7" s="540"/>
      <c r="H7" s="540"/>
      <c r="I7" s="540"/>
      <c r="J7" s="540"/>
      <c r="K7" s="540"/>
      <c r="L7" s="540"/>
      <c r="M7" s="540"/>
      <c r="N7" s="540"/>
      <c r="O7" s="540"/>
      <c r="P7" s="540"/>
      <c r="Q7" s="540"/>
      <c r="R7" s="540"/>
      <c r="S7" s="540"/>
      <c r="T7" s="540"/>
      <c r="U7" s="540"/>
      <c r="V7" s="540"/>
      <c r="W7" s="540"/>
      <c r="X7" s="540"/>
      <c r="Y7" s="540"/>
      <c r="Z7" s="540" t="s">
        <v>13</v>
      </c>
      <c r="AA7" s="540"/>
      <c r="AB7" s="540"/>
      <c r="AC7" s="540"/>
      <c r="AD7" s="540"/>
      <c r="AE7" s="540"/>
      <c r="AF7" s="540"/>
      <c r="AG7" s="540"/>
      <c r="AH7" s="540"/>
      <c r="AI7" s="540"/>
      <c r="AJ7" s="540"/>
      <c r="AK7" s="540"/>
      <c r="AL7" s="540"/>
      <c r="AM7" s="540"/>
      <c r="AN7" s="540"/>
      <c r="AO7" s="541"/>
    </row>
    <row r="8" spans="1:41" ht="12.75" customHeight="1" x14ac:dyDescent="0.25">
      <c r="A8" s="534"/>
      <c r="B8" s="535"/>
      <c r="C8" s="535"/>
      <c r="D8" s="535"/>
      <c r="E8" s="535"/>
      <c r="F8" s="591">
        <f>+A!G12</f>
        <v>0</v>
      </c>
      <c r="G8" s="591"/>
      <c r="H8" s="591"/>
      <c r="I8" s="591"/>
      <c r="J8" s="591"/>
      <c r="K8" s="591"/>
      <c r="L8" s="591"/>
      <c r="M8" s="591"/>
      <c r="N8" s="591"/>
      <c r="O8" s="591"/>
      <c r="P8" s="591"/>
      <c r="Q8" s="591"/>
      <c r="R8" s="591"/>
      <c r="S8" s="591"/>
      <c r="T8" s="591"/>
      <c r="U8" s="591"/>
      <c r="V8" s="591"/>
      <c r="W8" s="591"/>
      <c r="X8" s="591"/>
      <c r="Y8" s="591"/>
      <c r="Z8" s="591"/>
      <c r="AA8" s="591"/>
      <c r="AB8" s="591"/>
      <c r="AC8" s="544">
        <f>+A!AG12</f>
        <v>0</v>
      </c>
      <c r="AD8" s="544"/>
      <c r="AE8" s="544"/>
      <c r="AF8" s="544"/>
      <c r="AG8" s="544"/>
      <c r="AH8" s="544"/>
      <c r="AI8" s="544"/>
      <c r="AJ8" s="544"/>
      <c r="AK8" s="544"/>
      <c r="AL8" s="544"/>
      <c r="AM8" s="544"/>
      <c r="AN8" s="544"/>
      <c r="AO8" s="545"/>
    </row>
    <row r="9" spans="1:41" ht="12.75" customHeight="1" x14ac:dyDescent="0.25">
      <c r="A9" s="504" t="s">
        <v>107</v>
      </c>
      <c r="B9" s="498"/>
      <c r="C9" s="498"/>
      <c r="D9" s="498"/>
      <c r="E9" s="498"/>
      <c r="F9" s="498"/>
      <c r="G9" s="498"/>
      <c r="H9" s="498"/>
      <c r="I9" s="498"/>
      <c r="J9" s="498"/>
      <c r="K9" s="498"/>
      <c r="L9" s="498"/>
      <c r="M9" s="498"/>
      <c r="N9" s="498"/>
      <c r="O9" s="498"/>
      <c r="P9" s="498"/>
      <c r="Q9" s="498"/>
      <c r="R9" s="498"/>
      <c r="S9" s="498"/>
      <c r="T9" s="498"/>
      <c r="U9" s="498"/>
      <c r="V9" s="498"/>
      <c r="W9" s="498"/>
      <c r="X9" s="498"/>
      <c r="Y9" s="498"/>
      <c r="Z9" s="498"/>
      <c r="AA9" s="498"/>
      <c r="AB9" s="498"/>
      <c r="AC9" s="498"/>
      <c r="AD9" s="498"/>
      <c r="AE9" s="498"/>
      <c r="AF9" s="498"/>
      <c r="AG9" s="498"/>
      <c r="AH9" s="498"/>
      <c r="AI9" s="498"/>
      <c r="AJ9" s="498"/>
      <c r="AK9" s="498"/>
      <c r="AL9" s="498"/>
      <c r="AM9" s="498"/>
      <c r="AN9" s="498"/>
      <c r="AO9" s="505"/>
    </row>
    <row r="10" spans="1:41" ht="12.75" customHeight="1" x14ac:dyDescent="0.25">
      <c r="A10" s="551"/>
      <c r="B10" s="552"/>
      <c r="C10" s="552"/>
      <c r="D10" s="552"/>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3"/>
    </row>
    <row r="11" spans="1:41" ht="12.75" customHeight="1" x14ac:dyDescent="0.25">
      <c r="A11" s="610" t="s">
        <v>108</v>
      </c>
      <c r="B11" s="601"/>
      <c r="C11" s="601"/>
      <c r="D11" s="601"/>
      <c r="E11" s="601"/>
      <c r="F11" s="601"/>
      <c r="G11" s="601"/>
      <c r="H11" s="601"/>
      <c r="I11" s="601"/>
      <c r="J11" s="601"/>
      <c r="K11" s="601"/>
      <c r="L11" s="601"/>
      <c r="M11" s="601"/>
      <c r="N11" s="601"/>
      <c r="O11" s="601"/>
      <c r="P11" s="601"/>
      <c r="Q11" s="601"/>
      <c r="R11" s="601"/>
      <c r="S11" s="601" t="s">
        <v>31</v>
      </c>
      <c r="T11" s="601"/>
      <c r="U11" s="601"/>
      <c r="V11" s="601"/>
      <c r="W11" s="601"/>
      <c r="X11" s="601"/>
      <c r="Y11" s="601"/>
      <c r="Z11" s="601"/>
      <c r="AA11" s="601"/>
      <c r="AB11" s="367"/>
      <c r="AC11" s="367"/>
      <c r="AD11" s="367"/>
      <c r="AE11" s="552" t="s">
        <v>32</v>
      </c>
      <c r="AF11" s="552"/>
      <c r="AG11" s="552"/>
      <c r="AH11" s="552"/>
      <c r="AI11" s="552"/>
      <c r="AJ11" s="552"/>
      <c r="AK11" s="552"/>
      <c r="AL11" s="552"/>
      <c r="AM11" s="552"/>
      <c r="AN11" s="367"/>
      <c r="AO11" s="562"/>
    </row>
    <row r="12" spans="1:41" ht="12.75" customHeight="1" x14ac:dyDescent="0.25">
      <c r="A12" s="551"/>
      <c r="B12" s="552"/>
      <c r="C12" s="552"/>
      <c r="D12" s="552"/>
      <c r="E12" s="552"/>
      <c r="F12" s="552"/>
      <c r="G12" s="552"/>
      <c r="H12" s="552"/>
      <c r="I12" s="552"/>
      <c r="J12" s="552"/>
      <c r="K12" s="552"/>
      <c r="L12" s="552"/>
      <c r="M12" s="552"/>
      <c r="N12" s="552"/>
      <c r="O12" s="552"/>
      <c r="P12" s="552"/>
      <c r="Q12" s="552"/>
      <c r="R12" s="552"/>
      <c r="S12" s="279" t="s">
        <v>109</v>
      </c>
      <c r="T12" s="308"/>
      <c r="U12" s="608">
        <f>Draft!T3</f>
        <v>0</v>
      </c>
      <c r="V12" s="273"/>
      <c r="W12" s="273"/>
      <c r="X12" s="61" t="s">
        <v>110</v>
      </c>
      <c r="Y12" s="609">
        <f>Draft!T4</f>
        <v>0</v>
      </c>
      <c r="Z12" s="279"/>
      <c r="AA12" s="279"/>
      <c r="AB12" s="367"/>
      <c r="AC12" s="367"/>
      <c r="AD12" s="367"/>
      <c r="AE12" s="279" t="s">
        <v>109</v>
      </c>
      <c r="AF12" s="308"/>
      <c r="AG12" s="608">
        <f>Draft!AS3</f>
        <v>0</v>
      </c>
      <c r="AH12" s="273"/>
      <c r="AI12" s="273"/>
      <c r="AJ12" s="61" t="s">
        <v>110</v>
      </c>
      <c r="AK12" s="609">
        <f>Draft!AS4</f>
        <v>0</v>
      </c>
      <c r="AL12" s="279"/>
      <c r="AM12" s="279"/>
      <c r="AN12" s="367"/>
      <c r="AO12" s="562"/>
    </row>
    <row r="13" spans="1:41" ht="12.75" customHeight="1" x14ac:dyDescent="0.25">
      <c r="A13" s="551"/>
      <c r="B13" s="552"/>
      <c r="C13" s="552"/>
      <c r="D13" s="552"/>
      <c r="E13" s="552"/>
      <c r="F13" s="552"/>
      <c r="G13" s="552"/>
      <c r="H13" s="552"/>
      <c r="I13" s="552"/>
      <c r="J13" s="552"/>
      <c r="K13" s="552"/>
      <c r="L13" s="552"/>
      <c r="M13" s="552"/>
      <c r="N13" s="552"/>
      <c r="O13" s="552"/>
      <c r="P13" s="552"/>
      <c r="Q13" s="552"/>
      <c r="R13" s="552"/>
      <c r="S13" s="601" t="s">
        <v>75</v>
      </c>
      <c r="T13" s="601"/>
      <c r="U13" s="601"/>
      <c r="V13" s="601"/>
      <c r="W13" s="601"/>
      <c r="X13" s="601"/>
      <c r="Y13" s="601"/>
      <c r="Z13" s="601"/>
      <c r="AA13" s="601"/>
      <c r="AB13" s="367"/>
      <c r="AC13" s="367"/>
      <c r="AD13" s="367"/>
      <c r="AE13" s="601" t="s">
        <v>75</v>
      </c>
      <c r="AF13" s="601"/>
      <c r="AG13" s="601"/>
      <c r="AH13" s="601"/>
      <c r="AI13" s="601"/>
      <c r="AJ13" s="601"/>
      <c r="AK13" s="601"/>
      <c r="AL13" s="601"/>
      <c r="AM13" s="601"/>
      <c r="AN13" s="367"/>
      <c r="AO13" s="562"/>
    </row>
    <row r="14" spans="1:41" ht="12.75" customHeight="1" x14ac:dyDescent="0.25">
      <c r="A14" s="23"/>
      <c r="B14" s="548" t="s">
        <v>111</v>
      </c>
      <c r="C14" s="548"/>
      <c r="D14" s="548"/>
      <c r="E14" s="548"/>
      <c r="F14" s="548"/>
      <c r="G14" s="548"/>
      <c r="H14" s="548"/>
      <c r="I14" s="548"/>
      <c r="J14" s="548"/>
      <c r="K14" s="548"/>
      <c r="L14" s="548"/>
      <c r="M14" s="548"/>
      <c r="N14" s="548"/>
      <c r="O14" s="548"/>
      <c r="P14" s="548"/>
      <c r="Q14" s="548"/>
      <c r="S14" s="603">
        <f>+Draft!A8</f>
        <v>0</v>
      </c>
      <c r="T14" s="604"/>
      <c r="U14" s="604"/>
      <c r="V14" s="604"/>
      <c r="W14" s="604"/>
      <c r="X14" s="604"/>
      <c r="Y14" s="604"/>
      <c r="Z14" s="604"/>
      <c r="AA14" s="62"/>
      <c r="AB14" s="367"/>
      <c r="AC14" s="367"/>
      <c r="AD14" s="367"/>
      <c r="AE14" s="603">
        <f>+Draft!Z8</f>
        <v>0</v>
      </c>
      <c r="AF14" s="604"/>
      <c r="AG14" s="604"/>
      <c r="AH14" s="604"/>
      <c r="AI14" s="604"/>
      <c r="AJ14" s="604"/>
      <c r="AK14" s="604"/>
      <c r="AL14" s="604"/>
      <c r="AM14" s="62"/>
      <c r="AN14" s="567"/>
      <c r="AO14" s="562"/>
    </row>
    <row r="15" spans="1:41" ht="12.75" customHeight="1" x14ac:dyDescent="0.25">
      <c r="A15" s="23"/>
      <c r="B15" s="548" t="s">
        <v>112</v>
      </c>
      <c r="C15" s="548"/>
      <c r="D15" s="548"/>
      <c r="E15" s="548"/>
      <c r="F15" s="548"/>
      <c r="G15" s="548"/>
      <c r="H15" s="548"/>
      <c r="I15" s="548"/>
      <c r="J15" s="548"/>
      <c r="K15" s="548"/>
      <c r="L15" s="548"/>
      <c r="M15" s="548"/>
      <c r="N15" s="548"/>
      <c r="O15" s="548"/>
      <c r="P15" s="548"/>
      <c r="Q15" s="548"/>
      <c r="S15" s="603">
        <f>+Draft!E8</f>
        <v>0</v>
      </c>
      <c r="T15" s="604"/>
      <c r="U15" s="604"/>
      <c r="V15" s="604"/>
      <c r="W15" s="604"/>
      <c r="X15" s="604"/>
      <c r="Y15" s="604"/>
      <c r="Z15" s="604"/>
      <c r="AA15" s="62"/>
      <c r="AB15" s="367"/>
      <c r="AC15" s="367"/>
      <c r="AD15" s="367"/>
      <c r="AE15" s="603">
        <f>+Draft!AD8</f>
        <v>0</v>
      </c>
      <c r="AF15" s="604"/>
      <c r="AG15" s="604"/>
      <c r="AH15" s="604"/>
      <c r="AI15" s="604"/>
      <c r="AJ15" s="604"/>
      <c r="AK15" s="604"/>
      <c r="AL15" s="604"/>
      <c r="AM15" s="62"/>
      <c r="AN15" s="567"/>
      <c r="AO15" s="562"/>
    </row>
    <row r="16" spans="1:41" ht="12.75" customHeight="1" x14ac:dyDescent="0.25">
      <c r="A16" s="23"/>
      <c r="B16" s="548" t="s">
        <v>113</v>
      </c>
      <c r="C16" s="548"/>
      <c r="D16" s="548"/>
      <c r="E16" s="548"/>
      <c r="F16" s="548"/>
      <c r="G16" s="548"/>
      <c r="H16" s="548"/>
      <c r="I16" s="548"/>
      <c r="J16" s="548"/>
      <c r="K16" s="548"/>
      <c r="L16" s="548"/>
      <c r="M16" s="548"/>
      <c r="N16" s="548"/>
      <c r="O16" s="548"/>
      <c r="P16" s="548"/>
      <c r="Q16" s="548"/>
      <c r="S16" s="603">
        <f>+Draft!J8</f>
        <v>0</v>
      </c>
      <c r="T16" s="604"/>
      <c r="U16" s="604"/>
      <c r="V16" s="604"/>
      <c r="W16" s="604"/>
      <c r="X16" s="604"/>
      <c r="Y16" s="604"/>
      <c r="Z16" s="604"/>
      <c r="AA16" s="62"/>
      <c r="AB16" s="367"/>
      <c r="AC16" s="367"/>
      <c r="AD16" s="367"/>
      <c r="AE16" s="603">
        <f>+Draft!AI8</f>
        <v>0</v>
      </c>
      <c r="AF16" s="604"/>
      <c r="AG16" s="604"/>
      <c r="AH16" s="604"/>
      <c r="AI16" s="604"/>
      <c r="AJ16" s="604"/>
      <c r="AK16" s="604"/>
      <c r="AL16" s="604"/>
      <c r="AM16" s="62"/>
      <c r="AN16" s="567"/>
      <c r="AO16" s="562"/>
    </row>
    <row r="17" spans="1:41" ht="12.75" customHeight="1" x14ac:dyDescent="0.25">
      <c r="A17" s="23"/>
      <c r="B17" s="548" t="s">
        <v>114</v>
      </c>
      <c r="C17" s="548"/>
      <c r="D17" s="548"/>
      <c r="E17" s="548"/>
      <c r="F17" s="548"/>
      <c r="G17" s="548"/>
      <c r="H17" s="548"/>
      <c r="I17" s="548"/>
      <c r="J17" s="548"/>
      <c r="K17" s="548"/>
      <c r="L17" s="548"/>
      <c r="M17" s="548"/>
      <c r="N17" s="548"/>
      <c r="O17" s="548"/>
      <c r="P17" s="548"/>
      <c r="Q17" s="548"/>
      <c r="S17" s="603">
        <f>+Draft!N8</f>
        <v>0</v>
      </c>
      <c r="T17" s="604"/>
      <c r="U17" s="604"/>
      <c r="V17" s="604"/>
      <c r="W17" s="604"/>
      <c r="X17" s="604"/>
      <c r="Y17" s="604"/>
      <c r="Z17" s="604"/>
      <c r="AA17" s="62"/>
      <c r="AB17" s="367"/>
      <c r="AC17" s="367"/>
      <c r="AD17" s="367"/>
      <c r="AE17" s="603">
        <f>+Draft!AM8</f>
        <v>0</v>
      </c>
      <c r="AF17" s="604"/>
      <c r="AG17" s="604"/>
      <c r="AH17" s="604"/>
      <c r="AI17" s="604"/>
      <c r="AJ17" s="604"/>
      <c r="AK17" s="604"/>
      <c r="AL17" s="604"/>
      <c r="AM17" s="62"/>
      <c r="AN17" s="567"/>
      <c r="AO17" s="562"/>
    </row>
    <row r="18" spans="1:41" ht="12.75" customHeight="1" x14ac:dyDescent="0.25">
      <c r="A18" s="23"/>
      <c r="B18" s="548" t="s">
        <v>115</v>
      </c>
      <c r="C18" s="548"/>
      <c r="D18" s="548"/>
      <c r="E18" s="548"/>
      <c r="F18" s="548"/>
      <c r="G18" s="548"/>
      <c r="H18" s="548"/>
      <c r="I18" s="548"/>
      <c r="J18" s="548"/>
      <c r="K18" s="548"/>
      <c r="L18" s="548"/>
      <c r="M18" s="548"/>
      <c r="N18" s="548"/>
      <c r="O18" s="548"/>
      <c r="P18" s="548"/>
      <c r="Q18" s="548"/>
      <c r="S18" s="603">
        <f>+Draft!R8</f>
        <v>0</v>
      </c>
      <c r="T18" s="604"/>
      <c r="U18" s="604"/>
      <c r="V18" s="604"/>
      <c r="W18" s="604"/>
      <c r="X18" s="604"/>
      <c r="Y18" s="604"/>
      <c r="Z18" s="604"/>
      <c r="AA18" s="62"/>
      <c r="AB18" s="367"/>
      <c r="AC18" s="367"/>
      <c r="AD18" s="367"/>
      <c r="AE18" s="603">
        <f>+Draft!AQ8</f>
        <v>0</v>
      </c>
      <c r="AF18" s="604"/>
      <c r="AG18" s="604"/>
      <c r="AH18" s="604"/>
      <c r="AI18" s="604"/>
      <c r="AJ18" s="604"/>
      <c r="AK18" s="604"/>
      <c r="AL18" s="604"/>
      <c r="AM18" s="62"/>
      <c r="AN18" s="567"/>
      <c r="AO18" s="562"/>
    </row>
    <row r="19" spans="1:41" ht="12.75" customHeight="1" x14ac:dyDescent="0.25">
      <c r="A19" s="23"/>
      <c r="B19" s="548" t="s">
        <v>116</v>
      </c>
      <c r="C19" s="548"/>
      <c r="D19" s="548"/>
      <c r="E19" s="548"/>
      <c r="F19" s="548"/>
      <c r="G19" s="548"/>
      <c r="H19" s="548"/>
      <c r="I19" s="548"/>
      <c r="J19" s="548"/>
      <c r="K19" s="548"/>
      <c r="L19" s="548"/>
      <c r="M19" s="548"/>
      <c r="N19" s="548"/>
      <c r="O19" s="548"/>
      <c r="P19" s="548"/>
      <c r="Q19" s="548"/>
      <c r="S19" s="603">
        <f>+Draft!A10</f>
        <v>0</v>
      </c>
      <c r="T19" s="604"/>
      <c r="U19" s="604"/>
      <c r="V19" s="604"/>
      <c r="W19" s="604"/>
      <c r="X19" s="604"/>
      <c r="Y19" s="604"/>
      <c r="Z19" s="604"/>
      <c r="AA19" s="62"/>
      <c r="AB19" s="367"/>
      <c r="AC19" s="367"/>
      <c r="AD19" s="367"/>
      <c r="AE19" s="603">
        <f>+Draft!Z10</f>
        <v>0</v>
      </c>
      <c r="AF19" s="604"/>
      <c r="AG19" s="604"/>
      <c r="AH19" s="604"/>
      <c r="AI19" s="604"/>
      <c r="AJ19" s="604"/>
      <c r="AK19" s="604"/>
      <c r="AL19" s="604"/>
      <c r="AM19" s="62"/>
      <c r="AN19" s="567"/>
      <c r="AO19" s="562"/>
    </row>
    <row r="20" spans="1:41" ht="12.75" customHeight="1" x14ac:dyDescent="0.25">
      <c r="A20" s="23"/>
      <c r="B20" s="559" t="s">
        <v>117</v>
      </c>
      <c r="C20" s="548"/>
      <c r="D20" s="548"/>
      <c r="E20" s="548"/>
      <c r="F20" s="548"/>
      <c r="G20" s="548"/>
      <c r="H20" s="548"/>
      <c r="I20" s="548"/>
      <c r="J20" s="548"/>
      <c r="K20" s="548"/>
      <c r="L20" s="548"/>
      <c r="M20" s="548"/>
      <c r="N20" s="548"/>
      <c r="O20" s="548"/>
      <c r="P20" s="548"/>
      <c r="Q20" s="548"/>
      <c r="S20" s="603">
        <f>+Draft!E10</f>
        <v>0</v>
      </c>
      <c r="T20" s="604"/>
      <c r="U20" s="604"/>
      <c r="V20" s="604"/>
      <c r="W20" s="604"/>
      <c r="X20" s="604"/>
      <c r="Y20" s="604"/>
      <c r="Z20" s="604"/>
      <c r="AA20" s="62"/>
      <c r="AB20" s="367"/>
      <c r="AC20" s="367"/>
      <c r="AD20" s="367"/>
      <c r="AE20" s="603">
        <f>+Draft!AD10</f>
        <v>0</v>
      </c>
      <c r="AF20" s="604"/>
      <c r="AG20" s="604"/>
      <c r="AH20" s="604"/>
      <c r="AI20" s="604"/>
      <c r="AJ20" s="604"/>
      <c r="AK20" s="604"/>
      <c r="AL20" s="604"/>
      <c r="AM20" s="62"/>
      <c r="AN20" s="567"/>
      <c r="AO20" s="562"/>
    </row>
    <row r="21" spans="1:41" ht="12.75" customHeight="1" x14ac:dyDescent="0.25">
      <c r="A21" s="23"/>
      <c r="B21" s="548" t="s">
        <v>118</v>
      </c>
      <c r="C21" s="548"/>
      <c r="D21" s="548"/>
      <c r="E21" s="548"/>
      <c r="F21" s="548"/>
      <c r="G21" s="548"/>
      <c r="H21" s="548"/>
      <c r="I21" s="548"/>
      <c r="J21" s="548"/>
      <c r="K21" s="548"/>
      <c r="L21" s="548"/>
      <c r="M21" s="548"/>
      <c r="N21" s="548"/>
      <c r="O21" s="548"/>
      <c r="P21" s="548"/>
      <c r="Q21" s="548"/>
      <c r="S21" s="603">
        <f>+Draft!J10</f>
        <v>0</v>
      </c>
      <c r="T21" s="604"/>
      <c r="U21" s="604"/>
      <c r="V21" s="604"/>
      <c r="W21" s="604"/>
      <c r="X21" s="604"/>
      <c r="Y21" s="604"/>
      <c r="Z21" s="604"/>
      <c r="AA21" s="62"/>
      <c r="AB21" s="367"/>
      <c r="AC21" s="367"/>
      <c r="AD21" s="367"/>
      <c r="AE21" s="603">
        <f>+Draft!AI10</f>
        <v>0</v>
      </c>
      <c r="AF21" s="604"/>
      <c r="AG21" s="604"/>
      <c r="AH21" s="604"/>
      <c r="AI21" s="604"/>
      <c r="AJ21" s="604"/>
      <c r="AK21" s="604"/>
      <c r="AL21" s="604"/>
      <c r="AM21" s="62"/>
      <c r="AN21" s="567"/>
      <c r="AO21" s="562"/>
    </row>
    <row r="22" spans="1:41" ht="12.75" customHeight="1" x14ac:dyDescent="0.25">
      <c r="A22" s="23"/>
      <c r="B22" s="548" t="s">
        <v>114</v>
      </c>
      <c r="C22" s="548"/>
      <c r="D22" s="548"/>
      <c r="E22" s="548"/>
      <c r="F22" s="548"/>
      <c r="G22" s="548"/>
      <c r="H22" s="548"/>
      <c r="I22" s="548"/>
      <c r="J22" s="548"/>
      <c r="K22" s="548"/>
      <c r="L22" s="548"/>
      <c r="M22" s="548"/>
      <c r="N22" s="548"/>
      <c r="O22" s="548"/>
      <c r="P22" s="548"/>
      <c r="Q22" s="548"/>
      <c r="S22" s="603">
        <f>+Draft!N10</f>
        <v>0</v>
      </c>
      <c r="T22" s="604"/>
      <c r="U22" s="604"/>
      <c r="V22" s="604"/>
      <c r="W22" s="604"/>
      <c r="X22" s="604"/>
      <c r="Y22" s="604"/>
      <c r="Z22" s="604"/>
      <c r="AA22" s="62"/>
      <c r="AB22" s="367"/>
      <c r="AC22" s="367"/>
      <c r="AD22" s="367"/>
      <c r="AE22" s="603">
        <f>+Draft!AM10</f>
        <v>0</v>
      </c>
      <c r="AF22" s="604"/>
      <c r="AG22" s="604"/>
      <c r="AH22" s="604"/>
      <c r="AI22" s="604"/>
      <c r="AJ22" s="604"/>
      <c r="AK22" s="604"/>
      <c r="AL22" s="604"/>
      <c r="AM22" s="62"/>
      <c r="AN22" s="567"/>
      <c r="AO22" s="562"/>
    </row>
    <row r="23" spans="1:41" ht="12.75" customHeight="1" x14ac:dyDescent="0.25">
      <c r="A23" s="23"/>
      <c r="B23" s="548" t="s">
        <v>119</v>
      </c>
      <c r="C23" s="548"/>
      <c r="D23" s="548"/>
      <c r="E23" s="548"/>
      <c r="F23" s="548"/>
      <c r="G23" s="548"/>
      <c r="H23" s="548"/>
      <c r="I23" s="548"/>
      <c r="J23" s="548"/>
      <c r="K23" s="548"/>
      <c r="L23" s="548"/>
      <c r="M23" s="548"/>
      <c r="N23" s="548"/>
      <c r="O23" s="548"/>
      <c r="P23" s="548"/>
      <c r="Q23" s="548"/>
      <c r="S23" s="603">
        <f>+Draft!R10</f>
        <v>0</v>
      </c>
      <c r="T23" s="604"/>
      <c r="U23" s="604"/>
      <c r="V23" s="604"/>
      <c r="W23" s="604"/>
      <c r="X23" s="604"/>
      <c r="Y23" s="604"/>
      <c r="Z23" s="604"/>
      <c r="AA23" s="62"/>
      <c r="AB23" s="367"/>
      <c r="AC23" s="367"/>
      <c r="AD23" s="367"/>
      <c r="AE23" s="603">
        <f>+Draft!AQ10</f>
        <v>0</v>
      </c>
      <c r="AF23" s="604"/>
      <c r="AG23" s="604"/>
      <c r="AH23" s="604"/>
      <c r="AI23" s="604"/>
      <c r="AJ23" s="604"/>
      <c r="AK23" s="604"/>
      <c r="AL23" s="604"/>
      <c r="AM23" s="62"/>
      <c r="AN23" s="567"/>
      <c r="AO23" s="562"/>
    </row>
    <row r="24" spans="1:41" ht="12.75" customHeight="1" x14ac:dyDescent="0.25">
      <c r="A24" s="23"/>
      <c r="B24" s="548" t="s">
        <v>120</v>
      </c>
      <c r="C24" s="548"/>
      <c r="D24" s="548"/>
      <c r="E24" s="548"/>
      <c r="F24" s="548"/>
      <c r="G24" s="548"/>
      <c r="H24" s="548"/>
      <c r="I24" s="548"/>
      <c r="J24" s="548"/>
      <c r="K24" s="548"/>
      <c r="L24" s="548"/>
      <c r="M24" s="548"/>
      <c r="N24" s="548"/>
      <c r="O24" s="548"/>
      <c r="P24" s="548"/>
      <c r="Q24" s="548"/>
      <c r="S24" s="603">
        <f>(+S18+S23)/2</f>
        <v>0</v>
      </c>
      <c r="T24" s="604"/>
      <c r="U24" s="604"/>
      <c r="V24" s="604"/>
      <c r="W24" s="604"/>
      <c r="X24" s="604"/>
      <c r="Y24" s="604"/>
      <c r="Z24" s="604"/>
      <c r="AA24" s="62"/>
      <c r="AB24" s="367"/>
      <c r="AC24" s="367"/>
      <c r="AD24" s="367"/>
      <c r="AE24" s="603">
        <f>(+AE18+AE23)/2</f>
        <v>0</v>
      </c>
      <c r="AF24" s="604"/>
      <c r="AG24" s="604"/>
      <c r="AH24" s="604"/>
      <c r="AI24" s="604"/>
      <c r="AJ24" s="604"/>
      <c r="AK24" s="604"/>
      <c r="AL24" s="604"/>
      <c r="AM24" s="62"/>
      <c r="AN24" s="567"/>
      <c r="AO24" s="562"/>
    </row>
    <row r="25" spans="1:41" ht="12.75" customHeight="1" x14ac:dyDescent="0.25">
      <c r="A25" s="23"/>
      <c r="B25" s="548" t="s">
        <v>121</v>
      </c>
      <c r="C25" s="548"/>
      <c r="D25" s="548"/>
      <c r="E25" s="548"/>
      <c r="F25" s="548"/>
      <c r="G25" s="548"/>
      <c r="H25" s="548"/>
      <c r="I25" s="548"/>
      <c r="J25" s="548"/>
      <c r="K25" s="548"/>
      <c r="L25" s="548"/>
      <c r="M25" s="548"/>
      <c r="N25" s="548"/>
      <c r="O25" s="548"/>
      <c r="P25" s="548"/>
      <c r="Q25" s="548"/>
      <c r="S25" s="603">
        <f>+Draft!A9</f>
        <v>0</v>
      </c>
      <c r="T25" s="604"/>
      <c r="U25" s="604"/>
      <c r="V25" s="604"/>
      <c r="W25" s="604"/>
      <c r="X25" s="604"/>
      <c r="Y25" s="604"/>
      <c r="Z25" s="604"/>
      <c r="AA25" s="62"/>
      <c r="AB25" s="367"/>
      <c r="AC25" s="367"/>
      <c r="AD25" s="367"/>
      <c r="AE25" s="603">
        <f>+Draft!Z9</f>
        <v>0</v>
      </c>
      <c r="AF25" s="604"/>
      <c r="AG25" s="604"/>
      <c r="AH25" s="604"/>
      <c r="AI25" s="604"/>
      <c r="AJ25" s="604"/>
      <c r="AK25" s="604"/>
      <c r="AL25" s="604"/>
      <c r="AM25" s="62"/>
      <c r="AN25" s="567"/>
      <c r="AO25" s="562"/>
    </row>
    <row r="26" spans="1:41" ht="12.75" customHeight="1" x14ac:dyDescent="0.25">
      <c r="A26" s="23"/>
      <c r="B26" s="548" t="s">
        <v>122</v>
      </c>
      <c r="C26" s="548"/>
      <c r="D26" s="548"/>
      <c r="E26" s="548"/>
      <c r="F26" s="548"/>
      <c r="G26" s="548"/>
      <c r="H26" s="548"/>
      <c r="I26" s="548"/>
      <c r="J26" s="548"/>
      <c r="K26" s="548"/>
      <c r="L26" s="548"/>
      <c r="M26" s="548"/>
      <c r="N26" s="548"/>
      <c r="O26" s="548"/>
      <c r="P26" s="548"/>
      <c r="Q26" s="548"/>
      <c r="S26" s="603">
        <f>+Draft!E9</f>
        <v>0</v>
      </c>
      <c r="T26" s="604"/>
      <c r="U26" s="604"/>
      <c r="V26" s="604"/>
      <c r="W26" s="604"/>
      <c r="X26" s="604"/>
      <c r="Y26" s="604"/>
      <c r="Z26" s="604"/>
      <c r="AA26" s="62"/>
      <c r="AB26" s="367"/>
      <c r="AC26" s="367"/>
      <c r="AD26" s="367"/>
      <c r="AE26" s="603">
        <f>+Draft!AD9</f>
        <v>0</v>
      </c>
      <c r="AF26" s="604"/>
      <c r="AG26" s="604"/>
      <c r="AH26" s="604"/>
      <c r="AI26" s="604"/>
      <c r="AJ26" s="604"/>
      <c r="AK26" s="604"/>
      <c r="AL26" s="604"/>
      <c r="AM26" s="62"/>
      <c r="AN26" s="567"/>
      <c r="AO26" s="562"/>
    </row>
    <row r="27" spans="1:41" ht="12.75" customHeight="1" x14ac:dyDescent="0.25">
      <c r="A27" s="23"/>
      <c r="B27" s="548" t="s">
        <v>123</v>
      </c>
      <c r="C27" s="548"/>
      <c r="D27" s="548"/>
      <c r="E27" s="548"/>
      <c r="F27" s="548"/>
      <c r="G27" s="548"/>
      <c r="H27" s="548"/>
      <c r="I27" s="548"/>
      <c r="J27" s="548"/>
      <c r="K27" s="548"/>
      <c r="L27" s="548"/>
      <c r="M27" s="548"/>
      <c r="N27" s="548"/>
      <c r="O27" s="548"/>
      <c r="P27" s="548"/>
      <c r="Q27" s="548"/>
      <c r="S27" s="603">
        <f>+Draft!J9</f>
        <v>0</v>
      </c>
      <c r="T27" s="604"/>
      <c r="U27" s="604"/>
      <c r="V27" s="604"/>
      <c r="W27" s="604"/>
      <c r="X27" s="604"/>
      <c r="Y27" s="604"/>
      <c r="Z27" s="604"/>
      <c r="AA27" s="62"/>
      <c r="AB27" s="367"/>
      <c r="AC27" s="367"/>
      <c r="AD27" s="367"/>
      <c r="AE27" s="603">
        <f>+Draft!AI9</f>
        <v>0</v>
      </c>
      <c r="AF27" s="604"/>
      <c r="AG27" s="604"/>
      <c r="AH27" s="604"/>
      <c r="AI27" s="604"/>
      <c r="AJ27" s="604"/>
      <c r="AK27" s="604"/>
      <c r="AL27" s="604"/>
      <c r="AM27" s="62"/>
      <c r="AN27" s="567"/>
      <c r="AO27" s="562"/>
    </row>
    <row r="28" spans="1:41" ht="12.75" customHeight="1" x14ac:dyDescent="0.25">
      <c r="A28" s="23"/>
      <c r="B28" s="548" t="s">
        <v>124</v>
      </c>
      <c r="C28" s="548"/>
      <c r="D28" s="548"/>
      <c r="E28" s="548"/>
      <c r="F28" s="548"/>
      <c r="G28" s="548"/>
      <c r="H28" s="548"/>
      <c r="I28" s="548"/>
      <c r="J28" s="548"/>
      <c r="K28" s="548"/>
      <c r="L28" s="548"/>
      <c r="M28" s="548"/>
      <c r="N28" s="548"/>
      <c r="O28" s="548"/>
      <c r="P28" s="548"/>
      <c r="Q28" s="548"/>
      <c r="S28" s="603">
        <f>+Draft!N9</f>
        <v>0</v>
      </c>
      <c r="T28" s="604"/>
      <c r="U28" s="604"/>
      <c r="V28" s="604"/>
      <c r="W28" s="604"/>
      <c r="X28" s="604"/>
      <c r="Y28" s="604"/>
      <c r="Z28" s="604"/>
      <c r="AA28" s="62"/>
      <c r="AB28" s="367"/>
      <c r="AC28" s="367"/>
      <c r="AD28" s="367"/>
      <c r="AE28" s="603">
        <f>+Draft!AM9</f>
        <v>0</v>
      </c>
      <c r="AF28" s="604"/>
      <c r="AG28" s="604"/>
      <c r="AH28" s="604"/>
      <c r="AI28" s="604"/>
      <c r="AJ28" s="604"/>
      <c r="AK28" s="604"/>
      <c r="AL28" s="604"/>
      <c r="AM28" s="62"/>
      <c r="AN28" s="567"/>
      <c r="AO28" s="562"/>
    </row>
    <row r="29" spans="1:41" ht="12.75" customHeight="1" x14ac:dyDescent="0.25">
      <c r="A29" s="23"/>
      <c r="B29" s="548" t="s">
        <v>125</v>
      </c>
      <c r="C29" s="548"/>
      <c r="D29" s="548"/>
      <c r="E29" s="548"/>
      <c r="F29" s="548"/>
      <c r="G29" s="548"/>
      <c r="H29" s="548"/>
      <c r="I29" s="548"/>
      <c r="J29" s="548"/>
      <c r="K29" s="548"/>
      <c r="L29" s="548"/>
      <c r="M29" s="548"/>
      <c r="N29" s="548"/>
      <c r="O29" s="548"/>
      <c r="P29" s="548"/>
      <c r="Q29" s="548"/>
      <c r="S29" s="603">
        <f>+Draft!R9</f>
        <v>0</v>
      </c>
      <c r="T29" s="604"/>
      <c r="U29" s="604"/>
      <c r="V29" s="604"/>
      <c r="W29" s="604"/>
      <c r="X29" s="604"/>
      <c r="Y29" s="604"/>
      <c r="Z29" s="604"/>
      <c r="AA29" s="62"/>
      <c r="AB29" s="367"/>
      <c r="AC29" s="367"/>
      <c r="AD29" s="367"/>
      <c r="AE29" s="603">
        <f>+Draft!AQ9</f>
        <v>0</v>
      </c>
      <c r="AF29" s="604"/>
      <c r="AG29" s="604"/>
      <c r="AH29" s="604"/>
      <c r="AI29" s="604"/>
      <c r="AJ29" s="604"/>
      <c r="AK29" s="604"/>
      <c r="AL29" s="604"/>
      <c r="AM29" s="62"/>
      <c r="AN29" s="567"/>
      <c r="AO29" s="562"/>
    </row>
    <row r="30" spans="1:41" ht="12.75" customHeight="1" x14ac:dyDescent="0.25">
      <c r="A30" s="23"/>
      <c r="B30" s="548" t="s">
        <v>126</v>
      </c>
      <c r="C30" s="548"/>
      <c r="D30" s="548"/>
      <c r="E30" s="548"/>
      <c r="F30" s="548"/>
      <c r="G30" s="548"/>
      <c r="H30" s="548"/>
      <c r="I30" s="548"/>
      <c r="J30" s="548"/>
      <c r="K30" s="548"/>
      <c r="L30" s="548"/>
      <c r="M30" s="548"/>
      <c r="N30" s="548"/>
      <c r="O30" s="548"/>
      <c r="P30" s="548"/>
      <c r="Q30" s="548"/>
      <c r="S30" s="603">
        <f t="shared" ref="S30:Z30" si="0">+S27-(S16+S21)/2</f>
        <v>0</v>
      </c>
      <c r="T30" s="604">
        <f t="shared" si="0"/>
        <v>0</v>
      </c>
      <c r="U30" s="604">
        <f t="shared" si="0"/>
        <v>0</v>
      </c>
      <c r="V30" s="604">
        <f t="shared" si="0"/>
        <v>0</v>
      </c>
      <c r="W30" s="604">
        <f t="shared" si="0"/>
        <v>0</v>
      </c>
      <c r="X30" s="604">
        <f t="shared" si="0"/>
        <v>0</v>
      </c>
      <c r="Y30" s="604">
        <f t="shared" si="0"/>
        <v>0</v>
      </c>
      <c r="Z30" s="604">
        <f t="shared" si="0"/>
        <v>0</v>
      </c>
      <c r="AA30" s="62"/>
      <c r="AB30" s="367"/>
      <c r="AC30" s="367"/>
      <c r="AD30" s="367"/>
      <c r="AE30" s="603">
        <f t="shared" ref="AE30:AL30" si="1">+AE27-(AE16+AE21)/2</f>
        <v>0</v>
      </c>
      <c r="AF30" s="604">
        <f t="shared" si="1"/>
        <v>0</v>
      </c>
      <c r="AG30" s="604">
        <f t="shared" si="1"/>
        <v>0</v>
      </c>
      <c r="AH30" s="604">
        <f t="shared" si="1"/>
        <v>0</v>
      </c>
      <c r="AI30" s="604">
        <f t="shared" si="1"/>
        <v>0</v>
      </c>
      <c r="AJ30" s="604">
        <f t="shared" si="1"/>
        <v>0</v>
      </c>
      <c r="AK30" s="604">
        <f t="shared" si="1"/>
        <v>0</v>
      </c>
      <c r="AL30" s="604">
        <f t="shared" si="1"/>
        <v>0</v>
      </c>
      <c r="AM30" s="62"/>
      <c r="AN30" s="567"/>
      <c r="AO30" s="562"/>
    </row>
    <row r="31" spans="1:41" ht="12.75" customHeight="1" x14ac:dyDescent="0.25">
      <c r="A31" s="23"/>
      <c r="B31" s="548" t="s">
        <v>127</v>
      </c>
      <c r="C31" s="548"/>
      <c r="D31" s="548"/>
      <c r="E31" s="548"/>
      <c r="F31" s="548"/>
      <c r="G31" s="548"/>
      <c r="H31" s="548"/>
      <c r="I31" s="548"/>
      <c r="J31" s="548"/>
      <c r="K31" s="548"/>
      <c r="L31" s="548"/>
      <c r="M31" s="548"/>
      <c r="N31" s="548"/>
      <c r="O31" s="548"/>
      <c r="P31" s="548"/>
      <c r="Q31" s="548"/>
      <c r="S31" s="606">
        <f>+Draft!R13</f>
        <v>-1.7999999999999999E-2</v>
      </c>
      <c r="T31" s="607"/>
      <c r="U31" s="607"/>
      <c r="V31" s="607"/>
      <c r="W31" s="607"/>
      <c r="X31" s="607"/>
      <c r="Y31" s="607"/>
      <c r="Z31" s="607"/>
      <c r="AA31" s="62"/>
      <c r="AB31" s="367"/>
      <c r="AC31" s="367"/>
      <c r="AD31" s="367"/>
      <c r="AE31" s="606">
        <f>+Draft!AQ13</f>
        <v>0</v>
      </c>
      <c r="AF31" s="607"/>
      <c r="AG31" s="607"/>
      <c r="AH31" s="607"/>
      <c r="AI31" s="607"/>
      <c r="AJ31" s="607"/>
      <c r="AK31" s="607"/>
      <c r="AL31" s="607"/>
      <c r="AM31" s="62"/>
      <c r="AN31" s="567"/>
      <c r="AO31" s="562"/>
    </row>
    <row r="32" spans="1:41" ht="12.75" customHeight="1" x14ac:dyDescent="0.25">
      <c r="A32" s="23"/>
      <c r="B32" s="548" t="s">
        <v>128</v>
      </c>
      <c r="C32" s="548"/>
      <c r="D32" s="548"/>
      <c r="E32" s="548"/>
      <c r="F32" s="548"/>
      <c r="G32" s="548"/>
      <c r="H32" s="548"/>
      <c r="I32" s="548"/>
      <c r="J32" s="548"/>
      <c r="K32" s="548"/>
      <c r="L32" s="548"/>
      <c r="M32" s="548"/>
      <c r="N32" s="548"/>
      <c r="O32" s="548"/>
      <c r="P32" s="548"/>
      <c r="Q32" s="548"/>
      <c r="S32" s="605" t="s">
        <v>129</v>
      </c>
      <c r="T32" s="596"/>
      <c r="U32" s="596"/>
      <c r="V32" s="596"/>
      <c r="W32" s="596"/>
      <c r="X32" s="596"/>
      <c r="Y32" s="596"/>
      <c r="Z32" s="596"/>
      <c r="AA32" s="62"/>
      <c r="AB32" s="367"/>
      <c r="AC32" s="367"/>
      <c r="AD32" s="367"/>
      <c r="AE32" s="605" t="s">
        <v>129</v>
      </c>
      <c r="AF32" s="596"/>
      <c r="AG32" s="596"/>
      <c r="AH32" s="596"/>
      <c r="AI32" s="596"/>
      <c r="AJ32" s="596"/>
      <c r="AK32" s="596"/>
      <c r="AL32" s="596"/>
      <c r="AM32" s="62"/>
      <c r="AN32" s="567"/>
      <c r="AO32" s="562"/>
    </row>
    <row r="33" spans="1:41" ht="12.75" customHeight="1" x14ac:dyDescent="0.25">
      <c r="A33" s="23"/>
      <c r="B33" s="548" t="s">
        <v>130</v>
      </c>
      <c r="C33" s="548"/>
      <c r="D33" s="548"/>
      <c r="E33" s="548"/>
      <c r="F33" s="548"/>
      <c r="G33" s="548"/>
      <c r="H33" s="548"/>
      <c r="I33" s="548"/>
      <c r="J33" s="548"/>
      <c r="K33" s="548"/>
      <c r="L33" s="548"/>
      <c r="M33" s="548"/>
      <c r="N33" s="548"/>
      <c r="O33" s="548"/>
      <c r="P33" s="548"/>
      <c r="Q33" s="548"/>
      <c r="S33" s="605" t="str">
        <f>+S32</f>
        <v>Nil</v>
      </c>
      <c r="T33" s="596"/>
      <c r="U33" s="596"/>
      <c r="V33" s="596"/>
      <c r="W33" s="596"/>
      <c r="X33" s="596"/>
      <c r="Y33" s="596"/>
      <c r="Z33" s="596"/>
      <c r="AA33" s="62"/>
      <c r="AB33" s="367"/>
      <c r="AC33" s="367"/>
      <c r="AD33" s="367"/>
      <c r="AE33" s="605" t="str">
        <f>+AE32</f>
        <v>Nil</v>
      </c>
      <c r="AF33" s="596"/>
      <c r="AG33" s="596"/>
      <c r="AH33" s="596"/>
      <c r="AI33" s="596"/>
      <c r="AJ33" s="596"/>
      <c r="AK33" s="596"/>
      <c r="AL33" s="596"/>
      <c r="AM33" s="62"/>
      <c r="AN33" s="567"/>
      <c r="AO33" s="562"/>
    </row>
    <row r="34" spans="1:41" ht="12.75" customHeight="1" x14ac:dyDescent="0.25">
      <c r="A34" s="23"/>
      <c r="B34" s="548" t="s">
        <v>131</v>
      </c>
      <c r="C34" s="548"/>
      <c r="D34" s="548"/>
      <c r="E34" s="548"/>
      <c r="F34" s="548"/>
      <c r="G34" s="548"/>
      <c r="H34" s="548"/>
      <c r="I34" s="548"/>
      <c r="J34" s="548"/>
      <c r="K34" s="548"/>
      <c r="L34" s="548"/>
      <c r="M34" s="548"/>
      <c r="N34" s="548"/>
      <c r="O34" s="548"/>
      <c r="P34" s="548"/>
      <c r="Q34" s="548"/>
      <c r="S34" s="605" t="str">
        <f>+S33</f>
        <v>Nil</v>
      </c>
      <c r="T34" s="596"/>
      <c r="U34" s="596"/>
      <c r="V34" s="596"/>
      <c r="W34" s="596"/>
      <c r="X34" s="596"/>
      <c r="Y34" s="596"/>
      <c r="Z34" s="596"/>
      <c r="AA34" s="62"/>
      <c r="AB34" s="367"/>
      <c r="AC34" s="367"/>
      <c r="AD34" s="367"/>
      <c r="AE34" s="605" t="str">
        <f>+AE33</f>
        <v>Nil</v>
      </c>
      <c r="AF34" s="596"/>
      <c r="AG34" s="596"/>
      <c r="AH34" s="596"/>
      <c r="AI34" s="596"/>
      <c r="AJ34" s="596"/>
      <c r="AK34" s="596"/>
      <c r="AL34" s="596"/>
      <c r="AM34" s="62"/>
      <c r="AN34" s="567"/>
      <c r="AO34" s="562"/>
    </row>
    <row r="35" spans="1:41" ht="12.75" customHeight="1" x14ac:dyDescent="0.25">
      <c r="A35" s="23"/>
      <c r="B35" s="548" t="s">
        <v>132</v>
      </c>
      <c r="C35" s="548"/>
      <c r="D35" s="548"/>
      <c r="E35" s="548"/>
      <c r="F35" s="548"/>
      <c r="G35" s="548"/>
      <c r="H35" s="548"/>
      <c r="I35" s="548"/>
      <c r="J35" s="548"/>
      <c r="K35" s="548"/>
      <c r="L35" s="548"/>
      <c r="M35" s="548"/>
      <c r="N35" s="548"/>
      <c r="O35" s="548"/>
      <c r="P35" s="548"/>
      <c r="Q35" s="548"/>
      <c r="S35" s="605" t="str">
        <f>+S34</f>
        <v>Nil</v>
      </c>
      <c r="T35" s="596"/>
      <c r="U35" s="596"/>
      <c r="V35" s="596"/>
      <c r="W35" s="596"/>
      <c r="X35" s="596"/>
      <c r="Y35" s="596"/>
      <c r="Z35" s="596"/>
      <c r="AA35" s="62"/>
      <c r="AB35" s="367"/>
      <c r="AC35" s="367"/>
      <c r="AD35" s="367"/>
      <c r="AE35" s="605" t="str">
        <f>+AE34</f>
        <v>Nil</v>
      </c>
      <c r="AF35" s="596"/>
      <c r="AG35" s="596"/>
      <c r="AH35" s="596"/>
      <c r="AI35" s="596"/>
      <c r="AJ35" s="596"/>
      <c r="AK35" s="596"/>
      <c r="AL35" s="596"/>
      <c r="AM35" s="62"/>
      <c r="AN35" s="567"/>
      <c r="AO35" s="562"/>
    </row>
    <row r="36" spans="1:41" ht="12.75" customHeight="1" x14ac:dyDescent="0.25">
      <c r="A36" s="23"/>
      <c r="B36" s="548" t="s">
        <v>133</v>
      </c>
      <c r="C36" s="548"/>
      <c r="D36" s="548"/>
      <c r="E36" s="548"/>
      <c r="F36" s="548"/>
      <c r="G36" s="548"/>
      <c r="H36" s="548"/>
      <c r="I36" s="548"/>
      <c r="J36" s="548"/>
      <c r="K36" s="548"/>
      <c r="L36" s="548"/>
      <c r="M36" s="548"/>
      <c r="N36" s="548"/>
      <c r="O36" s="548"/>
      <c r="P36" s="548"/>
      <c r="Q36" s="548"/>
      <c r="S36" s="603">
        <f>+Draft!E13</f>
        <v>0</v>
      </c>
      <c r="T36" s="604"/>
      <c r="U36" s="604"/>
      <c r="V36" s="604"/>
      <c r="W36" s="604"/>
      <c r="X36" s="604"/>
      <c r="Y36" s="604"/>
      <c r="Z36" s="604"/>
      <c r="AA36" s="62"/>
      <c r="AB36" s="367"/>
      <c r="AC36" s="367"/>
      <c r="AD36" s="367"/>
      <c r="AE36" s="603">
        <f>+Draft!AD13</f>
        <v>0</v>
      </c>
      <c r="AF36" s="604"/>
      <c r="AG36" s="604"/>
      <c r="AH36" s="604"/>
      <c r="AI36" s="604"/>
      <c r="AJ36" s="604"/>
      <c r="AK36" s="604"/>
      <c r="AL36" s="604"/>
      <c r="AM36" s="62"/>
      <c r="AN36" s="567"/>
      <c r="AO36" s="562"/>
    </row>
    <row r="37" spans="1:41" ht="12.75" customHeight="1" x14ac:dyDescent="0.25">
      <c r="A37" s="23"/>
      <c r="B37" s="24"/>
      <c r="C37" s="24"/>
      <c r="D37" s="25"/>
      <c r="E37" s="24"/>
      <c r="F37" s="24"/>
      <c r="G37" s="24"/>
      <c r="H37" s="24"/>
      <c r="I37" s="24"/>
      <c r="J37" s="24"/>
      <c r="K37" s="24"/>
      <c r="L37" s="24"/>
      <c r="M37" s="24"/>
      <c r="N37" s="34"/>
      <c r="S37" s="599" t="s">
        <v>134</v>
      </c>
      <c r="T37" s="599"/>
      <c r="U37" s="599"/>
      <c r="V37" s="599"/>
      <c r="W37" s="599"/>
      <c r="X37" s="599"/>
      <c r="Y37" s="599"/>
      <c r="Z37" s="599"/>
      <c r="AA37" s="599"/>
      <c r="AB37" s="367"/>
      <c r="AC37" s="367"/>
      <c r="AD37" s="367"/>
      <c r="AE37" s="600" t="s">
        <v>134</v>
      </c>
      <c r="AF37" s="600"/>
      <c r="AG37" s="600"/>
      <c r="AH37" s="600"/>
      <c r="AI37" s="600"/>
      <c r="AJ37" s="600"/>
      <c r="AK37" s="600"/>
      <c r="AL37" s="600"/>
      <c r="AM37" s="600"/>
      <c r="AN37" s="367"/>
      <c r="AO37" s="562"/>
    </row>
    <row r="38" spans="1:41" ht="12.75" customHeight="1" x14ac:dyDescent="0.25">
      <c r="A38" s="23"/>
      <c r="B38" s="548" t="s">
        <v>135</v>
      </c>
      <c r="C38" s="548"/>
      <c r="D38" s="548"/>
      <c r="E38" s="548"/>
      <c r="F38" s="548"/>
      <c r="G38" s="548"/>
      <c r="H38" s="548"/>
      <c r="I38" s="548"/>
      <c r="J38" s="548"/>
      <c r="K38" s="548"/>
      <c r="L38" s="548"/>
      <c r="M38" s="548"/>
      <c r="N38" s="548"/>
      <c r="O38" s="548"/>
      <c r="P38" s="548"/>
      <c r="Q38" s="548"/>
      <c r="S38" s="603">
        <f>+Draft!I13</f>
        <v>0</v>
      </c>
      <c r="T38" s="604"/>
      <c r="U38" s="604"/>
      <c r="V38" s="604"/>
      <c r="W38" s="604"/>
      <c r="X38" s="604"/>
      <c r="Y38" s="604"/>
      <c r="Z38" s="604"/>
      <c r="AA38" s="63"/>
      <c r="AB38" s="367"/>
      <c r="AC38" s="367"/>
      <c r="AD38" s="367"/>
      <c r="AE38" s="603">
        <f>+Draft!AH13</f>
        <v>0</v>
      </c>
      <c r="AF38" s="604"/>
      <c r="AG38" s="604"/>
      <c r="AH38" s="604"/>
      <c r="AI38" s="604"/>
      <c r="AJ38" s="604"/>
      <c r="AK38" s="604"/>
      <c r="AL38" s="604"/>
      <c r="AM38" s="63"/>
      <c r="AN38" s="567"/>
      <c r="AO38" s="562"/>
    </row>
    <row r="39" spans="1:41" ht="12.75" customHeight="1" x14ac:dyDescent="0.25">
      <c r="A39" s="23"/>
      <c r="B39" s="548" t="s">
        <v>136</v>
      </c>
      <c r="C39" s="548"/>
      <c r="D39" s="548"/>
      <c r="E39" s="548"/>
      <c r="F39" s="548"/>
      <c r="G39" s="548"/>
      <c r="H39" s="548"/>
      <c r="I39" s="548"/>
      <c r="J39" s="548"/>
      <c r="K39" s="548"/>
      <c r="L39" s="548"/>
      <c r="M39" s="548"/>
      <c r="N39" s="548"/>
      <c r="O39" s="548"/>
      <c r="P39" s="548"/>
      <c r="Q39" s="548"/>
      <c r="S39" s="598"/>
      <c r="T39" s="596"/>
      <c r="U39" s="596"/>
      <c r="V39" s="596"/>
      <c r="W39" s="596"/>
      <c r="X39" s="596"/>
      <c r="Y39" s="596"/>
      <c r="Z39" s="596"/>
      <c r="AA39" s="63"/>
      <c r="AB39" s="367"/>
      <c r="AC39" s="367"/>
      <c r="AD39" s="367"/>
      <c r="AE39" s="598"/>
      <c r="AF39" s="596"/>
      <c r="AG39" s="596"/>
      <c r="AH39" s="596"/>
      <c r="AI39" s="596"/>
      <c r="AJ39" s="596"/>
      <c r="AK39" s="596"/>
      <c r="AL39" s="596"/>
      <c r="AM39" s="63"/>
      <c r="AN39" s="567"/>
      <c r="AO39" s="562"/>
    </row>
    <row r="40" spans="1:41" ht="12.75" customHeight="1" x14ac:dyDescent="0.25">
      <c r="A40" s="23"/>
      <c r="B40" s="367"/>
      <c r="C40" s="367"/>
      <c r="D40" s="367"/>
      <c r="E40" s="367"/>
      <c r="F40" s="367"/>
      <c r="G40" s="601" t="s">
        <v>137</v>
      </c>
      <c r="H40" s="601"/>
      <c r="I40" s="601"/>
      <c r="J40" s="601"/>
      <c r="K40" s="601"/>
      <c r="L40" s="601"/>
      <c r="M40" s="602">
        <f>+General!L32</f>
        <v>0</v>
      </c>
      <c r="N40" s="602"/>
      <c r="O40" s="602"/>
      <c r="P40" s="602"/>
      <c r="Q40" s="602"/>
      <c r="S40" s="598"/>
      <c r="T40" s="596"/>
      <c r="U40" s="596"/>
      <c r="V40" s="596"/>
      <c r="W40" s="596"/>
      <c r="X40" s="596"/>
      <c r="Y40" s="596"/>
      <c r="Z40" s="596"/>
      <c r="AA40" s="63"/>
      <c r="AB40" s="367"/>
      <c r="AC40" s="367"/>
      <c r="AD40" s="367"/>
      <c r="AE40" s="598"/>
      <c r="AF40" s="596"/>
      <c r="AG40" s="596"/>
      <c r="AH40" s="596"/>
      <c r="AI40" s="596"/>
      <c r="AJ40" s="596"/>
      <c r="AK40" s="596"/>
      <c r="AL40" s="596"/>
      <c r="AM40" s="63"/>
      <c r="AN40" s="567"/>
      <c r="AO40" s="562"/>
    </row>
    <row r="41" spans="1:41" ht="12.75" customHeight="1" x14ac:dyDescent="0.25">
      <c r="A41" s="23"/>
      <c r="B41" s="24"/>
      <c r="C41" s="24"/>
      <c r="D41" s="25"/>
      <c r="E41" s="24"/>
      <c r="F41" s="24"/>
      <c r="G41" s="24"/>
      <c r="H41" s="24"/>
      <c r="I41" s="24"/>
      <c r="J41" s="24"/>
      <c r="K41" s="24"/>
      <c r="L41" s="24"/>
      <c r="M41" s="24"/>
      <c r="N41" s="34"/>
      <c r="S41" s="599" t="s">
        <v>138</v>
      </c>
      <c r="T41" s="599"/>
      <c r="U41" s="599"/>
      <c r="V41" s="599"/>
      <c r="W41" s="599"/>
      <c r="X41" s="599"/>
      <c r="Y41" s="599"/>
      <c r="Z41" s="599"/>
      <c r="AA41" s="599"/>
      <c r="AB41" s="367"/>
      <c r="AC41" s="367"/>
      <c r="AD41" s="367"/>
      <c r="AE41" s="600" t="s">
        <v>138</v>
      </c>
      <c r="AF41" s="600"/>
      <c r="AG41" s="600"/>
      <c r="AH41" s="600"/>
      <c r="AI41" s="600"/>
      <c r="AJ41" s="600"/>
      <c r="AK41" s="600"/>
      <c r="AL41" s="600"/>
      <c r="AM41" s="600"/>
      <c r="AN41" s="367"/>
      <c r="AO41" s="562"/>
    </row>
    <row r="42" spans="1:41" ht="12.75" customHeight="1" x14ac:dyDescent="0.25">
      <c r="A42" s="23"/>
      <c r="B42" s="548" t="s">
        <v>139</v>
      </c>
      <c r="C42" s="548"/>
      <c r="D42" s="548"/>
      <c r="E42" s="548"/>
      <c r="F42" s="548"/>
      <c r="G42" s="548"/>
      <c r="H42" s="548"/>
      <c r="I42" s="548"/>
      <c r="J42" s="548"/>
      <c r="K42" s="548"/>
      <c r="L42" s="548"/>
      <c r="M42" s="548"/>
      <c r="N42" s="548"/>
      <c r="O42" s="548"/>
      <c r="P42" s="548"/>
      <c r="Q42" s="548"/>
      <c r="S42" s="597" t="e">
        <f>+Draft!M20</f>
        <v>#DIV/0!</v>
      </c>
      <c r="T42" s="596"/>
      <c r="U42" s="596"/>
      <c r="V42" s="596"/>
      <c r="W42" s="596"/>
      <c r="X42" s="596"/>
      <c r="Y42" s="596"/>
      <c r="Z42" s="596"/>
      <c r="AA42" s="64"/>
      <c r="AB42" s="367"/>
      <c r="AC42" s="367"/>
      <c r="AD42" s="367"/>
      <c r="AE42" s="597" t="e">
        <f>+Draft!AG20</f>
        <v>#DIV/0!</v>
      </c>
      <c r="AF42" s="596"/>
      <c r="AG42" s="596"/>
      <c r="AH42" s="596"/>
      <c r="AI42" s="596"/>
      <c r="AJ42" s="596"/>
      <c r="AK42" s="596"/>
      <c r="AL42" s="596"/>
      <c r="AM42" s="64"/>
      <c r="AN42" s="567"/>
      <c r="AO42" s="562"/>
    </row>
    <row r="43" spans="1:41" ht="12.75" customHeight="1" x14ac:dyDescent="0.25">
      <c r="A43" s="23"/>
      <c r="B43" s="548" t="s">
        <v>140</v>
      </c>
      <c r="C43" s="548"/>
      <c r="D43" s="548"/>
      <c r="E43" s="548"/>
      <c r="F43" s="548"/>
      <c r="G43" s="548"/>
      <c r="H43" s="548"/>
      <c r="I43" s="548"/>
      <c r="J43" s="548"/>
      <c r="K43" s="548"/>
      <c r="L43" s="548"/>
      <c r="M43" s="548"/>
      <c r="N43" s="548"/>
      <c r="O43" s="548"/>
      <c r="P43" s="548"/>
      <c r="Q43" s="548"/>
      <c r="S43" s="597" t="e">
        <f>+Draft!M21</f>
        <v>#DIV/0!</v>
      </c>
      <c r="T43" s="596"/>
      <c r="U43" s="596"/>
      <c r="V43" s="596"/>
      <c r="W43" s="596"/>
      <c r="X43" s="596"/>
      <c r="Y43" s="596"/>
      <c r="Z43" s="596"/>
      <c r="AA43" s="64"/>
      <c r="AB43" s="367"/>
      <c r="AC43" s="367"/>
      <c r="AD43" s="367"/>
      <c r="AE43" s="597" t="e">
        <f>+Draft!AG21</f>
        <v>#DIV/0!</v>
      </c>
      <c r="AF43" s="596"/>
      <c r="AG43" s="596"/>
      <c r="AH43" s="596"/>
      <c r="AI43" s="596"/>
      <c r="AJ43" s="596"/>
      <c r="AK43" s="596"/>
      <c r="AL43" s="596"/>
      <c r="AM43" s="64"/>
      <c r="AN43" s="567"/>
      <c r="AO43" s="562"/>
    </row>
    <row r="44" spans="1:41" ht="12.75" customHeight="1" x14ac:dyDescent="0.25">
      <c r="A44" s="23"/>
      <c r="B44" s="548" t="s">
        <v>141</v>
      </c>
      <c r="C44" s="548"/>
      <c r="D44" s="548"/>
      <c r="E44" s="548"/>
      <c r="F44" s="548"/>
      <c r="G44" s="548"/>
      <c r="H44" s="548"/>
      <c r="I44" s="548"/>
      <c r="J44" s="548"/>
      <c r="K44" s="548"/>
      <c r="L44" s="548"/>
      <c r="M44" s="548"/>
      <c r="N44" s="548"/>
      <c r="O44" s="548"/>
      <c r="P44" s="548"/>
      <c r="Q44" s="548"/>
      <c r="S44" s="597" t="e">
        <f>+Draft!M22</f>
        <v>#DIV/0!</v>
      </c>
      <c r="T44" s="596"/>
      <c r="U44" s="596"/>
      <c r="V44" s="596"/>
      <c r="W44" s="596"/>
      <c r="X44" s="596"/>
      <c r="Y44" s="596"/>
      <c r="Z44" s="596"/>
      <c r="AA44" s="64"/>
      <c r="AB44" s="367"/>
      <c r="AC44" s="367"/>
      <c r="AD44" s="367"/>
      <c r="AE44" s="597" t="e">
        <f>+Draft!AG22</f>
        <v>#DIV/0!</v>
      </c>
      <c r="AF44" s="596"/>
      <c r="AG44" s="596"/>
      <c r="AH44" s="596"/>
      <c r="AI44" s="596"/>
      <c r="AJ44" s="596"/>
      <c r="AK44" s="596"/>
      <c r="AL44" s="596"/>
      <c r="AM44" s="64"/>
      <c r="AN44" s="567"/>
      <c r="AO44" s="562"/>
    </row>
    <row r="45" spans="1:41" ht="12.75" customHeight="1" x14ac:dyDescent="0.25">
      <c r="A45" s="23"/>
      <c r="B45" s="548" t="s">
        <v>142</v>
      </c>
      <c r="C45" s="548"/>
      <c r="D45" s="548"/>
      <c r="E45" s="548"/>
      <c r="F45" s="548"/>
      <c r="G45" s="548"/>
      <c r="H45" s="548"/>
      <c r="I45" s="548"/>
      <c r="J45" s="548"/>
      <c r="K45" s="548"/>
      <c r="L45" s="548"/>
      <c r="M45" s="548"/>
      <c r="N45" s="548"/>
      <c r="O45" s="548"/>
      <c r="P45" s="548"/>
      <c r="Q45" s="548"/>
      <c r="S45" s="597" t="e">
        <f>+S44+S43</f>
        <v>#DIV/0!</v>
      </c>
      <c r="T45" s="596"/>
      <c r="U45" s="596"/>
      <c r="V45" s="596"/>
      <c r="W45" s="596"/>
      <c r="X45" s="596"/>
      <c r="Y45" s="596"/>
      <c r="Z45" s="596"/>
      <c r="AA45" s="64"/>
      <c r="AB45" s="367"/>
      <c r="AC45" s="367"/>
      <c r="AD45" s="367"/>
      <c r="AE45" s="597" t="e">
        <f>+Draft!AG23</f>
        <v>#DIV/0!</v>
      </c>
      <c r="AF45" s="596"/>
      <c r="AG45" s="596"/>
      <c r="AH45" s="596"/>
      <c r="AI45" s="596"/>
      <c r="AJ45" s="596"/>
      <c r="AK45" s="596"/>
      <c r="AL45" s="596"/>
      <c r="AM45" s="64"/>
      <c r="AN45" s="567"/>
      <c r="AO45" s="562"/>
    </row>
    <row r="46" spans="1:41" ht="12.75" customHeight="1" x14ac:dyDescent="0.25">
      <c r="A46" s="23"/>
      <c r="B46" s="548" t="s">
        <v>143</v>
      </c>
      <c r="C46" s="548"/>
      <c r="D46" s="548"/>
      <c r="E46" s="548"/>
      <c r="F46" s="548"/>
      <c r="G46" s="548"/>
      <c r="H46" s="548"/>
      <c r="I46" s="548"/>
      <c r="J46" s="548"/>
      <c r="K46" s="548"/>
      <c r="L46" s="548"/>
      <c r="M46" s="548"/>
      <c r="N46" s="548"/>
      <c r="O46" s="548"/>
      <c r="P46" s="548"/>
      <c r="Q46" s="548"/>
      <c r="S46" s="597" t="e">
        <f t="shared" ref="S46:Z46" si="2">+S42+S45</f>
        <v>#DIV/0!</v>
      </c>
      <c r="T46" s="596">
        <f t="shared" si="2"/>
        <v>0</v>
      </c>
      <c r="U46" s="596">
        <f t="shared" si="2"/>
        <v>0</v>
      </c>
      <c r="V46" s="596">
        <f t="shared" si="2"/>
        <v>0</v>
      </c>
      <c r="W46" s="596">
        <f t="shared" si="2"/>
        <v>0</v>
      </c>
      <c r="X46" s="596">
        <f t="shared" si="2"/>
        <v>0</v>
      </c>
      <c r="Y46" s="596">
        <f t="shared" si="2"/>
        <v>0</v>
      </c>
      <c r="Z46" s="596">
        <f t="shared" si="2"/>
        <v>0</v>
      </c>
      <c r="AA46" s="64"/>
      <c r="AB46" s="367"/>
      <c r="AC46" s="367"/>
      <c r="AD46" s="367"/>
      <c r="AE46" s="597" t="e">
        <f t="shared" ref="AE46:AL46" si="3">+AE42+AE45</f>
        <v>#DIV/0!</v>
      </c>
      <c r="AF46" s="596">
        <f t="shared" si="3"/>
        <v>0</v>
      </c>
      <c r="AG46" s="596">
        <f t="shared" si="3"/>
        <v>0</v>
      </c>
      <c r="AH46" s="596">
        <f t="shared" si="3"/>
        <v>0</v>
      </c>
      <c r="AI46" s="596">
        <f t="shared" si="3"/>
        <v>0</v>
      </c>
      <c r="AJ46" s="596">
        <f t="shared" si="3"/>
        <v>0</v>
      </c>
      <c r="AK46" s="596">
        <f t="shared" si="3"/>
        <v>0</v>
      </c>
      <c r="AL46" s="596">
        <f t="shared" si="3"/>
        <v>0</v>
      </c>
      <c r="AM46" s="64"/>
      <c r="AN46" s="567"/>
      <c r="AO46" s="562"/>
    </row>
    <row r="47" spans="1:41" ht="12.75" customHeight="1" x14ac:dyDescent="0.25">
      <c r="A47" s="23"/>
      <c r="B47" s="548" t="s">
        <v>144</v>
      </c>
      <c r="C47" s="548"/>
      <c r="D47" s="548"/>
      <c r="E47" s="548"/>
      <c r="F47" s="548"/>
      <c r="G47" s="548"/>
      <c r="H47" s="548"/>
      <c r="I47" s="548"/>
      <c r="J47" s="548"/>
      <c r="K47" s="548"/>
      <c r="L47" s="548"/>
      <c r="M47" s="548"/>
      <c r="N47" s="548"/>
      <c r="O47" s="548"/>
      <c r="P47" s="548"/>
      <c r="Q47" s="548"/>
      <c r="S47" s="597" t="e">
        <f>+S46-Draft!M24</f>
        <v>#DIV/0!</v>
      </c>
      <c r="T47" s="596"/>
      <c r="U47" s="596"/>
      <c r="V47" s="596"/>
      <c r="W47" s="596"/>
      <c r="X47" s="596"/>
      <c r="Y47" s="596"/>
      <c r="Z47" s="596"/>
      <c r="AA47" s="64"/>
      <c r="AB47" s="367"/>
      <c r="AC47" s="367"/>
      <c r="AD47" s="367"/>
      <c r="AE47" s="597" t="e">
        <f>+AE46-Draft!AG24</f>
        <v>#DIV/0!</v>
      </c>
      <c r="AF47" s="596"/>
      <c r="AG47" s="596"/>
      <c r="AH47" s="596"/>
      <c r="AI47" s="596"/>
      <c r="AJ47" s="596"/>
      <c r="AK47" s="596"/>
      <c r="AL47" s="596"/>
      <c r="AM47" s="64"/>
      <c r="AN47" s="567"/>
      <c r="AO47" s="562"/>
    </row>
    <row r="48" spans="1:41" ht="12.75" customHeight="1" x14ac:dyDescent="0.25">
      <c r="A48" s="23"/>
      <c r="B48" s="548" t="s">
        <v>145</v>
      </c>
      <c r="C48" s="548"/>
      <c r="D48" s="548"/>
      <c r="E48" s="548"/>
      <c r="F48" s="548"/>
      <c r="G48" s="548"/>
      <c r="H48" s="548"/>
      <c r="I48" s="548"/>
      <c r="J48" s="548"/>
      <c r="K48" s="548"/>
      <c r="L48" s="548"/>
      <c r="M48" s="548"/>
      <c r="N48" s="548"/>
      <c r="O48" s="548"/>
      <c r="P48" s="548"/>
      <c r="Q48" s="548"/>
      <c r="S48" s="597" t="e">
        <f>+Draft!M26</f>
        <v>#DIV/0!</v>
      </c>
      <c r="T48" s="596"/>
      <c r="U48" s="596"/>
      <c r="V48" s="596"/>
      <c r="W48" s="596"/>
      <c r="X48" s="596"/>
      <c r="Y48" s="596"/>
      <c r="Z48" s="596"/>
      <c r="AA48" s="64"/>
      <c r="AB48" s="367"/>
      <c r="AC48" s="367"/>
      <c r="AD48" s="367"/>
      <c r="AE48" s="597" t="e">
        <f>+Draft!AG26</f>
        <v>#DIV/0!</v>
      </c>
      <c r="AF48" s="596"/>
      <c r="AG48" s="596"/>
      <c r="AH48" s="596"/>
      <c r="AI48" s="596"/>
      <c r="AJ48" s="596"/>
      <c r="AK48" s="596"/>
      <c r="AL48" s="596"/>
      <c r="AM48" s="64"/>
      <c r="AN48" s="567"/>
      <c r="AO48" s="562"/>
    </row>
    <row r="49" spans="1:41" ht="12.75" customHeight="1" x14ac:dyDescent="0.25">
      <c r="A49" s="23"/>
      <c r="B49" s="548" t="s">
        <v>146</v>
      </c>
      <c r="C49" s="548"/>
      <c r="D49" s="548"/>
      <c r="E49" s="548"/>
      <c r="F49" s="548"/>
      <c r="G49" s="548"/>
      <c r="H49" s="548"/>
      <c r="I49" s="548"/>
      <c r="J49" s="548"/>
      <c r="K49" s="548"/>
      <c r="L49" s="548"/>
      <c r="M49" s="548"/>
      <c r="N49" s="548"/>
      <c r="O49" s="548"/>
      <c r="P49" s="548"/>
      <c r="Q49" s="548"/>
      <c r="S49" s="597" t="e">
        <f>+Draft!M27</f>
        <v>#DIV/0!</v>
      </c>
      <c r="T49" s="596"/>
      <c r="U49" s="596"/>
      <c r="V49" s="596"/>
      <c r="W49" s="596"/>
      <c r="X49" s="596"/>
      <c r="Y49" s="596"/>
      <c r="Z49" s="596"/>
      <c r="AA49" s="64"/>
      <c r="AB49" s="367"/>
      <c r="AC49" s="367"/>
      <c r="AD49" s="367"/>
      <c r="AE49" s="597" t="e">
        <f>+Draft!AG27</f>
        <v>#DIV/0!</v>
      </c>
      <c r="AF49" s="596"/>
      <c r="AG49" s="596"/>
      <c r="AH49" s="596"/>
      <c r="AI49" s="596"/>
      <c r="AJ49" s="596"/>
      <c r="AK49" s="596"/>
      <c r="AL49" s="596"/>
      <c r="AM49" s="64"/>
      <c r="AN49" s="567"/>
      <c r="AO49" s="562"/>
    </row>
    <row r="50" spans="1:41" ht="12.75" customHeight="1" x14ac:dyDescent="0.25">
      <c r="A50" s="23"/>
      <c r="B50" s="24"/>
      <c r="C50" s="24"/>
      <c r="D50" s="25"/>
      <c r="E50" s="25"/>
      <c r="F50" s="25"/>
      <c r="G50" s="25"/>
      <c r="H50" s="25"/>
      <c r="I50" s="25"/>
      <c r="J50" s="25"/>
      <c r="K50" s="25"/>
      <c r="L50" s="25"/>
      <c r="M50" s="24"/>
      <c r="N50" s="34"/>
      <c r="S50" s="598"/>
      <c r="T50" s="596"/>
      <c r="U50" s="596"/>
      <c r="V50" s="596"/>
      <c r="W50" s="596"/>
      <c r="X50" s="596"/>
      <c r="Y50" s="596"/>
      <c r="Z50" s="596"/>
      <c r="AA50" s="64"/>
      <c r="AB50" s="367"/>
      <c r="AC50" s="367"/>
      <c r="AD50" s="367"/>
      <c r="AE50" s="598"/>
      <c r="AF50" s="596"/>
      <c r="AG50" s="596"/>
      <c r="AH50" s="596"/>
      <c r="AI50" s="596"/>
      <c r="AJ50" s="596"/>
      <c r="AK50" s="596"/>
      <c r="AL50" s="596"/>
      <c r="AM50" s="64"/>
      <c r="AN50" s="567"/>
      <c r="AO50" s="562"/>
    </row>
    <row r="51" spans="1:41" ht="12.75" customHeight="1" x14ac:dyDescent="0.25">
      <c r="A51" s="23"/>
      <c r="B51" s="548" t="s">
        <v>147</v>
      </c>
      <c r="C51" s="548"/>
      <c r="D51" s="548"/>
      <c r="E51" s="548"/>
      <c r="F51" s="548"/>
      <c r="G51" s="548"/>
      <c r="H51" s="548"/>
      <c r="I51" s="548"/>
      <c r="J51" s="548"/>
      <c r="K51" s="548"/>
      <c r="L51" s="548"/>
      <c r="M51" s="548"/>
      <c r="N51" s="548"/>
      <c r="O51" s="548"/>
      <c r="P51" s="548"/>
      <c r="Q51" s="548"/>
      <c r="S51" s="595">
        <f>+Draft!G26</f>
        <v>0</v>
      </c>
      <c r="T51" s="596"/>
      <c r="U51" s="596"/>
      <c r="V51" s="596"/>
      <c r="W51" s="596"/>
      <c r="X51" s="596"/>
      <c r="Y51" s="596"/>
      <c r="Z51" s="596"/>
      <c r="AA51" s="64"/>
      <c r="AB51" s="367"/>
      <c r="AC51" s="367"/>
      <c r="AD51" s="367"/>
      <c r="AE51" s="595">
        <f>+Draft!AS26</f>
        <v>0</v>
      </c>
      <c r="AF51" s="596"/>
      <c r="AG51" s="596"/>
      <c r="AH51" s="596"/>
      <c r="AI51" s="596"/>
      <c r="AJ51" s="596"/>
      <c r="AK51" s="596"/>
      <c r="AL51" s="596"/>
      <c r="AM51" s="64"/>
      <c r="AN51" s="567"/>
      <c r="AO51" s="562"/>
    </row>
    <row r="52" spans="1:41" ht="12.75" customHeight="1" x14ac:dyDescent="0.25">
      <c r="A52" s="23"/>
      <c r="B52" s="548" t="s">
        <v>148</v>
      </c>
      <c r="C52" s="548"/>
      <c r="D52" s="548"/>
      <c r="E52" s="548"/>
      <c r="F52" s="548"/>
      <c r="G52" s="548"/>
      <c r="H52" s="548"/>
      <c r="I52" s="548"/>
      <c r="J52" s="548"/>
      <c r="K52" s="548"/>
      <c r="L52" s="548"/>
      <c r="M52" s="548"/>
      <c r="N52" s="548"/>
      <c r="O52" s="548"/>
      <c r="P52" s="548"/>
      <c r="Q52" s="548"/>
      <c r="S52" s="597" t="e">
        <f>+Draft!M32</f>
        <v>#DIV/0!</v>
      </c>
      <c r="T52" s="596">
        <f t="shared" ref="T52:Z52" si="4">+T49-T51</f>
        <v>0</v>
      </c>
      <c r="U52" s="596">
        <f t="shared" si="4"/>
        <v>0</v>
      </c>
      <c r="V52" s="596">
        <f t="shared" si="4"/>
        <v>0</v>
      </c>
      <c r="W52" s="596">
        <f t="shared" si="4"/>
        <v>0</v>
      </c>
      <c r="X52" s="596">
        <f t="shared" si="4"/>
        <v>0</v>
      </c>
      <c r="Y52" s="596">
        <f t="shared" si="4"/>
        <v>0</v>
      </c>
      <c r="Z52" s="596">
        <f t="shared" si="4"/>
        <v>0</v>
      </c>
      <c r="AA52" s="64"/>
      <c r="AB52" s="367"/>
      <c r="AC52" s="367"/>
      <c r="AD52" s="367"/>
      <c r="AE52" s="597" t="e">
        <f>+Draft!AG33</f>
        <v>#DIV/0!</v>
      </c>
      <c r="AF52" s="596">
        <f t="shared" ref="AF52:AL52" si="5">+AF49-AF51</f>
        <v>0</v>
      </c>
      <c r="AG52" s="596">
        <f t="shared" si="5"/>
        <v>0</v>
      </c>
      <c r="AH52" s="596">
        <f t="shared" si="5"/>
        <v>0</v>
      </c>
      <c r="AI52" s="596">
        <f t="shared" si="5"/>
        <v>0</v>
      </c>
      <c r="AJ52" s="596">
        <f t="shared" si="5"/>
        <v>0</v>
      </c>
      <c r="AK52" s="596">
        <f t="shared" si="5"/>
        <v>0</v>
      </c>
      <c r="AL52" s="596">
        <f t="shared" si="5"/>
        <v>0</v>
      </c>
      <c r="AM52" s="64"/>
      <c r="AN52" s="567"/>
      <c r="AO52" s="562"/>
    </row>
    <row r="53" spans="1:41" ht="6" customHeight="1" x14ac:dyDescent="0.25">
      <c r="A53" s="534"/>
      <c r="B53" s="535"/>
      <c r="C53" s="535"/>
      <c r="D53" s="535"/>
      <c r="E53" s="535"/>
      <c r="F53" s="535"/>
      <c r="G53" s="535"/>
      <c r="H53" s="535"/>
      <c r="I53" s="535"/>
      <c r="J53" s="535"/>
      <c r="K53" s="535"/>
      <c r="L53" s="535"/>
      <c r="M53" s="535"/>
      <c r="N53" s="535"/>
      <c r="O53" s="535"/>
      <c r="P53" s="535"/>
      <c r="Q53" s="535"/>
      <c r="R53" s="535"/>
      <c r="S53" s="535"/>
      <c r="T53" s="535"/>
      <c r="U53" s="535"/>
      <c r="V53" s="535"/>
      <c r="W53" s="535"/>
      <c r="X53" s="535"/>
      <c r="Y53" s="535"/>
      <c r="Z53" s="535"/>
      <c r="AA53" s="535"/>
      <c r="AB53" s="535"/>
      <c r="AC53" s="535"/>
      <c r="AD53" s="535"/>
      <c r="AE53" s="535"/>
      <c r="AF53" s="535"/>
      <c r="AG53" s="535"/>
      <c r="AH53" s="535"/>
      <c r="AI53" s="535"/>
      <c r="AJ53" s="535"/>
      <c r="AK53" s="535"/>
      <c r="AL53" s="535"/>
      <c r="AM53" s="535"/>
      <c r="AN53" s="535"/>
      <c r="AO53" s="536"/>
    </row>
    <row r="54" spans="1:41" ht="12.75" customHeight="1" x14ac:dyDescent="0.25">
      <c r="A54" s="504"/>
      <c r="B54" s="554" t="s">
        <v>149</v>
      </c>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5"/>
    </row>
    <row r="55" spans="1:41" ht="12.75" customHeight="1" x14ac:dyDescent="0.25">
      <c r="A55" s="551"/>
      <c r="B55" s="583" t="s">
        <v>150</v>
      </c>
      <c r="C55" s="583"/>
      <c r="D55" s="583"/>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4"/>
    </row>
    <row r="56" spans="1:41" ht="6.75" customHeight="1" x14ac:dyDescent="0.25">
      <c r="A56" s="534"/>
      <c r="B56" s="593"/>
      <c r="C56" s="593"/>
      <c r="D56" s="593"/>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c r="AC56" s="593"/>
      <c r="AD56" s="593"/>
      <c r="AE56" s="593"/>
      <c r="AF56" s="593"/>
      <c r="AG56" s="593"/>
      <c r="AH56" s="593"/>
      <c r="AI56" s="593"/>
      <c r="AJ56" s="593"/>
      <c r="AK56" s="593"/>
      <c r="AL56" s="593"/>
      <c r="AM56" s="593"/>
      <c r="AN56" s="593"/>
      <c r="AO56" s="594"/>
    </row>
    <row r="57" spans="1:41" ht="12.75" customHeight="1" x14ac:dyDescent="0.25">
      <c r="A57" s="498"/>
      <c r="B57" s="498"/>
      <c r="C57" s="498"/>
      <c r="D57" s="498"/>
      <c r="E57" s="498"/>
      <c r="F57" s="498"/>
      <c r="G57" s="498"/>
      <c r="H57" s="498"/>
      <c r="I57" s="498"/>
      <c r="J57" s="498"/>
      <c r="K57" s="498"/>
      <c r="L57" s="498"/>
      <c r="M57" s="498"/>
      <c r="N57" s="498"/>
      <c r="O57" s="498"/>
      <c r="P57" s="498"/>
      <c r="Q57" s="498"/>
      <c r="R57" s="498"/>
      <c r="S57" s="498"/>
      <c r="T57" s="498"/>
      <c r="U57" s="498"/>
      <c r="V57" s="498"/>
      <c r="W57" s="498"/>
      <c r="X57" s="498"/>
      <c r="Y57" s="498"/>
      <c r="Z57" s="498"/>
      <c r="AA57" s="498"/>
      <c r="AB57" s="498"/>
      <c r="AC57" s="498"/>
      <c r="AD57" s="498"/>
      <c r="AE57" s="498"/>
      <c r="AF57" s="498"/>
      <c r="AG57" s="498"/>
      <c r="AH57" s="498"/>
      <c r="AI57" s="498"/>
      <c r="AJ57" s="498"/>
      <c r="AK57" s="498"/>
      <c r="AL57" s="498"/>
      <c r="AM57" s="498"/>
      <c r="AN57" s="498"/>
      <c r="AO57" s="498"/>
    </row>
    <row r="58" spans="1:41" ht="24.75" customHeight="1" x14ac:dyDescent="0.25">
      <c r="A58" s="308"/>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row>
  </sheetData>
  <mergeCells count="236">
    <mergeCell ref="A1:AO1"/>
    <mergeCell ref="A2:X2"/>
    <mergeCell ref="Y2:AH2"/>
    <mergeCell ref="AI2:AO4"/>
    <mergeCell ref="A3:Y3"/>
    <mergeCell ref="AA3:AH3"/>
    <mergeCell ref="A4:Y4"/>
    <mergeCell ref="AA4:AH4"/>
    <mergeCell ref="A9:AO9"/>
    <mergeCell ref="A10:AO10"/>
    <mergeCell ref="A11:R11"/>
    <mergeCell ref="S11:AA11"/>
    <mergeCell ref="AB11:AD11"/>
    <mergeCell ref="AE11:AM11"/>
    <mergeCell ref="AN11:AO11"/>
    <mergeCell ref="B5:AO5"/>
    <mergeCell ref="A6:AO6"/>
    <mergeCell ref="B7:Y7"/>
    <mergeCell ref="Z7:AO7"/>
    <mergeCell ref="A8:E8"/>
    <mergeCell ref="F8:AB8"/>
    <mergeCell ref="AC8:AO8"/>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B14:Q14"/>
    <mergeCell ref="S14:Z14"/>
    <mergeCell ref="AB14:AD14"/>
    <mergeCell ref="AE14:AL14"/>
    <mergeCell ref="AN14:AO14"/>
    <mergeCell ref="B15:Q15"/>
    <mergeCell ref="S15:Z15"/>
    <mergeCell ref="AB15:AD15"/>
    <mergeCell ref="AE15:AL15"/>
    <mergeCell ref="AN15:AO15"/>
    <mergeCell ref="B16:Q16"/>
    <mergeCell ref="S16:Z16"/>
    <mergeCell ref="AB16:AD16"/>
    <mergeCell ref="AE16:AL16"/>
    <mergeCell ref="AN16:AO16"/>
    <mergeCell ref="B17:Q17"/>
    <mergeCell ref="S17:Z17"/>
    <mergeCell ref="AB17:AD17"/>
    <mergeCell ref="AE17:AL17"/>
    <mergeCell ref="AN17:AO17"/>
    <mergeCell ref="B18:Q18"/>
    <mergeCell ref="S18:Z18"/>
    <mergeCell ref="AB18:AD18"/>
    <mergeCell ref="AE18:AL18"/>
    <mergeCell ref="AN18:AO18"/>
    <mergeCell ref="B19:Q19"/>
    <mergeCell ref="S19:Z19"/>
    <mergeCell ref="AB19:AD19"/>
    <mergeCell ref="AE19:AL19"/>
    <mergeCell ref="AN19:AO19"/>
    <mergeCell ref="B20:Q20"/>
    <mergeCell ref="S20:Z20"/>
    <mergeCell ref="AB20:AD20"/>
    <mergeCell ref="AE20:AL20"/>
    <mergeCell ref="AN20:AO20"/>
    <mergeCell ref="B21:Q21"/>
    <mergeCell ref="S21:Z21"/>
    <mergeCell ref="AB21:AD21"/>
    <mergeCell ref="AE21:AL21"/>
    <mergeCell ref="AN21:AO21"/>
    <mergeCell ref="B22:Q22"/>
    <mergeCell ref="S22:Z22"/>
    <mergeCell ref="AB22:AD22"/>
    <mergeCell ref="AE22:AL22"/>
    <mergeCell ref="AN22:AO22"/>
    <mergeCell ref="B23:Q23"/>
    <mergeCell ref="S23:Z23"/>
    <mergeCell ref="AB23:AD23"/>
    <mergeCell ref="AE23:AL23"/>
    <mergeCell ref="AN23:AO23"/>
    <mergeCell ref="B24:Q24"/>
    <mergeCell ref="S24:Z24"/>
    <mergeCell ref="AB24:AD24"/>
    <mergeCell ref="AE24:AL24"/>
    <mergeCell ref="AN24:AO24"/>
    <mergeCell ref="B25:Q25"/>
    <mergeCell ref="S25:Z25"/>
    <mergeCell ref="AB25:AD25"/>
    <mergeCell ref="AE25:AL25"/>
    <mergeCell ref="AN25:AO25"/>
    <mergeCell ref="B26:Q26"/>
    <mergeCell ref="S26:Z26"/>
    <mergeCell ref="AB26:AD26"/>
    <mergeCell ref="AE26:AL26"/>
    <mergeCell ref="AN26:AO26"/>
    <mergeCell ref="B27:Q27"/>
    <mergeCell ref="S27:Z27"/>
    <mergeCell ref="AB27:AD27"/>
    <mergeCell ref="AE27:AL27"/>
    <mergeCell ref="AN27:AO27"/>
    <mergeCell ref="B28:Q28"/>
    <mergeCell ref="S28:Z28"/>
    <mergeCell ref="AB28:AD28"/>
    <mergeCell ref="AE28:AL28"/>
    <mergeCell ref="AN28:AO28"/>
    <mergeCell ref="B29:Q29"/>
    <mergeCell ref="S29:Z29"/>
    <mergeCell ref="AB29:AD29"/>
    <mergeCell ref="AE29:AL29"/>
    <mergeCell ref="AN29:AO29"/>
    <mergeCell ref="B30:Q30"/>
    <mergeCell ref="S30:Z30"/>
    <mergeCell ref="AB30:AD30"/>
    <mergeCell ref="AE30:AL30"/>
    <mergeCell ref="AN30:AO30"/>
    <mergeCell ref="B31:Q31"/>
    <mergeCell ref="S31:Z31"/>
    <mergeCell ref="AB31:AD31"/>
    <mergeCell ref="AE31:AL31"/>
    <mergeCell ref="AN31:AO31"/>
    <mergeCell ref="B32:Q32"/>
    <mergeCell ref="S32:Z32"/>
    <mergeCell ref="AB32:AD32"/>
    <mergeCell ref="AE32:AL32"/>
    <mergeCell ref="AN32:AO32"/>
    <mergeCell ref="B33:Q33"/>
    <mergeCell ref="S33:Z33"/>
    <mergeCell ref="AB33:AD33"/>
    <mergeCell ref="AE33:AL33"/>
    <mergeCell ref="AN33:AO33"/>
    <mergeCell ref="B34:Q34"/>
    <mergeCell ref="S34:Z34"/>
    <mergeCell ref="AB34:AD34"/>
    <mergeCell ref="AE34:AL34"/>
    <mergeCell ref="AN34:AO34"/>
    <mergeCell ref="B35:Q35"/>
    <mergeCell ref="S35:Z35"/>
    <mergeCell ref="AB35:AD35"/>
    <mergeCell ref="AE35:AL35"/>
    <mergeCell ref="AN35:AO35"/>
    <mergeCell ref="B36:Q36"/>
    <mergeCell ref="S36:Z36"/>
    <mergeCell ref="AB36:AD36"/>
    <mergeCell ref="AE36:AL36"/>
    <mergeCell ref="AN36:AO36"/>
    <mergeCell ref="S37:AA37"/>
    <mergeCell ref="AB37:AD37"/>
    <mergeCell ref="AE37:AM37"/>
    <mergeCell ref="AN37:AO37"/>
    <mergeCell ref="B38:Q38"/>
    <mergeCell ref="S38:Z38"/>
    <mergeCell ref="AB38:AD38"/>
    <mergeCell ref="AE38:AL38"/>
    <mergeCell ref="AN38:AO38"/>
    <mergeCell ref="B39:Q39"/>
    <mergeCell ref="S39:Z39"/>
    <mergeCell ref="AB39:AD39"/>
    <mergeCell ref="AE39:AL39"/>
    <mergeCell ref="AN39:AO39"/>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43:Q43"/>
    <mergeCell ref="S43:Z43"/>
    <mergeCell ref="AB43:AD43"/>
    <mergeCell ref="AE43:AL43"/>
    <mergeCell ref="AN43:AO43"/>
    <mergeCell ref="B44:Q44"/>
    <mergeCell ref="S44:Z44"/>
    <mergeCell ref="AB44:AD44"/>
    <mergeCell ref="AE44:AL44"/>
    <mergeCell ref="AN44:AO44"/>
    <mergeCell ref="B45:Q45"/>
    <mergeCell ref="S45:Z45"/>
    <mergeCell ref="AB45:AD45"/>
    <mergeCell ref="AE45:AL45"/>
    <mergeCell ref="AN45:AO45"/>
    <mergeCell ref="B46:Q46"/>
    <mergeCell ref="S46:Z46"/>
    <mergeCell ref="AB46:AD46"/>
    <mergeCell ref="AE46:AL46"/>
    <mergeCell ref="AN46:AO46"/>
    <mergeCell ref="B47:Q47"/>
    <mergeCell ref="S47:Z47"/>
    <mergeCell ref="AB47:AD47"/>
    <mergeCell ref="AE47:AL47"/>
    <mergeCell ref="AN47:AO47"/>
    <mergeCell ref="B48:Q48"/>
    <mergeCell ref="S48:Z48"/>
    <mergeCell ref="AB48:AD48"/>
    <mergeCell ref="AE48:AL48"/>
    <mergeCell ref="AN48:AO48"/>
    <mergeCell ref="B49:Q49"/>
    <mergeCell ref="S49:Z49"/>
    <mergeCell ref="AB49:AD49"/>
    <mergeCell ref="AE49:AL49"/>
    <mergeCell ref="AN49:AO49"/>
    <mergeCell ref="S50:Z50"/>
    <mergeCell ref="AB50:AD50"/>
    <mergeCell ref="AE50:AL50"/>
    <mergeCell ref="AN50:AO50"/>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367" t="s">
        <v>11</v>
      </c>
      <c r="T1" s="367"/>
      <c r="U1" s="367"/>
      <c r="V1" s="367"/>
      <c r="W1" s="367"/>
      <c r="X1" s="661"/>
      <c r="Y1" s="662"/>
      <c r="Z1" s="662"/>
      <c r="AA1" s="662"/>
      <c r="AB1" s="662"/>
      <c r="AC1" s="662"/>
      <c r="AD1" s="662"/>
      <c r="AE1" s="662"/>
      <c r="AF1" s="662"/>
      <c r="AG1" s="662"/>
      <c r="AH1" s="662"/>
      <c r="AI1" s="662"/>
      <c r="AJ1" s="662"/>
      <c r="AK1" s="662"/>
      <c r="AL1" s="662"/>
    </row>
    <row r="3" spans="1:38" x14ac:dyDescent="0.25">
      <c r="S3" s="663" t="s">
        <v>13</v>
      </c>
      <c r="T3" s="663"/>
      <c r="U3" s="663"/>
      <c r="V3" s="663"/>
      <c r="W3" s="664"/>
      <c r="X3" s="658"/>
      <c r="Y3" s="659"/>
      <c r="Z3" s="659"/>
      <c r="AA3" s="659"/>
      <c r="AB3" s="659"/>
      <c r="AC3" s="659"/>
      <c r="AD3" s="660"/>
      <c r="AE3" t="s">
        <v>12</v>
      </c>
      <c r="AI3" s="665"/>
      <c r="AJ3" s="666"/>
      <c r="AK3" s="666"/>
      <c r="AL3" s="667"/>
    </row>
    <row r="4" spans="1:38" ht="12.75" customHeight="1" x14ac:dyDescent="0.25"/>
    <row r="5" spans="1:38" ht="12.75" customHeight="1" x14ac:dyDescent="0.25"/>
    <row r="6" spans="1:38" ht="12.75" customHeight="1" x14ac:dyDescent="0.25">
      <c r="A6" t="s">
        <v>14</v>
      </c>
      <c r="J6" s="658"/>
      <c r="K6" s="659"/>
      <c r="L6" s="659"/>
      <c r="M6" s="659"/>
      <c r="N6" s="659"/>
      <c r="O6" s="659"/>
      <c r="P6" s="659"/>
      <c r="Q6" s="659"/>
      <c r="R6" s="659"/>
      <c r="S6" s="659"/>
      <c r="T6" s="659"/>
      <c r="U6" s="659"/>
      <c r="V6" s="659"/>
      <c r="W6" s="659"/>
      <c r="X6" s="659"/>
      <c r="Y6" s="659"/>
      <c r="Z6" s="659"/>
      <c r="AA6" s="659"/>
      <c r="AB6" s="659"/>
      <c r="AC6" s="659"/>
      <c r="AD6" s="659"/>
      <c r="AE6" s="659"/>
      <c r="AF6" s="659"/>
      <c r="AG6" s="659"/>
      <c r="AH6" s="659"/>
      <c r="AI6" s="659"/>
      <c r="AJ6" s="659"/>
      <c r="AK6" s="659"/>
      <c r="AL6" s="660"/>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647"/>
      <c r="D8" s="648"/>
      <c r="E8" s="648"/>
      <c r="F8" s="648"/>
      <c r="G8" s="648"/>
      <c r="H8" s="649"/>
      <c r="I8" s="567" t="s">
        <v>15</v>
      </c>
      <c r="J8" s="367"/>
      <c r="K8" s="367"/>
      <c r="L8" s="562"/>
      <c r="M8" s="650"/>
      <c r="N8" s="651"/>
      <c r="O8" s="651"/>
      <c r="P8" s="651"/>
      <c r="Q8" s="651"/>
      <c r="R8" s="652"/>
      <c r="S8" s="567" t="s">
        <v>16</v>
      </c>
      <c r="T8" s="367"/>
      <c r="U8" s="367"/>
      <c r="V8" s="562"/>
      <c r="W8" s="653"/>
      <c r="X8" s="654"/>
      <c r="Y8" s="567" t="s">
        <v>17</v>
      </c>
      <c r="Z8" s="562"/>
      <c r="AA8" s="655"/>
      <c r="AB8" s="656"/>
      <c r="AC8" s="656"/>
      <c r="AD8" s="656"/>
      <c r="AE8" s="656"/>
      <c r="AF8" s="656"/>
      <c r="AG8" s="656"/>
      <c r="AH8" s="656"/>
      <c r="AI8" s="656"/>
      <c r="AJ8" s="656"/>
      <c r="AK8" s="656"/>
      <c r="AL8" s="657"/>
    </row>
    <row r="9" spans="1:38" ht="12.75" customHeight="1" x14ac:dyDescent="0.25"/>
    <row r="10" spans="1:38" ht="12.75" customHeight="1" x14ac:dyDescent="0.25">
      <c r="A10" t="s">
        <v>38</v>
      </c>
      <c r="H10" s="637"/>
      <c r="I10" s="638"/>
      <c r="J10" s="638"/>
      <c r="K10" s="638"/>
      <c r="L10" s="638"/>
      <c r="M10" s="638"/>
      <c r="N10" s="638"/>
      <c r="O10" s="638"/>
      <c r="P10" s="638"/>
      <c r="Q10" s="638"/>
      <c r="R10" s="639"/>
      <c r="T10" t="s">
        <v>344</v>
      </c>
      <c r="AB10" s="644"/>
      <c r="AC10" s="645"/>
      <c r="AD10" s="645"/>
      <c r="AE10" s="645"/>
      <c r="AF10" s="645"/>
      <c r="AG10" s="645"/>
      <c r="AH10" s="645"/>
      <c r="AI10" s="645"/>
      <c r="AJ10" s="645"/>
      <c r="AK10" s="645"/>
      <c r="AL10" s="646"/>
    </row>
    <row r="11" spans="1:38" ht="12.75" customHeight="1" x14ac:dyDescent="0.25">
      <c r="A11" t="s">
        <v>39</v>
      </c>
      <c r="H11" s="637"/>
      <c r="I11" s="638"/>
      <c r="J11" s="638"/>
      <c r="K11" s="638"/>
      <c r="L11" s="638"/>
      <c r="M11" s="638"/>
      <c r="N11" s="638"/>
      <c r="O11" s="638"/>
      <c r="P11" s="638"/>
      <c r="Q11" s="638"/>
      <c r="R11" s="639"/>
      <c r="T11" t="s">
        <v>345</v>
      </c>
      <c r="AB11" s="644"/>
      <c r="AC11" s="645"/>
      <c r="AD11" s="645"/>
      <c r="AE11" s="645"/>
      <c r="AF11" s="645"/>
      <c r="AG11" s="645"/>
      <c r="AH11" s="645"/>
      <c r="AI11" s="645"/>
      <c r="AJ11" s="645"/>
      <c r="AK11" s="645"/>
      <c r="AL11" s="646"/>
    </row>
    <row r="12" spans="1:38" ht="12.75" customHeight="1" x14ac:dyDescent="0.25">
      <c r="A12" t="s">
        <v>40</v>
      </c>
      <c r="H12" s="637"/>
      <c r="I12" s="638"/>
      <c r="J12" s="638"/>
      <c r="K12" s="638"/>
      <c r="L12" s="638"/>
      <c r="M12" s="638"/>
      <c r="N12" s="638"/>
      <c r="O12" s="638"/>
      <c r="P12" s="638"/>
      <c r="Q12" s="638"/>
      <c r="R12" s="639"/>
      <c r="T12" t="s">
        <v>19</v>
      </c>
      <c r="AB12" s="644"/>
      <c r="AC12" s="645"/>
      <c r="AD12" s="645"/>
      <c r="AE12" s="645"/>
      <c r="AF12" s="645"/>
      <c r="AG12" s="645"/>
      <c r="AH12" s="645"/>
      <c r="AI12" s="645"/>
      <c r="AJ12" s="645"/>
      <c r="AK12" s="645"/>
      <c r="AL12" s="646"/>
    </row>
    <row r="13" spans="1:38" ht="12.75" customHeight="1" x14ac:dyDescent="0.25">
      <c r="A13" t="s">
        <v>41</v>
      </c>
      <c r="H13" s="637">
        <v>0</v>
      </c>
      <c r="I13" s="638"/>
      <c r="J13" s="638"/>
      <c r="K13" s="638"/>
      <c r="L13" s="638"/>
      <c r="M13" s="638"/>
      <c r="N13" s="638"/>
      <c r="O13" s="638"/>
      <c r="P13" s="638"/>
      <c r="Q13" s="638"/>
      <c r="R13" s="639"/>
      <c r="T13" t="s">
        <v>20</v>
      </c>
      <c r="AB13" s="640"/>
      <c r="AC13" s="641"/>
      <c r="AD13" s="641"/>
      <c r="AE13" s="641"/>
      <c r="AF13" s="641"/>
      <c r="AG13" s="641"/>
      <c r="AH13" s="641"/>
      <c r="AI13" s="641"/>
      <c r="AJ13" s="641"/>
      <c r="AK13" s="641"/>
      <c r="AL13" s="642"/>
    </row>
    <row r="14" spans="1:38" ht="12.75" customHeight="1" x14ac:dyDescent="0.25">
      <c r="A14" s="184" t="s">
        <v>346</v>
      </c>
      <c r="H14" s="643">
        <v>0</v>
      </c>
      <c r="I14" s="638"/>
      <c r="J14" s="638"/>
      <c r="K14" s="638"/>
      <c r="L14" s="638"/>
      <c r="M14" s="638"/>
      <c r="N14" s="638"/>
      <c r="O14" s="638"/>
      <c r="P14" s="638"/>
      <c r="Q14" s="638"/>
      <c r="R14" s="639"/>
      <c r="T14" t="s">
        <v>347</v>
      </c>
      <c r="AB14" s="640"/>
      <c r="AC14" s="641"/>
      <c r="AD14" s="641"/>
      <c r="AE14" s="641"/>
      <c r="AF14" s="641"/>
      <c r="AG14" s="641"/>
      <c r="AH14" s="641"/>
      <c r="AI14" s="641"/>
      <c r="AJ14" s="641"/>
      <c r="AK14" s="641"/>
      <c r="AL14" s="642"/>
    </row>
    <row r="15" spans="1:38" ht="12.75" customHeight="1" x14ac:dyDescent="0.25">
      <c r="A15" s="184"/>
      <c r="H15" s="183"/>
      <c r="I15" s="183"/>
      <c r="J15" s="183"/>
      <c r="K15" s="183"/>
      <c r="L15" s="183"/>
      <c r="M15" s="183"/>
      <c r="N15" s="183"/>
      <c r="O15" s="183"/>
      <c r="P15" s="183"/>
      <c r="Q15" s="183"/>
      <c r="R15" s="183"/>
      <c r="AB15" s="183"/>
      <c r="AC15" s="183"/>
      <c r="AD15" s="183"/>
      <c r="AE15" s="183"/>
      <c r="AF15" s="183"/>
      <c r="AG15" s="183"/>
      <c r="AH15" s="183"/>
      <c r="AI15" s="183"/>
      <c r="AJ15" s="183"/>
      <c r="AK15" s="183"/>
      <c r="AL15" s="183"/>
    </row>
    <row r="16" spans="1:38" ht="12.75" customHeight="1" x14ac:dyDescent="0.25">
      <c r="A16" s="184" t="s">
        <v>348</v>
      </c>
      <c r="H16" s="644"/>
      <c r="I16" s="645"/>
      <c r="J16" s="645"/>
      <c r="K16" s="645"/>
      <c r="L16" s="645"/>
      <c r="M16" s="645"/>
      <c r="N16" s="645"/>
      <c r="O16" s="645"/>
      <c r="P16" s="645"/>
      <c r="Q16" s="645"/>
      <c r="R16" s="646"/>
      <c r="T16" s="183" t="s">
        <v>349</v>
      </c>
      <c r="AB16" s="644"/>
      <c r="AC16" s="645"/>
      <c r="AD16" s="645"/>
      <c r="AE16" s="645"/>
      <c r="AF16" s="645"/>
      <c r="AG16" s="645"/>
      <c r="AH16" s="645"/>
      <c r="AI16" s="645"/>
      <c r="AJ16" s="645"/>
      <c r="AK16" s="645"/>
      <c r="AL16" s="646"/>
    </row>
    <row r="17" spans="1:38" ht="12.75" customHeight="1" x14ac:dyDescent="0.25"/>
    <row r="18" spans="1:38" ht="12.75" customHeight="1" x14ac:dyDescent="0.25">
      <c r="A18" t="s">
        <v>77</v>
      </c>
      <c r="M18" s="625"/>
      <c r="N18" s="626"/>
      <c r="O18" s="626"/>
      <c r="P18" s="626"/>
      <c r="Q18" s="626"/>
      <c r="R18" s="627"/>
      <c r="T18" t="s">
        <v>78</v>
      </c>
      <c r="AG18" s="634"/>
      <c r="AH18" s="635"/>
      <c r="AI18" s="635"/>
      <c r="AJ18" s="635"/>
      <c r="AK18" s="635"/>
      <c r="AL18" s="636"/>
    </row>
    <row r="19" spans="1:38" ht="12.75" customHeight="1" x14ac:dyDescent="0.25">
      <c r="A19" t="s">
        <v>79</v>
      </c>
      <c r="M19" s="625"/>
      <c r="N19" s="626"/>
      <c r="O19" s="626"/>
      <c r="P19" s="626"/>
      <c r="Q19" s="626"/>
      <c r="R19" s="627"/>
      <c r="T19" t="s">
        <v>80</v>
      </c>
      <c r="AG19" s="625"/>
      <c r="AH19" s="626"/>
      <c r="AI19" s="626"/>
      <c r="AJ19" s="626"/>
      <c r="AK19" s="626"/>
      <c r="AL19" s="627"/>
    </row>
    <row r="20" spans="1:38" ht="12.75" customHeight="1" x14ac:dyDescent="0.25">
      <c r="A20" t="s">
        <v>81</v>
      </c>
      <c r="M20" s="625"/>
      <c r="N20" s="626"/>
      <c r="O20" s="626"/>
      <c r="P20" s="626"/>
      <c r="Q20" s="626"/>
      <c r="R20" s="627"/>
      <c r="T20" t="s">
        <v>82</v>
      </c>
      <c r="AG20" s="634"/>
      <c r="AH20" s="635"/>
      <c r="AI20" s="635"/>
      <c r="AJ20" s="635"/>
      <c r="AK20" s="635"/>
      <c r="AL20" s="636"/>
    </row>
    <row r="21" spans="1:38" ht="12.75" customHeight="1" x14ac:dyDescent="0.25">
      <c r="A21" t="s">
        <v>83</v>
      </c>
      <c r="M21" s="625"/>
      <c r="N21" s="626"/>
      <c r="O21" s="626"/>
      <c r="P21" s="626"/>
      <c r="Q21" s="626"/>
      <c r="R21" s="627"/>
      <c r="T21" t="s">
        <v>84</v>
      </c>
      <c r="AG21" s="625"/>
      <c r="AH21" s="626"/>
      <c r="AI21" s="626"/>
      <c r="AJ21" s="626"/>
      <c r="AK21" s="626"/>
      <c r="AL21" s="627"/>
    </row>
    <row r="22" spans="1:38" ht="12.75" customHeight="1" x14ac:dyDescent="0.25">
      <c r="A22" t="s">
        <v>85</v>
      </c>
      <c r="M22" s="625"/>
      <c r="N22" s="626"/>
      <c r="O22" s="626"/>
      <c r="P22" s="626"/>
      <c r="Q22" s="626"/>
      <c r="R22" s="627"/>
      <c r="T22" t="s">
        <v>86</v>
      </c>
      <c r="AG22" s="625"/>
      <c r="AH22" s="626"/>
      <c r="AI22" s="626"/>
      <c r="AJ22" s="626"/>
      <c r="AK22" s="626"/>
      <c r="AL22" s="627"/>
    </row>
    <row r="23" spans="1:38" ht="12.75" customHeight="1" x14ac:dyDescent="0.25">
      <c r="A23" t="s">
        <v>87</v>
      </c>
      <c r="M23" s="625"/>
      <c r="N23" s="626"/>
      <c r="O23" s="626"/>
      <c r="P23" s="626"/>
      <c r="Q23" s="626"/>
      <c r="R23" s="627"/>
      <c r="T23" t="s">
        <v>88</v>
      </c>
      <c r="AG23" s="625"/>
      <c r="AH23" s="626"/>
      <c r="AI23" s="626"/>
      <c r="AJ23" s="626"/>
      <c r="AK23" s="626"/>
      <c r="AL23" s="627"/>
    </row>
    <row r="24" spans="1:38" ht="12.75" customHeight="1" x14ac:dyDescent="0.25">
      <c r="A24" t="s">
        <v>89</v>
      </c>
      <c r="M24" s="628"/>
      <c r="N24" s="629"/>
      <c r="O24" s="629"/>
      <c r="P24" s="629"/>
      <c r="Q24" s="629"/>
      <c r="R24" s="630"/>
      <c r="T24" t="s">
        <v>90</v>
      </c>
      <c r="AG24" s="625"/>
      <c r="AH24" s="626"/>
      <c r="AI24" s="626"/>
      <c r="AJ24" s="626"/>
      <c r="AK24" s="626"/>
      <c r="AL24" s="627"/>
    </row>
    <row r="25" spans="1:38" ht="12.75" customHeight="1" x14ac:dyDescent="0.25">
      <c r="A25" t="s">
        <v>91</v>
      </c>
      <c r="M25" s="628"/>
      <c r="N25" s="629"/>
      <c r="O25" s="629"/>
      <c r="P25" s="629"/>
      <c r="Q25" s="629"/>
      <c r="R25" s="630"/>
      <c r="T25" t="s">
        <v>92</v>
      </c>
      <c r="AG25" s="625"/>
      <c r="AH25" s="626"/>
      <c r="AI25" s="626"/>
      <c r="AJ25" s="626"/>
      <c r="AK25" s="626"/>
      <c r="AL25" s="627"/>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5"/>
    </row>
    <row r="28" spans="1:38" ht="12.75" customHeight="1" x14ac:dyDescent="0.25">
      <c r="A28" s="631" t="s">
        <v>350</v>
      </c>
      <c r="B28" s="632"/>
      <c r="C28" s="632"/>
      <c r="D28" s="632"/>
      <c r="E28" s="632"/>
      <c r="F28" s="632"/>
      <c r="G28" s="632"/>
      <c r="H28" s="632"/>
      <c r="I28" s="632"/>
      <c r="J28" s="632"/>
      <c r="K28" s="632"/>
      <c r="L28" s="632"/>
      <c r="M28" s="632"/>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3"/>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6" t="s">
        <v>265</v>
      </c>
      <c r="C30" s="5" t="s">
        <v>351</v>
      </c>
      <c r="D30" s="5"/>
      <c r="E30" s="5"/>
      <c r="F30" s="5"/>
      <c r="G30" s="193"/>
      <c r="H30" s="5" t="s">
        <v>352</v>
      </c>
      <c r="I30" s="17"/>
      <c r="J30" s="187"/>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8"/>
      <c r="B31" s="188"/>
      <c r="C31" s="188"/>
      <c r="D31" s="188"/>
      <c r="E31" s="188"/>
      <c r="F31" s="188"/>
      <c r="G31" s="188"/>
      <c r="H31" s="188"/>
      <c r="I31" s="188"/>
      <c r="J31" s="188"/>
      <c r="K31" s="188"/>
      <c r="L31" s="188"/>
      <c r="M31" s="188"/>
      <c r="N31" s="188"/>
      <c r="O31" s="188"/>
      <c r="P31" s="188"/>
      <c r="Q31" s="188"/>
      <c r="R31" s="188"/>
      <c r="S31" s="188"/>
      <c r="T31" s="188"/>
      <c r="U31" s="188"/>
      <c r="V31" s="188"/>
      <c r="W31" s="188"/>
      <c r="X31" s="188"/>
      <c r="Y31" s="188"/>
      <c r="Z31" s="188"/>
      <c r="AA31" s="188"/>
      <c r="AB31" s="188"/>
      <c r="AC31" s="188"/>
      <c r="AD31" s="188"/>
      <c r="AE31" s="188"/>
      <c r="AF31" s="188"/>
      <c r="AG31" s="188"/>
      <c r="AH31" s="188"/>
      <c r="AI31" s="188"/>
      <c r="AJ31" s="188"/>
      <c r="AK31" s="188"/>
      <c r="AL31" s="188"/>
    </row>
    <row r="32" spans="1:38" ht="12.75" customHeight="1" x14ac:dyDescent="0.25">
      <c r="A32" s="188"/>
      <c r="B32" s="188"/>
      <c r="C32" s="188"/>
      <c r="D32" s="188"/>
      <c r="E32" s="188"/>
      <c r="F32" s="623" t="s">
        <v>137</v>
      </c>
      <c r="G32" s="623"/>
      <c r="H32" s="623"/>
      <c r="I32" s="623"/>
      <c r="J32" s="623"/>
      <c r="K32" s="623"/>
      <c r="L32" s="624"/>
      <c r="M32" s="624"/>
      <c r="N32" s="624"/>
      <c r="O32" s="624"/>
      <c r="P32" s="624"/>
      <c r="Q32" s="624"/>
      <c r="R32" s="624"/>
      <c r="S32" s="624"/>
      <c r="T32" s="188"/>
      <c r="U32" s="188"/>
      <c r="V32" s="188"/>
      <c r="W32" s="188"/>
      <c r="X32" s="188"/>
      <c r="Y32" s="188"/>
      <c r="Z32" s="188"/>
      <c r="AA32" s="188"/>
      <c r="AB32" s="188"/>
      <c r="AC32" s="188"/>
      <c r="AD32" s="188"/>
      <c r="AE32" s="188"/>
      <c r="AF32" s="188"/>
      <c r="AG32" s="188"/>
      <c r="AH32" s="188"/>
      <c r="AI32" s="188"/>
      <c r="AJ32" s="188"/>
      <c r="AK32" s="188"/>
      <c r="AL32" s="188"/>
    </row>
    <row r="33" spans="1:92" ht="12.75" customHeight="1" x14ac:dyDescent="0.25">
      <c r="L33" s="602"/>
      <c r="M33" s="602"/>
      <c r="N33" s="602"/>
      <c r="O33" s="602"/>
      <c r="P33" s="602"/>
    </row>
    <row r="34" spans="1:92" ht="12.75" customHeight="1" x14ac:dyDescent="0.25">
      <c r="F34" t="s">
        <v>55</v>
      </c>
      <c r="W34" s="191" t="s">
        <v>265</v>
      </c>
      <c r="X34" t="s">
        <v>56</v>
      </c>
      <c r="AC34" s="191"/>
      <c r="AD34" t="s">
        <v>57</v>
      </c>
      <c r="BC34" s="187" t="s">
        <v>353</v>
      </c>
    </row>
    <row r="35" spans="1:92" ht="12.75" customHeight="1" x14ac:dyDescent="0.25">
      <c r="F35" t="s">
        <v>58</v>
      </c>
      <c r="W35" s="191" t="s">
        <v>265</v>
      </c>
      <c r="X35" t="s">
        <v>56</v>
      </c>
      <c r="AC35" s="191"/>
      <c r="AD35" t="s">
        <v>57</v>
      </c>
    </row>
    <row r="36" spans="1:92" ht="12.75" customHeight="1" x14ac:dyDescent="0.25">
      <c r="F36" t="s">
        <v>59</v>
      </c>
      <c r="W36" s="191" t="s">
        <v>265</v>
      </c>
      <c r="X36" t="s">
        <v>56</v>
      </c>
      <c r="AC36" s="191"/>
      <c r="AD36" t="s">
        <v>57</v>
      </c>
    </row>
    <row r="37" spans="1:92" ht="12.75" customHeight="1" x14ac:dyDescent="0.25">
      <c r="F37" t="s">
        <v>60</v>
      </c>
      <c r="W37" s="191"/>
      <c r="X37" t="s">
        <v>61</v>
      </c>
      <c r="AC37" s="191" t="s">
        <v>265</v>
      </c>
      <c r="AD37" t="s">
        <v>62</v>
      </c>
      <c r="BC37" s="611" t="s">
        <v>354</v>
      </c>
      <c r="BD37" s="612"/>
      <c r="BE37" s="612"/>
      <c r="BF37" s="612"/>
      <c r="BG37" s="612"/>
      <c r="BH37" s="612"/>
      <c r="BI37" s="612"/>
      <c r="BJ37" s="612"/>
      <c r="BK37" s="612"/>
      <c r="BL37" s="612"/>
      <c r="BM37" s="612"/>
      <c r="BN37" s="612"/>
      <c r="BO37" s="612"/>
      <c r="BP37" s="612"/>
      <c r="BQ37" s="612"/>
      <c r="BR37" s="612"/>
      <c r="BS37" s="612"/>
      <c r="BT37" s="612"/>
      <c r="BU37" s="612"/>
      <c r="BV37" s="612"/>
      <c r="BW37" s="612"/>
      <c r="BX37" s="612"/>
      <c r="BY37" s="612"/>
      <c r="BZ37" s="612"/>
      <c r="CA37" s="612"/>
      <c r="CB37" s="612"/>
      <c r="CC37" s="612"/>
      <c r="CD37" s="612"/>
      <c r="CE37" s="612"/>
      <c r="CF37" s="612"/>
      <c r="CG37" s="612"/>
      <c r="CH37" s="612"/>
      <c r="CI37" s="612"/>
      <c r="CJ37" s="612"/>
      <c r="CK37" s="612"/>
      <c r="CL37" s="612"/>
      <c r="CM37" s="612"/>
      <c r="CN37" s="613"/>
    </row>
    <row r="38" spans="1:92" ht="12.75" customHeight="1" x14ac:dyDescent="0.25">
      <c r="F38" t="s">
        <v>63</v>
      </c>
      <c r="W38" s="191" t="s">
        <v>265</v>
      </c>
      <c r="X38" t="s">
        <v>56</v>
      </c>
      <c r="AC38" s="191"/>
      <c r="AD38" t="s">
        <v>57</v>
      </c>
      <c r="BC38" s="614"/>
      <c r="BD38" s="612"/>
      <c r="BE38" s="612"/>
      <c r="BF38" s="612"/>
      <c r="BG38" s="612"/>
      <c r="BH38" s="612"/>
      <c r="BI38" s="612"/>
      <c r="BJ38" s="612"/>
      <c r="BK38" s="612"/>
      <c r="BL38" s="612"/>
      <c r="BM38" s="612"/>
      <c r="BN38" s="612"/>
      <c r="BO38" s="612"/>
      <c r="BP38" s="612"/>
      <c r="BQ38" s="612"/>
      <c r="BR38" s="612"/>
      <c r="BS38" s="612"/>
      <c r="BT38" s="612"/>
      <c r="BU38" s="612"/>
      <c r="BV38" s="612"/>
      <c r="BW38" s="612"/>
      <c r="BX38" s="612"/>
      <c r="BY38" s="612"/>
      <c r="BZ38" s="612"/>
      <c r="CA38" s="612"/>
      <c r="CB38" s="612"/>
      <c r="CC38" s="612"/>
      <c r="CD38" s="612"/>
      <c r="CE38" s="612"/>
      <c r="CF38" s="612"/>
      <c r="CG38" s="612"/>
      <c r="CH38" s="612"/>
      <c r="CI38" s="612"/>
      <c r="CJ38" s="612"/>
      <c r="CK38" s="612"/>
      <c r="CL38" s="612"/>
      <c r="CM38" s="612"/>
      <c r="CN38" s="613"/>
    </row>
    <row r="39" spans="1:92" ht="12.75" customHeight="1" x14ac:dyDescent="0.25">
      <c r="F39" t="s">
        <v>67</v>
      </c>
      <c r="W39" s="192" t="s">
        <v>265</v>
      </c>
      <c r="X39" t="s">
        <v>68</v>
      </c>
      <c r="AC39" s="191"/>
      <c r="AD39" t="s">
        <v>69</v>
      </c>
      <c r="BC39" s="614"/>
      <c r="BD39" s="612"/>
      <c r="BE39" s="612"/>
      <c r="BF39" s="612"/>
      <c r="BG39" s="612"/>
      <c r="BH39" s="612"/>
      <c r="BI39" s="612"/>
      <c r="BJ39" s="612"/>
      <c r="BK39" s="612"/>
      <c r="BL39" s="612"/>
      <c r="BM39" s="612"/>
      <c r="BN39" s="612"/>
      <c r="BO39" s="612"/>
      <c r="BP39" s="612"/>
      <c r="BQ39" s="612"/>
      <c r="BR39" s="612"/>
      <c r="BS39" s="612"/>
      <c r="BT39" s="612"/>
      <c r="BU39" s="612"/>
      <c r="BV39" s="612"/>
      <c r="BW39" s="612"/>
      <c r="BX39" s="612"/>
      <c r="BY39" s="612"/>
      <c r="BZ39" s="612"/>
      <c r="CA39" s="612"/>
      <c r="CB39" s="612"/>
      <c r="CC39" s="612"/>
      <c r="CD39" s="612"/>
      <c r="CE39" s="612"/>
      <c r="CF39" s="612"/>
      <c r="CG39" s="612"/>
      <c r="CH39" s="612"/>
      <c r="CI39" s="612"/>
      <c r="CJ39" s="612"/>
      <c r="CK39" s="612"/>
      <c r="CL39" s="612"/>
      <c r="CM39" s="612"/>
      <c r="CN39" s="613"/>
    </row>
    <row r="40" spans="1:92" ht="12.75" customHeight="1" x14ac:dyDescent="0.25">
      <c r="BC40" s="614"/>
      <c r="BD40" s="612"/>
      <c r="BE40" s="612"/>
      <c r="BF40" s="612"/>
      <c r="BG40" s="612"/>
      <c r="BH40" s="612"/>
      <c r="BI40" s="612"/>
      <c r="BJ40" s="612"/>
      <c r="BK40" s="612"/>
      <c r="BL40" s="612"/>
      <c r="BM40" s="612"/>
      <c r="BN40" s="612"/>
      <c r="BO40" s="612"/>
      <c r="BP40" s="612"/>
      <c r="BQ40" s="612"/>
      <c r="BR40" s="612"/>
      <c r="BS40" s="612"/>
      <c r="BT40" s="612"/>
      <c r="BU40" s="612"/>
      <c r="BV40" s="612"/>
      <c r="BW40" s="612"/>
      <c r="BX40" s="612"/>
      <c r="BY40" s="612"/>
      <c r="BZ40" s="612"/>
      <c r="CA40" s="612"/>
      <c r="CB40" s="612"/>
      <c r="CC40" s="612"/>
      <c r="CD40" s="612"/>
      <c r="CE40" s="612"/>
      <c r="CF40" s="612"/>
      <c r="CG40" s="612"/>
      <c r="CH40" s="612"/>
      <c r="CI40" s="612"/>
      <c r="CJ40" s="612"/>
      <c r="CK40" s="612"/>
      <c r="CL40" s="612"/>
      <c r="CM40" s="612"/>
      <c r="CN40" s="613"/>
    </row>
    <row r="41" spans="1:92" ht="12.75" customHeight="1" x14ac:dyDescent="0.25">
      <c r="A41" s="43" t="s">
        <v>355</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5"/>
      <c r="BC41" s="614"/>
      <c r="BD41" s="612"/>
      <c r="BE41" s="612"/>
      <c r="BF41" s="612"/>
      <c r="BG41" s="612"/>
      <c r="BH41" s="612"/>
      <c r="BI41" s="612"/>
      <c r="BJ41" s="612"/>
      <c r="BK41" s="612"/>
      <c r="BL41" s="612"/>
      <c r="BM41" s="612"/>
      <c r="BN41" s="612"/>
      <c r="BO41" s="612"/>
      <c r="BP41" s="612"/>
      <c r="BQ41" s="612"/>
      <c r="BR41" s="612"/>
      <c r="BS41" s="612"/>
      <c r="BT41" s="612"/>
      <c r="BU41" s="612"/>
      <c r="BV41" s="612"/>
      <c r="BW41" s="612"/>
      <c r="BX41" s="612"/>
      <c r="BY41" s="612"/>
      <c r="BZ41" s="612"/>
      <c r="CA41" s="612"/>
      <c r="CB41" s="612"/>
      <c r="CC41" s="612"/>
      <c r="CD41" s="612"/>
      <c r="CE41" s="612"/>
      <c r="CF41" s="612"/>
      <c r="CG41" s="612"/>
      <c r="CH41" s="612"/>
      <c r="CI41" s="612"/>
      <c r="CJ41" s="612"/>
      <c r="CK41" s="612"/>
      <c r="CL41" s="612"/>
      <c r="CM41" s="612"/>
      <c r="CN41" s="613"/>
    </row>
    <row r="42" spans="1:92" ht="12.75" customHeight="1" x14ac:dyDescent="0.25">
      <c r="A42" s="611"/>
      <c r="B42" s="612"/>
      <c r="C42" s="612"/>
      <c r="D42" s="612"/>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3"/>
      <c r="BC42" s="614"/>
      <c r="BD42" s="612"/>
      <c r="BE42" s="612"/>
      <c r="BF42" s="612"/>
      <c r="BG42" s="612"/>
      <c r="BH42" s="612"/>
      <c r="BI42" s="612"/>
      <c r="BJ42" s="612"/>
      <c r="BK42" s="612"/>
      <c r="BL42" s="612"/>
      <c r="BM42" s="612"/>
      <c r="BN42" s="612"/>
      <c r="BO42" s="612"/>
      <c r="BP42" s="612"/>
      <c r="BQ42" s="612"/>
      <c r="BR42" s="612"/>
      <c r="BS42" s="612"/>
      <c r="BT42" s="612"/>
      <c r="BU42" s="612"/>
      <c r="BV42" s="612"/>
      <c r="BW42" s="612"/>
      <c r="BX42" s="612"/>
      <c r="BY42" s="612"/>
      <c r="BZ42" s="612"/>
      <c r="CA42" s="612"/>
      <c r="CB42" s="612"/>
      <c r="CC42" s="612"/>
      <c r="CD42" s="612"/>
      <c r="CE42" s="612"/>
      <c r="CF42" s="612"/>
      <c r="CG42" s="612"/>
      <c r="CH42" s="612"/>
      <c r="CI42" s="612"/>
      <c r="CJ42" s="612"/>
      <c r="CK42" s="612"/>
      <c r="CL42" s="612"/>
      <c r="CM42" s="612"/>
      <c r="CN42" s="613"/>
    </row>
    <row r="43" spans="1:92" ht="12.75" customHeight="1" x14ac:dyDescent="0.25">
      <c r="A43" s="614"/>
      <c r="B43" s="612"/>
      <c r="C43" s="612"/>
      <c r="D43" s="612"/>
      <c r="E43" s="612"/>
      <c r="F43" s="612"/>
      <c r="G43" s="612"/>
      <c r="H43" s="612"/>
      <c r="I43" s="612"/>
      <c r="J43" s="612"/>
      <c r="K43" s="612"/>
      <c r="L43" s="612"/>
      <c r="M43" s="612"/>
      <c r="N43" s="612"/>
      <c r="O43" s="612"/>
      <c r="P43" s="612"/>
      <c r="Q43" s="612"/>
      <c r="R43" s="612"/>
      <c r="S43" s="612"/>
      <c r="T43" s="612"/>
      <c r="U43" s="612"/>
      <c r="V43" s="612"/>
      <c r="W43" s="612"/>
      <c r="X43" s="612"/>
      <c r="Y43" s="612"/>
      <c r="Z43" s="612"/>
      <c r="AA43" s="612"/>
      <c r="AB43" s="612"/>
      <c r="AC43" s="612"/>
      <c r="AD43" s="612"/>
      <c r="AE43" s="612"/>
      <c r="AF43" s="612"/>
      <c r="AG43" s="612"/>
      <c r="AH43" s="612"/>
      <c r="AI43" s="612"/>
      <c r="AJ43" s="612"/>
      <c r="AK43" s="612"/>
      <c r="AL43" s="613"/>
      <c r="BC43" s="614"/>
      <c r="BD43" s="612"/>
      <c r="BE43" s="612"/>
      <c r="BF43" s="612"/>
      <c r="BG43" s="612"/>
      <c r="BH43" s="612"/>
      <c r="BI43" s="612"/>
      <c r="BJ43" s="612"/>
      <c r="BK43" s="612"/>
      <c r="BL43" s="612"/>
      <c r="BM43" s="612"/>
      <c r="BN43" s="612"/>
      <c r="BO43" s="612"/>
      <c r="BP43" s="612"/>
      <c r="BQ43" s="612"/>
      <c r="BR43" s="612"/>
      <c r="BS43" s="612"/>
      <c r="BT43" s="612"/>
      <c r="BU43" s="612"/>
      <c r="BV43" s="612"/>
      <c r="BW43" s="612"/>
      <c r="BX43" s="612"/>
      <c r="BY43" s="612"/>
      <c r="BZ43" s="612"/>
      <c r="CA43" s="612"/>
      <c r="CB43" s="612"/>
      <c r="CC43" s="612"/>
      <c r="CD43" s="612"/>
      <c r="CE43" s="612"/>
      <c r="CF43" s="612"/>
      <c r="CG43" s="612"/>
      <c r="CH43" s="612"/>
      <c r="CI43" s="612"/>
      <c r="CJ43" s="612"/>
      <c r="CK43" s="612"/>
      <c r="CL43" s="612"/>
      <c r="CM43" s="612"/>
      <c r="CN43" s="613"/>
    </row>
    <row r="44" spans="1:92" ht="12.75" customHeight="1" x14ac:dyDescent="0.25">
      <c r="A44" s="614"/>
      <c r="B44" s="612"/>
      <c r="C44" s="612"/>
      <c r="D44" s="612"/>
      <c r="E44" s="612"/>
      <c r="F44" s="612"/>
      <c r="G44" s="612"/>
      <c r="H44" s="612"/>
      <c r="I44" s="612"/>
      <c r="J44" s="612"/>
      <c r="K44" s="612"/>
      <c r="L44" s="612"/>
      <c r="M44" s="612"/>
      <c r="N44" s="612"/>
      <c r="O44" s="612"/>
      <c r="P44" s="612"/>
      <c r="Q44" s="612"/>
      <c r="R44" s="612"/>
      <c r="S44" s="612"/>
      <c r="T44" s="612"/>
      <c r="U44" s="612"/>
      <c r="V44" s="612"/>
      <c r="W44" s="612"/>
      <c r="X44" s="612"/>
      <c r="Y44" s="612"/>
      <c r="Z44" s="612"/>
      <c r="AA44" s="612"/>
      <c r="AB44" s="612"/>
      <c r="AC44" s="612"/>
      <c r="AD44" s="612"/>
      <c r="AE44" s="612"/>
      <c r="AF44" s="612"/>
      <c r="AG44" s="612"/>
      <c r="AH44" s="612"/>
      <c r="AI44" s="612"/>
      <c r="AJ44" s="612"/>
      <c r="AK44" s="612"/>
      <c r="AL44" s="613"/>
      <c r="BC44" s="615"/>
      <c r="BD44" s="616"/>
      <c r="BE44" s="616"/>
      <c r="BF44" s="616"/>
      <c r="BG44" s="616"/>
      <c r="BH44" s="616"/>
      <c r="BI44" s="616"/>
      <c r="BJ44" s="616"/>
      <c r="BK44" s="616"/>
      <c r="BL44" s="616"/>
      <c r="BM44" s="616"/>
      <c r="BN44" s="616"/>
      <c r="BO44" s="616"/>
      <c r="BP44" s="616"/>
      <c r="BQ44" s="616"/>
      <c r="BR44" s="616"/>
      <c r="BS44" s="616"/>
      <c r="BT44" s="616"/>
      <c r="BU44" s="616"/>
      <c r="BV44" s="616"/>
      <c r="BW44" s="616"/>
      <c r="BX44" s="616"/>
      <c r="BY44" s="616"/>
      <c r="BZ44" s="616"/>
      <c r="CA44" s="616"/>
      <c r="CB44" s="616"/>
      <c r="CC44" s="616"/>
      <c r="CD44" s="616"/>
      <c r="CE44" s="616"/>
      <c r="CF44" s="616"/>
      <c r="CG44" s="616"/>
      <c r="CH44" s="616"/>
      <c r="CI44" s="616"/>
      <c r="CJ44" s="616"/>
      <c r="CK44" s="616"/>
      <c r="CL44" s="616"/>
      <c r="CM44" s="616"/>
      <c r="CN44" s="617"/>
    </row>
    <row r="45" spans="1:92" ht="12.75" customHeight="1" x14ac:dyDescent="0.25">
      <c r="A45" s="614"/>
      <c r="B45" s="612"/>
      <c r="C45" s="612"/>
      <c r="D45" s="612"/>
      <c r="E45" s="612"/>
      <c r="F45" s="612"/>
      <c r="G45" s="612"/>
      <c r="H45" s="612"/>
      <c r="I45" s="612"/>
      <c r="J45" s="612"/>
      <c r="K45" s="612"/>
      <c r="L45" s="612"/>
      <c r="M45" s="612"/>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3"/>
    </row>
    <row r="46" spans="1:92" ht="12.75" customHeight="1" x14ac:dyDescent="0.25">
      <c r="A46" s="614"/>
      <c r="B46" s="612"/>
      <c r="C46" s="612"/>
      <c r="D46" s="612"/>
      <c r="E46" s="612"/>
      <c r="F46" s="612"/>
      <c r="G46" s="612"/>
      <c r="H46" s="612"/>
      <c r="I46" s="612"/>
      <c r="J46" s="612"/>
      <c r="K46" s="612"/>
      <c r="L46" s="612"/>
      <c r="M46" s="612"/>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3"/>
    </row>
    <row r="47" spans="1:92" ht="12.75" customHeight="1" x14ac:dyDescent="0.25">
      <c r="A47" s="614"/>
      <c r="B47" s="612"/>
      <c r="C47" s="612"/>
      <c r="D47" s="612"/>
      <c r="E47" s="612"/>
      <c r="F47" s="612"/>
      <c r="G47" s="612"/>
      <c r="H47" s="612"/>
      <c r="I47" s="612"/>
      <c r="J47" s="612"/>
      <c r="K47" s="612"/>
      <c r="L47" s="612"/>
      <c r="M47" s="612"/>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3"/>
    </row>
    <row r="48" spans="1:92" ht="12.75" customHeight="1" x14ac:dyDescent="0.25">
      <c r="A48" s="614"/>
      <c r="B48" s="612"/>
      <c r="C48" s="612"/>
      <c r="D48" s="612"/>
      <c r="E48" s="612"/>
      <c r="F48" s="612"/>
      <c r="G48" s="612"/>
      <c r="H48" s="612"/>
      <c r="I48" s="612"/>
      <c r="J48" s="612"/>
      <c r="K48" s="612"/>
      <c r="L48" s="612"/>
      <c r="M48" s="612"/>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3"/>
    </row>
    <row r="49" spans="1:40" ht="12.75" customHeight="1" x14ac:dyDescent="0.25">
      <c r="A49" s="615"/>
      <c r="B49" s="616"/>
      <c r="C49" s="616"/>
      <c r="D49" s="616"/>
      <c r="E49" s="616"/>
      <c r="F49" s="616"/>
      <c r="G49" s="616"/>
      <c r="H49" s="616"/>
      <c r="I49" s="616"/>
      <c r="J49" s="616"/>
      <c r="K49" s="616"/>
      <c r="L49" s="616"/>
      <c r="M49" s="616"/>
      <c r="N49" s="616"/>
      <c r="O49" s="616"/>
      <c r="P49" s="616"/>
      <c r="Q49" s="616"/>
      <c r="R49" s="616"/>
      <c r="S49" s="616"/>
      <c r="T49" s="616"/>
      <c r="U49" s="616"/>
      <c r="V49" s="616"/>
      <c r="W49" s="616"/>
      <c r="X49" s="616"/>
      <c r="Y49" s="616"/>
      <c r="Z49" s="616"/>
      <c r="AA49" s="616"/>
      <c r="AB49" s="616"/>
      <c r="AC49" s="616"/>
      <c r="AD49" s="616"/>
      <c r="AE49" s="616"/>
      <c r="AF49" s="616"/>
      <c r="AG49" s="616"/>
      <c r="AH49" s="616"/>
      <c r="AI49" s="616"/>
      <c r="AJ49" s="616"/>
      <c r="AK49" s="616"/>
      <c r="AL49" s="617"/>
    </row>
    <row r="50" spans="1:40" ht="12.75" customHeight="1" x14ac:dyDescent="0.25"/>
    <row r="51" spans="1:40" ht="12.75" customHeight="1" x14ac:dyDescent="0.25">
      <c r="A51" s="540" t="s">
        <v>7</v>
      </c>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c r="AC51" s="540"/>
      <c r="AD51" s="540"/>
      <c r="AE51" s="540"/>
      <c r="AF51" s="540"/>
      <c r="AG51" s="540"/>
      <c r="AH51" s="540"/>
      <c r="AI51" s="540"/>
      <c r="AJ51" s="540"/>
      <c r="AK51" s="540"/>
      <c r="AL51" s="540"/>
      <c r="AM51" s="540"/>
      <c r="AN51" s="541"/>
    </row>
    <row r="52" spans="1:40" ht="12.75" customHeight="1" x14ac:dyDescent="0.25">
      <c r="A52" s="618" t="s">
        <v>356</v>
      </c>
      <c r="B52" s="618"/>
      <c r="C52" s="618"/>
      <c r="D52" s="618"/>
      <c r="E52" s="618"/>
      <c r="F52" s="618"/>
      <c r="G52" s="618"/>
      <c r="H52" s="618"/>
      <c r="I52" s="618"/>
      <c r="J52" s="618"/>
      <c r="K52" s="618"/>
      <c r="L52" s="618"/>
      <c r="M52" s="618"/>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9"/>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9" t="s">
        <v>357</v>
      </c>
      <c r="B54" s="189"/>
      <c r="C54" s="189"/>
      <c r="D54" s="189"/>
      <c r="E54" s="189"/>
      <c r="F54" s="189"/>
      <c r="G54" s="189"/>
      <c r="H54" s="189"/>
      <c r="I54" s="189"/>
      <c r="J54" s="189"/>
      <c r="K54" s="189"/>
      <c r="L54" s="190"/>
      <c r="M54" s="190"/>
      <c r="N54" s="17"/>
      <c r="O54" s="17"/>
      <c r="P54" s="620" t="s">
        <v>358</v>
      </c>
      <c r="Q54" s="620"/>
      <c r="R54" s="620"/>
      <c r="S54" s="620"/>
      <c r="T54" s="620"/>
      <c r="U54" s="620"/>
      <c r="V54" s="620"/>
      <c r="W54" s="620"/>
      <c r="X54" s="620"/>
      <c r="Y54" s="16"/>
      <c r="Z54" s="16"/>
      <c r="AA54" s="16"/>
      <c r="AB54" s="16"/>
      <c r="AC54" s="621" t="s">
        <v>359</v>
      </c>
      <c r="AD54" s="622"/>
      <c r="AE54" s="622"/>
      <c r="AF54" s="622"/>
      <c r="AG54" s="622"/>
      <c r="AH54" s="622"/>
      <c r="AI54" s="622"/>
      <c r="AJ54" s="622"/>
      <c r="AK54" s="622"/>
      <c r="AL54" s="622"/>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J6:AL6"/>
    <mergeCell ref="S1:W1"/>
    <mergeCell ref="X1:AL1"/>
    <mergeCell ref="S3:W3"/>
    <mergeCell ref="X3:AD3"/>
    <mergeCell ref="AI3:AL3"/>
    <mergeCell ref="H12:R12"/>
    <mergeCell ref="AB12:AL12"/>
    <mergeCell ref="C8:H8"/>
    <mergeCell ref="I8:L8"/>
    <mergeCell ref="M8:R8"/>
    <mergeCell ref="S8:V8"/>
    <mergeCell ref="W8:X8"/>
    <mergeCell ref="Y8:Z8"/>
    <mergeCell ref="AA8:AL8"/>
    <mergeCell ref="H10:R10"/>
    <mergeCell ref="AB10:AL10"/>
    <mergeCell ref="H11:R11"/>
    <mergeCell ref="AB11:AL11"/>
    <mergeCell ref="H13:R13"/>
    <mergeCell ref="AB13:AL13"/>
    <mergeCell ref="H14:R14"/>
    <mergeCell ref="AB14:AL14"/>
    <mergeCell ref="H16:R16"/>
    <mergeCell ref="AB16:AL16"/>
    <mergeCell ref="M18:R18"/>
    <mergeCell ref="AG18:AL18"/>
    <mergeCell ref="M19:R19"/>
    <mergeCell ref="AG19:AL19"/>
    <mergeCell ref="M20:R20"/>
    <mergeCell ref="AG20:AL20"/>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BC37:CN44"/>
    <mergeCell ref="A42:AL49"/>
    <mergeCell ref="A51:AN51"/>
    <mergeCell ref="A52:AN52"/>
    <mergeCell ref="P54:X54"/>
    <mergeCell ref="AC54:AL54"/>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zoomScaleNormal="100" workbookViewId="0">
      <selection activeCell="A11" sqref="A8:AW11"/>
    </sheetView>
  </sheetViews>
  <sheetFormatPr defaultColWidth="11.5546875" defaultRowHeight="13.2" x14ac:dyDescent="0.25"/>
  <cols>
    <col min="1" max="47" width="2.44140625" customWidth="1"/>
    <col min="48" max="48" width="8.88671875" customWidth="1"/>
    <col min="49" max="52" width="2.44140625" customWidth="1"/>
    <col min="53" max="53" width="7.6640625" bestFit="1" customWidth="1"/>
    <col min="54" max="54" width="7.88671875" bestFit="1" customWidth="1"/>
    <col min="55" max="55" width="7.6640625" bestFit="1" customWidth="1"/>
    <col min="56" max="56" width="7.21875" bestFit="1" customWidth="1"/>
    <col min="57" max="57" width="4.4414062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367"/>
      <c r="B1" s="367"/>
      <c r="C1" s="367"/>
      <c r="D1" s="367"/>
      <c r="E1" s="367"/>
      <c r="F1" s="367"/>
      <c r="G1" s="367"/>
      <c r="H1" s="367"/>
      <c r="I1" s="367"/>
      <c r="J1" s="367"/>
      <c r="K1" s="367"/>
      <c r="L1" s="367"/>
      <c r="M1" s="367"/>
      <c r="N1" s="367"/>
      <c r="O1" s="367"/>
      <c r="P1" s="367"/>
      <c r="Q1" s="346" t="s">
        <v>249</v>
      </c>
      <c r="R1" s="346"/>
      <c r="S1" s="346"/>
      <c r="T1" s="346"/>
      <c r="U1" s="346"/>
      <c r="V1" s="346"/>
      <c r="W1" s="346"/>
      <c r="X1" s="346"/>
      <c r="Y1" s="367"/>
      <c r="Z1" s="367"/>
      <c r="AA1" s="367"/>
      <c r="AB1" s="487">
        <f>General!X1</f>
        <v>0</v>
      </c>
      <c r="AC1" s="488"/>
      <c r="AD1" s="488"/>
      <c r="AE1" s="488"/>
      <c r="AF1" s="488"/>
      <c r="AG1" s="488"/>
      <c r="AH1" s="488"/>
      <c r="AI1" s="488"/>
      <c r="AJ1" s="488"/>
      <c r="AK1" s="488"/>
      <c r="AL1" s="488"/>
      <c r="AM1" s="489"/>
      <c r="AN1" s="489"/>
      <c r="AO1" s="489"/>
      <c r="AP1" s="490" t="s">
        <v>250</v>
      </c>
      <c r="AQ1" s="490"/>
      <c r="AR1" s="490"/>
      <c r="AS1" s="490"/>
      <c r="AT1" s="490"/>
      <c r="AU1" s="490"/>
      <c r="AV1" s="490"/>
      <c r="AW1" s="490"/>
      <c r="BA1" s="87"/>
      <c r="BB1" s="87"/>
      <c r="BC1" s="87"/>
      <c r="BD1" s="87"/>
      <c r="BE1" s="87"/>
      <c r="BF1" s="87"/>
      <c r="BG1" s="87"/>
      <c r="BH1" s="87"/>
      <c r="BI1" s="87"/>
      <c r="BJ1" s="87"/>
      <c r="BK1" s="87"/>
    </row>
    <row r="2" spans="1:122" x14ac:dyDescent="0.25">
      <c r="A2" s="367"/>
      <c r="B2" s="367"/>
      <c r="C2" s="367"/>
      <c r="D2" s="367"/>
      <c r="E2" s="367"/>
      <c r="F2" s="367"/>
      <c r="G2" s="367"/>
      <c r="H2" s="367"/>
      <c r="I2" s="367"/>
      <c r="J2" s="367"/>
      <c r="K2" s="367"/>
      <c r="L2" s="367"/>
      <c r="M2" s="367"/>
      <c r="N2" s="367"/>
      <c r="O2" s="367"/>
      <c r="P2" s="367"/>
      <c r="Q2" s="468" t="s">
        <v>251</v>
      </c>
      <c r="R2" s="468"/>
      <c r="S2" s="468"/>
      <c r="T2" s="491"/>
      <c r="U2" s="492"/>
      <c r="V2" s="492"/>
      <c r="W2" s="492"/>
      <c r="X2" s="492"/>
      <c r="Y2" s="468" t="s">
        <v>252</v>
      </c>
      <c r="Z2" s="468"/>
      <c r="AA2" s="468"/>
      <c r="AB2" s="493"/>
      <c r="AC2" s="493"/>
      <c r="AD2" s="493"/>
      <c r="AE2" s="493"/>
      <c r="AF2" s="493"/>
      <c r="AG2" s="493"/>
      <c r="AH2" s="493"/>
      <c r="AI2" s="493"/>
      <c r="AJ2" s="493"/>
      <c r="AK2" s="493"/>
      <c r="AL2" s="493"/>
      <c r="AM2" s="489"/>
      <c r="AN2" s="489"/>
      <c r="AO2" s="489"/>
      <c r="AP2" s="468" t="s">
        <v>251</v>
      </c>
      <c r="AQ2" s="468"/>
      <c r="AR2" s="468"/>
      <c r="AS2" s="494"/>
      <c r="AT2" s="495"/>
      <c r="AU2" s="495"/>
      <c r="AV2" s="495"/>
      <c r="AW2" s="495"/>
      <c r="BA2" s="89"/>
      <c r="BB2" s="90" t="s">
        <v>253</v>
      </c>
      <c r="BC2" s="90" t="s">
        <v>254</v>
      </c>
      <c r="BD2" s="91" t="s">
        <v>255</v>
      </c>
      <c r="BE2" s="92" t="s">
        <v>256</v>
      </c>
      <c r="BF2" s="87"/>
      <c r="BG2" s="87" t="s">
        <v>257</v>
      </c>
      <c r="BH2" s="89" t="s">
        <v>258</v>
      </c>
      <c r="BI2" s="90" t="s">
        <v>254</v>
      </c>
      <c r="BJ2" s="90" t="s">
        <v>259</v>
      </c>
      <c r="BK2" s="90" t="s">
        <v>260</v>
      </c>
    </row>
    <row r="3" spans="1:122" x14ac:dyDescent="0.25">
      <c r="A3" s="367"/>
      <c r="B3" s="367"/>
      <c r="C3" s="367"/>
      <c r="D3" s="367"/>
      <c r="E3" s="367"/>
      <c r="F3" s="367"/>
      <c r="G3" s="367"/>
      <c r="H3" s="367"/>
      <c r="I3" s="367"/>
      <c r="J3" s="367"/>
      <c r="K3" s="367"/>
      <c r="L3" s="367"/>
      <c r="M3" s="367"/>
      <c r="N3" s="367"/>
      <c r="O3" s="367"/>
      <c r="P3" s="367"/>
      <c r="Q3" s="468" t="s">
        <v>261</v>
      </c>
      <c r="R3" s="468"/>
      <c r="S3" s="468"/>
      <c r="T3" s="469"/>
      <c r="U3" s="470"/>
      <c r="V3" s="470"/>
      <c r="W3" s="470"/>
      <c r="X3" s="470"/>
      <c r="Y3" s="468" t="s">
        <v>261</v>
      </c>
      <c r="Z3" s="468"/>
      <c r="AA3" s="468"/>
      <c r="AB3" s="471"/>
      <c r="AC3" s="472"/>
      <c r="AD3" s="472"/>
      <c r="AE3" s="472"/>
      <c r="AF3" s="472"/>
      <c r="AG3" s="472"/>
      <c r="AH3" s="472"/>
      <c r="AI3" s="473" t="s">
        <v>262</v>
      </c>
      <c r="AJ3" s="473"/>
      <c r="AK3" s="473"/>
      <c r="AL3" s="473"/>
      <c r="AM3" s="473"/>
      <c r="AN3" s="262"/>
      <c r="AO3" s="210"/>
      <c r="AP3" s="468" t="s">
        <v>261</v>
      </c>
      <c r="AQ3" s="468"/>
      <c r="AR3" s="468"/>
      <c r="AS3" s="474"/>
      <c r="AT3" s="474"/>
      <c r="AU3" s="474"/>
      <c r="AV3" s="474"/>
      <c r="AW3" s="474"/>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367"/>
      <c r="B4" s="367"/>
      <c r="C4" s="367"/>
      <c r="D4" s="367"/>
      <c r="E4" s="367"/>
      <c r="F4" s="367"/>
      <c r="G4" s="367"/>
      <c r="H4" s="367"/>
      <c r="I4" s="367"/>
      <c r="J4" s="367"/>
      <c r="K4" s="367"/>
      <c r="L4" s="367"/>
      <c r="M4" s="367"/>
      <c r="N4" s="367"/>
      <c r="O4" s="367"/>
      <c r="P4" s="367"/>
      <c r="Q4" s="468" t="s">
        <v>263</v>
      </c>
      <c r="R4" s="468"/>
      <c r="S4" s="468"/>
      <c r="T4" s="469"/>
      <c r="U4" s="470"/>
      <c r="V4" s="470"/>
      <c r="W4" s="470"/>
      <c r="X4" s="470"/>
      <c r="Y4" s="468" t="s">
        <v>263</v>
      </c>
      <c r="Z4" s="468"/>
      <c r="AA4" s="468"/>
      <c r="AB4" s="485"/>
      <c r="AC4" s="485"/>
      <c r="AD4" s="485"/>
      <c r="AE4" s="485"/>
      <c r="AF4" s="485"/>
      <c r="AG4" s="485"/>
      <c r="AH4" s="485"/>
      <c r="AI4" s="473" t="s">
        <v>264</v>
      </c>
      <c r="AJ4" s="473"/>
      <c r="AK4" s="473"/>
      <c r="AL4" s="473"/>
      <c r="AM4" s="473"/>
      <c r="AN4" s="262" t="s">
        <v>265</v>
      </c>
      <c r="AO4" s="210"/>
      <c r="AP4" s="468" t="s">
        <v>263</v>
      </c>
      <c r="AQ4" s="468"/>
      <c r="AR4" s="468"/>
      <c r="AS4" s="474"/>
      <c r="AT4" s="481"/>
      <c r="AU4" s="481"/>
      <c r="AV4" s="481"/>
      <c r="AW4" s="481"/>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486"/>
      <c r="B5" s="486"/>
      <c r="C5" s="486"/>
      <c r="D5" s="486"/>
      <c r="E5" s="486"/>
      <c r="F5" s="486"/>
      <c r="G5" s="486"/>
      <c r="H5" s="486"/>
      <c r="I5" s="486"/>
      <c r="J5" s="486"/>
      <c r="K5" s="486"/>
      <c r="L5" s="486"/>
      <c r="M5" s="486"/>
      <c r="N5" s="486"/>
      <c r="O5" s="486"/>
      <c r="P5" s="486"/>
      <c r="Q5" s="367" t="s">
        <v>364</v>
      </c>
      <c r="R5" s="367"/>
      <c r="S5" s="367"/>
      <c r="T5" s="367"/>
      <c r="U5" s="367"/>
      <c r="V5" s="367"/>
      <c r="W5" s="367"/>
      <c r="X5" s="367"/>
      <c r="Y5" s="367"/>
      <c r="Z5" s="367"/>
      <c r="AA5" s="367"/>
      <c r="AB5" s="367"/>
      <c r="AC5" s="367"/>
      <c r="AD5" s="367"/>
      <c r="AE5" s="367"/>
      <c r="AF5" s="367"/>
      <c r="AG5" s="367"/>
      <c r="AH5" s="367"/>
      <c r="AI5" s="367"/>
      <c r="AJ5" s="367"/>
      <c r="AK5" s="367"/>
      <c r="AL5" s="367"/>
      <c r="AM5" s="367"/>
      <c r="AN5" s="367"/>
      <c r="AO5" s="367"/>
      <c r="AP5" s="367"/>
      <c r="AQ5" s="367"/>
      <c r="AR5" s="367"/>
      <c r="AS5" s="367"/>
      <c r="AT5" s="367"/>
      <c r="AU5" s="367"/>
      <c r="AV5" s="367"/>
      <c r="AW5" s="367"/>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482" t="s">
        <v>266</v>
      </c>
      <c r="B6" s="483"/>
      <c r="C6" s="483"/>
      <c r="D6" s="483"/>
      <c r="E6" s="483"/>
      <c r="F6" s="483"/>
      <c r="G6" s="483"/>
      <c r="H6" s="483"/>
      <c r="I6" s="483"/>
      <c r="J6" s="483"/>
      <c r="K6" s="483"/>
      <c r="L6" s="483"/>
      <c r="M6" s="483"/>
      <c r="N6" s="483"/>
      <c r="O6" s="483"/>
      <c r="P6" s="483"/>
      <c r="Q6" s="483"/>
      <c r="R6" s="483"/>
      <c r="S6" s="483"/>
      <c r="T6" s="483"/>
      <c r="U6" s="483"/>
      <c r="V6" s="483"/>
      <c r="W6" s="483"/>
      <c r="X6" s="484"/>
      <c r="Z6" s="482" t="s">
        <v>267</v>
      </c>
      <c r="AA6" s="483"/>
      <c r="AB6" s="483"/>
      <c r="AC6" s="483"/>
      <c r="AD6" s="483"/>
      <c r="AE6" s="483"/>
      <c r="AF6" s="483"/>
      <c r="AG6" s="483"/>
      <c r="AH6" s="483"/>
      <c r="AI6" s="483"/>
      <c r="AJ6" s="483"/>
      <c r="AK6" s="483"/>
      <c r="AL6" s="483"/>
      <c r="AM6" s="483"/>
      <c r="AN6" s="483"/>
      <c r="AO6" s="483"/>
      <c r="AP6" s="483"/>
      <c r="AQ6" s="483"/>
      <c r="AR6" s="483"/>
      <c r="AS6" s="483"/>
      <c r="AT6" s="483"/>
      <c r="AU6" s="483"/>
      <c r="AV6" s="483"/>
      <c r="AW6" s="484"/>
      <c r="BA6" s="93">
        <v>4</v>
      </c>
      <c r="BB6" s="100">
        <v>19987.8</v>
      </c>
      <c r="BC6" s="94">
        <f>AL13/2-BF6</f>
        <v>-105.041</v>
      </c>
      <c r="BD6" s="101">
        <v>613</v>
      </c>
      <c r="BE6" s="102"/>
      <c r="BF6" s="87">
        <v>105.041</v>
      </c>
      <c r="BG6" s="87"/>
      <c r="BH6" s="87"/>
      <c r="BI6" s="87"/>
      <c r="BJ6" s="87"/>
      <c r="BK6" s="87"/>
    </row>
    <row r="7" spans="1:122" ht="13.8" thickBot="1" x14ac:dyDescent="0.3">
      <c r="A7" s="475" t="s">
        <v>268</v>
      </c>
      <c r="B7" s="476"/>
      <c r="C7" s="476"/>
      <c r="D7" s="476"/>
      <c r="E7" s="106"/>
      <c r="F7" s="476" t="s">
        <v>269</v>
      </c>
      <c r="G7" s="476"/>
      <c r="H7" s="476"/>
      <c r="I7" s="476"/>
      <c r="J7" s="476" t="s">
        <v>270</v>
      </c>
      <c r="K7" s="476"/>
      <c r="L7" s="476"/>
      <c r="M7" s="476"/>
      <c r="N7" s="476" t="s">
        <v>271</v>
      </c>
      <c r="O7" s="476"/>
      <c r="P7" s="476"/>
      <c r="Q7" s="476"/>
      <c r="R7" s="476" t="s">
        <v>272</v>
      </c>
      <c r="S7" s="476"/>
      <c r="T7" s="476"/>
      <c r="U7" s="476"/>
      <c r="V7" s="476" t="s">
        <v>273</v>
      </c>
      <c r="W7" s="476"/>
      <c r="X7" s="480"/>
      <c r="Y7" s="25"/>
      <c r="Z7" s="475" t="s">
        <v>268</v>
      </c>
      <c r="AA7" s="476"/>
      <c r="AB7" s="476"/>
      <c r="AC7" s="476"/>
      <c r="AD7" s="106"/>
      <c r="AE7" s="476" t="s">
        <v>269</v>
      </c>
      <c r="AF7" s="476"/>
      <c r="AG7" s="476"/>
      <c r="AH7" s="476"/>
      <c r="AI7" s="476" t="s">
        <v>270</v>
      </c>
      <c r="AJ7" s="476"/>
      <c r="AK7" s="476"/>
      <c r="AL7" s="476"/>
      <c r="AM7" s="476" t="s">
        <v>271</v>
      </c>
      <c r="AN7" s="476"/>
      <c r="AO7" s="476"/>
      <c r="AP7" s="476"/>
      <c r="AQ7" s="476" t="s">
        <v>272</v>
      </c>
      <c r="AR7" s="476"/>
      <c r="AS7" s="476"/>
      <c r="AT7" s="476"/>
      <c r="AU7" s="476" t="s">
        <v>273</v>
      </c>
      <c r="AV7" s="476"/>
      <c r="AW7" s="480"/>
      <c r="BA7" s="93">
        <v>5</v>
      </c>
      <c r="BB7" s="94">
        <v>25386.3</v>
      </c>
      <c r="BC7" s="94">
        <f>AL13/2-BF7</f>
        <v>-103.992</v>
      </c>
      <c r="BD7" s="95">
        <v>645.6</v>
      </c>
      <c r="BE7" s="96">
        <f t="shared" ref="BB7:BE20" si="1">+BE6-BE5+BE6</f>
        <v>0</v>
      </c>
      <c r="BF7" s="87">
        <v>103.992</v>
      </c>
      <c r="BG7" s="87" t="s">
        <v>257</v>
      </c>
      <c r="BH7" s="89" t="s">
        <v>258</v>
      </c>
      <c r="BI7" s="90" t="s">
        <v>254</v>
      </c>
      <c r="BJ7" s="90" t="s">
        <v>259</v>
      </c>
      <c r="BK7" s="90" t="s">
        <v>260</v>
      </c>
    </row>
    <row r="8" spans="1:122" x14ac:dyDescent="0.25">
      <c r="A8" s="444"/>
      <c r="B8" s="445"/>
      <c r="C8" s="445"/>
      <c r="D8" s="445"/>
      <c r="E8" s="445"/>
      <c r="F8" s="445"/>
      <c r="G8" s="445"/>
      <c r="H8" s="445"/>
      <c r="I8" s="446"/>
      <c r="J8" s="447">
        <f>(A8+E8)/2</f>
        <v>0</v>
      </c>
      <c r="K8" s="448"/>
      <c r="L8" s="448"/>
      <c r="M8" s="449"/>
      <c r="N8" s="450">
        <f>IF(A8=0,0,(+A13*-V8/(M13-V8-V10)))</f>
        <v>0</v>
      </c>
      <c r="O8" s="451"/>
      <c r="P8" s="451"/>
      <c r="Q8" s="452"/>
      <c r="R8" s="453">
        <f>+J8+N8</f>
        <v>0</v>
      </c>
      <c r="S8" s="454"/>
      <c r="T8" s="454"/>
      <c r="U8" s="455"/>
      <c r="V8" s="456"/>
      <c r="W8" s="457"/>
      <c r="X8" s="458"/>
      <c r="Z8" s="465"/>
      <c r="AA8" s="466"/>
      <c r="AB8" s="466"/>
      <c r="AC8" s="466"/>
      <c r="AD8" s="466"/>
      <c r="AE8" s="466"/>
      <c r="AF8" s="466"/>
      <c r="AG8" s="466"/>
      <c r="AH8" s="467"/>
      <c r="AI8" s="447">
        <f>(Z8+AD8)/2</f>
        <v>0</v>
      </c>
      <c r="AJ8" s="448"/>
      <c r="AK8" s="448"/>
      <c r="AL8" s="449"/>
      <c r="AM8" s="450">
        <f>IF(Z8=0,0,(+Z13*-AU8/(AL13-AU8-AU10)))</f>
        <v>0</v>
      </c>
      <c r="AN8" s="451"/>
      <c r="AO8" s="451"/>
      <c r="AP8" s="452"/>
      <c r="AQ8" s="453">
        <f>+AI8+AM8</f>
        <v>0</v>
      </c>
      <c r="AR8" s="454"/>
      <c r="AS8" s="454"/>
      <c r="AT8" s="455"/>
      <c r="AU8" s="477">
        <f>V8</f>
        <v>0</v>
      </c>
      <c r="AV8" s="478"/>
      <c r="AW8" s="479"/>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435"/>
      <c r="B9" s="436"/>
      <c r="C9" s="436"/>
      <c r="D9" s="436"/>
      <c r="E9" s="436"/>
      <c r="F9" s="436"/>
      <c r="G9" s="436"/>
      <c r="H9" s="436"/>
      <c r="I9" s="437"/>
      <c r="J9" s="438">
        <f>(A9+E9)/2</f>
        <v>0</v>
      </c>
      <c r="K9" s="439"/>
      <c r="L9" s="439"/>
      <c r="M9" s="440"/>
      <c r="N9" s="429">
        <f>IF(A8=0,0,(+A13*-V9/(M13-V8-V10)))</f>
        <v>0</v>
      </c>
      <c r="O9" s="430"/>
      <c r="P9" s="430"/>
      <c r="Q9" s="431"/>
      <c r="R9" s="432">
        <f>+J9+N9</f>
        <v>0</v>
      </c>
      <c r="S9" s="433"/>
      <c r="T9" s="433"/>
      <c r="U9" s="434"/>
      <c r="V9" s="441"/>
      <c r="W9" s="442"/>
      <c r="X9" s="443"/>
      <c r="Z9" s="459"/>
      <c r="AA9" s="460"/>
      <c r="AB9" s="460"/>
      <c r="AC9" s="460"/>
      <c r="AD9" s="460"/>
      <c r="AE9" s="460"/>
      <c r="AF9" s="460"/>
      <c r="AG9" s="460"/>
      <c r="AH9" s="461"/>
      <c r="AI9" s="462">
        <f>(Z9+AD9)/2</f>
        <v>0</v>
      </c>
      <c r="AJ9" s="463"/>
      <c r="AK9" s="463"/>
      <c r="AL9" s="464"/>
      <c r="AM9" s="429">
        <f>IF(Z8=0,0,(+Z13*-AU9/(AL13-AU8-AU10)))</f>
        <v>0</v>
      </c>
      <c r="AN9" s="430"/>
      <c r="AO9" s="430"/>
      <c r="AP9" s="431"/>
      <c r="AQ9" s="432">
        <f>+AI9+AM9</f>
        <v>0</v>
      </c>
      <c r="AR9" s="433"/>
      <c r="AS9" s="433"/>
      <c r="AT9" s="434"/>
      <c r="AU9" s="417">
        <f>V9</f>
        <v>0</v>
      </c>
      <c r="AV9" s="418"/>
      <c r="AW9" s="419"/>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420"/>
      <c r="B10" s="421"/>
      <c r="C10" s="421"/>
      <c r="D10" s="421"/>
      <c r="E10" s="421"/>
      <c r="F10" s="421"/>
      <c r="G10" s="421"/>
      <c r="H10" s="421"/>
      <c r="I10" s="422"/>
      <c r="J10" s="423">
        <f>(A10+E10)/2</f>
        <v>0</v>
      </c>
      <c r="K10" s="424"/>
      <c r="L10" s="424"/>
      <c r="M10" s="425"/>
      <c r="N10" s="411">
        <f>IF(A8=0,0,(+A13*V10/(M13-V8-V10)))</f>
        <v>0</v>
      </c>
      <c r="O10" s="412"/>
      <c r="P10" s="412"/>
      <c r="Q10" s="413"/>
      <c r="R10" s="414">
        <f>+J10+N10</f>
        <v>0</v>
      </c>
      <c r="S10" s="415"/>
      <c r="T10" s="415"/>
      <c r="U10" s="416"/>
      <c r="V10" s="426"/>
      <c r="W10" s="427"/>
      <c r="X10" s="428"/>
      <c r="Z10" s="405"/>
      <c r="AA10" s="406"/>
      <c r="AB10" s="406"/>
      <c r="AC10" s="406"/>
      <c r="AD10" s="406"/>
      <c r="AE10" s="406"/>
      <c r="AF10" s="406"/>
      <c r="AG10" s="406"/>
      <c r="AH10" s="407"/>
      <c r="AI10" s="408">
        <f>(Z10+AD10)/2</f>
        <v>0</v>
      </c>
      <c r="AJ10" s="409"/>
      <c r="AK10" s="409"/>
      <c r="AL10" s="410"/>
      <c r="AM10" s="411">
        <f>IF(Z8=0,0,(+Z13*AU10/(AL13-AU8-AU10)))</f>
        <v>0</v>
      </c>
      <c r="AN10" s="412"/>
      <c r="AO10" s="412"/>
      <c r="AP10" s="413"/>
      <c r="AQ10" s="414">
        <f>+AI10+AM10</f>
        <v>0</v>
      </c>
      <c r="AR10" s="415"/>
      <c r="AS10" s="415"/>
      <c r="AT10" s="416"/>
      <c r="AU10" s="417">
        <f>V10</f>
        <v>0</v>
      </c>
      <c r="AV10" s="418"/>
      <c r="AW10" s="419"/>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c r="AU11" s="401"/>
      <c r="AV11" s="401"/>
      <c r="AW11" s="401"/>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402" t="s">
        <v>274</v>
      </c>
      <c r="B12" s="403"/>
      <c r="C12" s="403"/>
      <c r="D12" s="404"/>
      <c r="E12" s="402" t="s">
        <v>275</v>
      </c>
      <c r="F12" s="403"/>
      <c r="G12" s="403"/>
      <c r="H12" s="404"/>
      <c r="I12" s="374" t="s">
        <v>276</v>
      </c>
      <c r="J12" s="375"/>
      <c r="K12" s="375"/>
      <c r="L12" s="376"/>
      <c r="M12" s="374" t="s">
        <v>277</v>
      </c>
      <c r="N12" s="375"/>
      <c r="O12" s="375"/>
      <c r="P12" s="376"/>
      <c r="Q12" s="40"/>
      <c r="R12" s="374" t="s">
        <v>278</v>
      </c>
      <c r="S12" s="375"/>
      <c r="T12" s="375"/>
      <c r="U12" s="375"/>
      <c r="V12" s="375"/>
      <c r="W12" s="375"/>
      <c r="X12" s="376"/>
      <c r="Y12" s="25"/>
      <c r="Z12" s="402" t="s">
        <v>274</v>
      </c>
      <c r="AA12" s="403"/>
      <c r="AB12" s="403"/>
      <c r="AC12" s="404"/>
      <c r="AD12" s="402" t="s">
        <v>275</v>
      </c>
      <c r="AE12" s="403"/>
      <c r="AF12" s="403"/>
      <c r="AG12" s="404"/>
      <c r="AH12" s="374" t="s">
        <v>276</v>
      </c>
      <c r="AI12" s="375"/>
      <c r="AJ12" s="375"/>
      <c r="AK12" s="376"/>
      <c r="AL12" s="374" t="s">
        <v>277</v>
      </c>
      <c r="AM12" s="375"/>
      <c r="AN12" s="375"/>
      <c r="AO12" s="376"/>
      <c r="AP12" s="40"/>
      <c r="AQ12" s="374" t="s">
        <v>278</v>
      </c>
      <c r="AR12" s="375"/>
      <c r="AS12" s="375"/>
      <c r="AT12" s="375"/>
      <c r="AU12" s="375"/>
      <c r="AV12" s="375"/>
      <c r="AW12" s="376"/>
      <c r="BA12" s="93">
        <v>10</v>
      </c>
      <c r="BB12" s="94">
        <v>53901.1</v>
      </c>
      <c r="BC12" s="94">
        <f>AL13/2-BF12</f>
        <v>-95.765000000000001</v>
      </c>
      <c r="BD12" s="95">
        <v>848.2</v>
      </c>
      <c r="BE12" s="96">
        <f t="shared" si="1"/>
        <v>0</v>
      </c>
      <c r="BF12" s="87">
        <v>95.765000000000001</v>
      </c>
      <c r="BG12" s="107" t="s">
        <v>258</v>
      </c>
      <c r="BH12" s="108" t="s">
        <v>279</v>
      </c>
      <c r="BI12" s="109" t="s">
        <v>254</v>
      </c>
      <c r="BJ12" s="110" t="s">
        <v>280</v>
      </c>
      <c r="BK12" s="111" t="s">
        <v>281</v>
      </c>
      <c r="DO12" s="54"/>
      <c r="DP12" s="54"/>
      <c r="DQ12" s="54"/>
      <c r="DR12" s="54"/>
    </row>
    <row r="13" spans="1:122" ht="13.8" thickBot="1" x14ac:dyDescent="0.3">
      <c r="A13" s="386">
        <f>+J10-J8</f>
        <v>0</v>
      </c>
      <c r="B13" s="387"/>
      <c r="C13" s="387"/>
      <c r="D13" s="388"/>
      <c r="E13" s="389">
        <f>+R10-R8</f>
        <v>0</v>
      </c>
      <c r="F13" s="390"/>
      <c r="G13" s="390"/>
      <c r="H13" s="391"/>
      <c r="I13" s="392"/>
      <c r="J13" s="393"/>
      <c r="K13" s="393"/>
      <c r="L13" s="394"/>
      <c r="M13" s="395"/>
      <c r="N13" s="396"/>
      <c r="O13" s="396"/>
      <c r="P13" s="397"/>
      <c r="Q13" s="112"/>
      <c r="R13" s="381">
        <f>(6*R9+R8+R10)/8-0.018</f>
        <v>-1.7999999999999999E-2</v>
      </c>
      <c r="S13" s="382"/>
      <c r="T13" s="382"/>
      <c r="U13" s="382"/>
      <c r="V13" s="382"/>
      <c r="W13" s="382"/>
      <c r="X13" s="383"/>
      <c r="Y13" s="113"/>
      <c r="Z13" s="386">
        <f>+AI10-AI8</f>
        <v>0</v>
      </c>
      <c r="AA13" s="387"/>
      <c r="AB13" s="387"/>
      <c r="AC13" s="388"/>
      <c r="AD13" s="389">
        <f>+AQ10-AQ8</f>
        <v>0</v>
      </c>
      <c r="AE13" s="390"/>
      <c r="AF13" s="390"/>
      <c r="AG13" s="391"/>
      <c r="AH13" s="392"/>
      <c r="AI13" s="393"/>
      <c r="AJ13" s="393"/>
      <c r="AK13" s="394"/>
      <c r="AL13" s="398">
        <f>+M13</f>
        <v>0</v>
      </c>
      <c r="AM13" s="399"/>
      <c r="AN13" s="399"/>
      <c r="AO13" s="400"/>
      <c r="AP13" s="255"/>
      <c r="AQ13" s="381">
        <f>(6*AQ9+AQ8+AQ10)/8</f>
        <v>0</v>
      </c>
      <c r="AR13" s="382"/>
      <c r="AS13" s="382"/>
      <c r="AT13" s="382"/>
      <c r="AU13" s="382"/>
      <c r="AV13" s="382"/>
      <c r="AW13" s="383"/>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367"/>
      <c r="B14" s="367"/>
      <c r="C14" s="367"/>
      <c r="D14" s="367"/>
      <c r="E14" s="367"/>
      <c r="F14" s="367"/>
      <c r="G14" s="367"/>
      <c r="H14" s="367"/>
      <c r="I14" s="367"/>
      <c r="J14" s="367"/>
      <c r="K14" s="367"/>
      <c r="L14" s="367"/>
      <c r="M14" s="367"/>
      <c r="N14" s="367"/>
      <c r="O14" s="367"/>
      <c r="P14" s="367"/>
      <c r="Q14" s="367"/>
      <c r="R14" s="367"/>
      <c r="S14" s="367"/>
      <c r="T14" s="367"/>
      <c r="U14" s="367"/>
      <c r="V14" s="367"/>
      <c r="W14" s="367"/>
      <c r="X14" s="367"/>
      <c r="Y14" s="367"/>
      <c r="Z14" s="367"/>
      <c r="AA14" s="367"/>
      <c r="AB14" s="367"/>
      <c r="AC14" s="367"/>
      <c r="AD14" s="367"/>
      <c r="AE14" s="367"/>
      <c r="AF14" s="367"/>
      <c r="AG14" s="367"/>
      <c r="AH14" s="367"/>
      <c r="AI14" s="367"/>
      <c r="AJ14" s="367"/>
      <c r="AK14" s="367"/>
      <c r="AL14" s="367"/>
      <c r="AM14" s="367"/>
      <c r="AN14" s="367"/>
      <c r="AO14" s="367"/>
      <c r="AP14" s="367"/>
      <c r="AQ14" s="367"/>
      <c r="AR14" s="367"/>
      <c r="AS14" s="367"/>
      <c r="AT14" s="367"/>
      <c r="AU14" s="367"/>
      <c r="AV14" s="367"/>
      <c r="AW14" s="367"/>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374" t="s">
        <v>254</v>
      </c>
      <c r="B15" s="375"/>
      <c r="C15" s="375"/>
      <c r="D15" s="384"/>
      <c r="E15" s="385" t="s">
        <v>279</v>
      </c>
      <c r="F15" s="375"/>
      <c r="G15" s="375"/>
      <c r="H15" s="384"/>
      <c r="I15" s="385" t="s">
        <v>280</v>
      </c>
      <c r="J15" s="375"/>
      <c r="K15" s="375"/>
      <c r="L15" s="384"/>
      <c r="M15" s="385" t="s">
        <v>281</v>
      </c>
      <c r="N15" s="375"/>
      <c r="O15" s="375"/>
      <c r="P15" s="384"/>
      <c r="Q15" s="385" t="s">
        <v>282</v>
      </c>
      <c r="R15" s="375"/>
      <c r="S15" s="375"/>
      <c r="T15" s="384"/>
      <c r="U15" s="385" t="s">
        <v>283</v>
      </c>
      <c r="V15" s="375"/>
      <c r="W15" s="375"/>
      <c r="X15" s="376"/>
      <c r="Y15" s="25"/>
      <c r="Z15" s="374" t="s">
        <v>254</v>
      </c>
      <c r="AA15" s="375"/>
      <c r="AB15" s="375"/>
      <c r="AC15" s="384"/>
      <c r="AD15" s="385" t="s">
        <v>279</v>
      </c>
      <c r="AE15" s="375"/>
      <c r="AF15" s="375"/>
      <c r="AG15" s="384"/>
      <c r="AH15" s="385" t="s">
        <v>280</v>
      </c>
      <c r="AI15" s="375"/>
      <c r="AJ15" s="375"/>
      <c r="AK15" s="384"/>
      <c r="AL15" s="385" t="s">
        <v>281</v>
      </c>
      <c r="AM15" s="375"/>
      <c r="AN15" s="375"/>
      <c r="AO15" s="384"/>
      <c r="AP15" s="385" t="s">
        <v>282</v>
      </c>
      <c r="AQ15" s="375"/>
      <c r="AR15" s="375"/>
      <c r="AS15" s="384"/>
      <c r="AT15" s="385" t="s">
        <v>283</v>
      </c>
      <c r="AU15" s="375"/>
      <c r="AV15" s="375"/>
      <c r="AW15" s="376"/>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359" t="e">
        <f>BJ28</f>
        <v>#DIV/0!</v>
      </c>
      <c r="B16" s="360"/>
      <c r="C16" s="360"/>
      <c r="D16" s="361"/>
      <c r="E16" s="362" t="e">
        <f>BI28</f>
        <v>#DIV/0!</v>
      </c>
      <c r="F16" s="360"/>
      <c r="G16" s="360"/>
      <c r="H16" s="361"/>
      <c r="I16" s="362">
        <f>BH32</f>
        <v>0</v>
      </c>
      <c r="J16" s="360"/>
      <c r="K16" s="360"/>
      <c r="L16" s="361"/>
      <c r="M16" s="362">
        <f>BJ32</f>
        <v>0</v>
      </c>
      <c r="N16" s="360"/>
      <c r="O16" s="360"/>
      <c r="P16" s="361"/>
      <c r="Q16" s="363"/>
      <c r="R16" s="364"/>
      <c r="S16" s="364"/>
      <c r="T16" s="365"/>
      <c r="U16" s="363"/>
      <c r="V16" s="364"/>
      <c r="W16" s="364"/>
      <c r="X16" s="366"/>
      <c r="Z16" s="359" t="e">
        <f>BJ37</f>
        <v>#DIV/0!</v>
      </c>
      <c r="AA16" s="360"/>
      <c r="AB16" s="360"/>
      <c r="AC16" s="361"/>
      <c r="AD16" s="362" t="e">
        <f>BI37</f>
        <v>#DIV/0!</v>
      </c>
      <c r="AE16" s="360"/>
      <c r="AF16" s="360"/>
      <c r="AG16" s="361"/>
      <c r="AH16" s="362">
        <f>BH41</f>
        <v>0</v>
      </c>
      <c r="AI16" s="360"/>
      <c r="AJ16" s="360"/>
      <c r="AK16" s="361"/>
      <c r="AL16" s="362">
        <f>BJ41</f>
        <v>0</v>
      </c>
      <c r="AM16" s="360"/>
      <c r="AN16" s="360"/>
      <c r="AO16" s="361"/>
      <c r="AP16" s="363"/>
      <c r="AQ16" s="364"/>
      <c r="AR16" s="364"/>
      <c r="AS16" s="365"/>
      <c r="AT16" s="363"/>
      <c r="AU16" s="364"/>
      <c r="AV16" s="364"/>
      <c r="AW16" s="366"/>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367"/>
      <c r="B17" s="367"/>
      <c r="C17" s="367"/>
      <c r="D17" s="367"/>
      <c r="E17" s="367"/>
      <c r="F17" s="367"/>
      <c r="G17" s="367"/>
      <c r="H17" s="367"/>
      <c r="I17" s="367"/>
      <c r="J17" s="367"/>
      <c r="K17" s="367"/>
      <c r="L17" s="367"/>
      <c r="M17" s="367"/>
      <c r="N17" s="367"/>
      <c r="O17" s="367"/>
      <c r="P17" s="367"/>
      <c r="Q17" s="367"/>
      <c r="R17" s="367"/>
      <c r="S17" s="367"/>
      <c r="T17" s="367"/>
      <c r="U17" s="367"/>
      <c r="V17" s="367"/>
      <c r="W17" s="367"/>
      <c r="X17" s="367"/>
      <c r="Y17" s="367"/>
      <c r="Z17" s="367"/>
      <c r="AA17" s="367"/>
      <c r="AB17" s="367"/>
      <c r="AC17" s="367"/>
      <c r="AD17" s="367"/>
      <c r="AE17" s="367"/>
      <c r="AF17" s="367"/>
      <c r="AG17" s="367"/>
      <c r="AH17" s="367"/>
      <c r="AI17" s="367"/>
      <c r="AJ17" s="367"/>
      <c r="AK17" s="367"/>
      <c r="AL17" s="367"/>
      <c r="AM17" s="367"/>
      <c r="AN17" s="367"/>
      <c r="AO17" s="367"/>
      <c r="AP17" s="367"/>
      <c r="AQ17" s="367"/>
      <c r="AR17" s="367"/>
      <c r="AS17" s="367"/>
      <c r="AT17" s="367"/>
      <c r="AU17" s="367"/>
      <c r="AV17" s="367"/>
      <c r="AW17" s="367"/>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368" t="s">
        <v>284</v>
      </c>
      <c r="B18" s="369"/>
      <c r="C18" s="369"/>
      <c r="D18" s="369"/>
      <c r="E18" s="369"/>
      <c r="F18" s="369"/>
      <c r="G18" s="370"/>
      <c r="H18" s="370"/>
      <c r="I18" s="370"/>
      <c r="J18" s="370"/>
      <c r="K18" s="371"/>
      <c r="M18" s="372" t="e">
        <f>BH28</f>
        <v>#DIV/0!</v>
      </c>
      <c r="N18" s="373"/>
      <c r="O18" s="373"/>
      <c r="P18" s="373"/>
      <c r="Q18" s="373"/>
      <c r="R18" s="124"/>
      <c r="S18" s="374" t="s">
        <v>285</v>
      </c>
      <c r="T18" s="375"/>
      <c r="U18" s="375"/>
      <c r="V18" s="375"/>
      <c r="W18" s="375"/>
      <c r="X18" s="375"/>
      <c r="Y18" s="375"/>
      <c r="Z18" s="375"/>
      <c r="AA18" s="375"/>
      <c r="AB18" s="375"/>
      <c r="AC18" s="375"/>
      <c r="AD18" s="375"/>
      <c r="AE18" s="376"/>
      <c r="AF18" s="256"/>
      <c r="AG18" s="377" t="e">
        <f>BH37</f>
        <v>#DIV/0!</v>
      </c>
      <c r="AH18" s="377"/>
      <c r="AI18" s="377"/>
      <c r="AJ18" s="377"/>
      <c r="AK18" s="378"/>
      <c r="AL18" s="25"/>
      <c r="AM18" s="368" t="s">
        <v>284</v>
      </c>
      <c r="AN18" s="369"/>
      <c r="AO18" s="369"/>
      <c r="AP18" s="369"/>
      <c r="AQ18" s="369"/>
      <c r="AR18" s="369"/>
      <c r="AS18" s="379">
        <f>Deductions!AI42</f>
        <v>0</v>
      </c>
      <c r="AT18" s="379"/>
      <c r="AU18" s="379"/>
      <c r="AV18" s="379"/>
      <c r="AW18" s="380"/>
      <c r="BA18" s="93">
        <v>16</v>
      </c>
      <c r="BB18" s="94">
        <f t="shared" si="1"/>
        <v>90736.800000000017</v>
      </c>
      <c r="BC18" s="94">
        <f t="shared" si="1"/>
        <v>-93.58</v>
      </c>
      <c r="BD18" s="95">
        <f t="shared" si="1"/>
        <v>942.00000000000011</v>
      </c>
      <c r="BE18" s="96">
        <f t="shared" si="1"/>
        <v>0</v>
      </c>
      <c r="BF18" s="87"/>
      <c r="BG18" s="107" t="s">
        <v>258</v>
      </c>
      <c r="BH18" s="108" t="s">
        <v>279</v>
      </c>
      <c r="BI18" s="109" t="s">
        <v>254</v>
      </c>
      <c r="BJ18" s="110" t="s">
        <v>280</v>
      </c>
      <c r="BK18" s="111" t="s">
        <v>281</v>
      </c>
    </row>
    <row r="19" spans="1:63" x14ac:dyDescent="0.25">
      <c r="A19" s="272" t="s">
        <v>286</v>
      </c>
      <c r="B19" s="273"/>
      <c r="C19" s="273"/>
      <c r="D19" s="273"/>
      <c r="E19" s="273"/>
      <c r="F19" s="273"/>
      <c r="G19" s="356"/>
      <c r="H19" s="356"/>
      <c r="I19" s="356"/>
      <c r="J19" s="356"/>
      <c r="K19" s="357"/>
      <c r="M19" s="305">
        <f>ROUND(IF($S$19="Y",(((R13*100)-TRUNC(R13*100))*E16),0),2)</f>
        <v>0</v>
      </c>
      <c r="N19" s="306"/>
      <c r="O19" s="306"/>
      <c r="P19" s="306"/>
      <c r="Q19" s="306"/>
      <c r="R19" s="126"/>
      <c r="S19" s="127" t="s">
        <v>360</v>
      </c>
      <c r="T19" s="358" t="s">
        <v>287</v>
      </c>
      <c r="U19" s="279"/>
      <c r="V19" s="279"/>
      <c r="W19" s="279"/>
      <c r="X19" s="279"/>
      <c r="Y19" s="279"/>
      <c r="Z19" s="279"/>
      <c r="AA19" s="279"/>
      <c r="AB19" s="279"/>
      <c r="AC19" s="279"/>
      <c r="AD19" s="279"/>
      <c r="AE19" s="321"/>
      <c r="AF19" s="257"/>
      <c r="AG19" s="310">
        <f>ROUND(IF($S$19="Y",(((AQ13*100)-TRUNC(AQ13*100))*AD16),0),2)</f>
        <v>0</v>
      </c>
      <c r="AH19" s="310"/>
      <c r="AI19" s="310"/>
      <c r="AJ19" s="310"/>
      <c r="AK19" s="311"/>
      <c r="AL19" s="25"/>
      <c r="AM19" s="272" t="s">
        <v>286</v>
      </c>
      <c r="AN19" s="273"/>
      <c r="AO19" s="273"/>
      <c r="AP19" s="273"/>
      <c r="AQ19" s="273"/>
      <c r="AR19" s="273"/>
      <c r="AS19" s="310">
        <f>Deductions!AI54</f>
        <v>0</v>
      </c>
      <c r="AT19" s="310"/>
      <c r="AU19" s="310"/>
      <c r="AV19" s="310"/>
      <c r="AW19" s="311"/>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272" t="s">
        <v>288</v>
      </c>
      <c r="B20" s="273"/>
      <c r="C20" s="273"/>
      <c r="D20" s="273"/>
      <c r="E20" s="273"/>
      <c r="F20" s="273"/>
      <c r="G20" s="354"/>
      <c r="H20" s="354"/>
      <c r="I20" s="354"/>
      <c r="J20" s="354"/>
      <c r="K20" s="355"/>
      <c r="M20" s="305" t="e">
        <f>+M19+M18</f>
        <v>#DIV/0!</v>
      </c>
      <c r="N20" s="306"/>
      <c r="O20" s="306"/>
      <c r="P20" s="306"/>
      <c r="Q20" s="306"/>
      <c r="R20" s="126"/>
      <c r="S20" s="307" t="s">
        <v>289</v>
      </c>
      <c r="T20" s="308"/>
      <c r="U20" s="308"/>
      <c r="V20" s="308"/>
      <c r="W20" s="308"/>
      <c r="X20" s="308"/>
      <c r="Y20" s="308"/>
      <c r="Z20" s="308"/>
      <c r="AA20" s="308"/>
      <c r="AB20" s="308"/>
      <c r="AC20" s="308"/>
      <c r="AD20" s="308"/>
      <c r="AE20" s="309"/>
      <c r="AF20" s="257"/>
      <c r="AG20" s="310" t="e">
        <f>+AG19+AG18</f>
        <v>#DIV/0!</v>
      </c>
      <c r="AH20" s="310"/>
      <c r="AI20" s="310"/>
      <c r="AJ20" s="310"/>
      <c r="AK20" s="311"/>
      <c r="AL20" s="25"/>
      <c r="AM20" s="272" t="s">
        <v>288</v>
      </c>
      <c r="AN20" s="273"/>
      <c r="AO20" s="273"/>
      <c r="AP20" s="273"/>
      <c r="AQ20" s="273"/>
      <c r="AR20" s="273"/>
      <c r="AS20" s="337"/>
      <c r="AT20" s="337"/>
      <c r="AU20" s="337"/>
      <c r="AV20" s="337"/>
      <c r="AW20" s="338"/>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272" t="s">
        <v>290</v>
      </c>
      <c r="B21" s="273"/>
      <c r="C21" s="273"/>
      <c r="D21" s="273"/>
      <c r="E21" s="273"/>
      <c r="F21" s="273"/>
      <c r="G21" s="354"/>
      <c r="H21" s="354"/>
      <c r="I21" s="354"/>
      <c r="J21" s="354"/>
      <c r="K21" s="355"/>
      <c r="M21" s="305" t="e">
        <f>IF($M$18=0,0,(100*A16*E16*E13/M13))</f>
        <v>#DIV/0!</v>
      </c>
      <c r="N21" s="306"/>
      <c r="O21" s="306"/>
      <c r="P21" s="306"/>
      <c r="Q21" s="306"/>
      <c r="R21" s="126"/>
      <c r="S21" s="307" t="s">
        <v>291</v>
      </c>
      <c r="T21" s="308"/>
      <c r="U21" s="308"/>
      <c r="V21" s="308"/>
      <c r="W21" s="308"/>
      <c r="X21" s="308"/>
      <c r="Y21" s="308"/>
      <c r="Z21" s="308"/>
      <c r="AA21" s="308"/>
      <c r="AB21" s="308"/>
      <c r="AC21" s="308"/>
      <c r="AD21" s="308"/>
      <c r="AE21" s="309"/>
      <c r="AF21" s="257"/>
      <c r="AG21" s="310" t="e">
        <f>IF($AG$18=0,0,(100*Z16*AD16*AD13/AL13))</f>
        <v>#DIV/0!</v>
      </c>
      <c r="AH21" s="310"/>
      <c r="AI21" s="310"/>
      <c r="AJ21" s="310"/>
      <c r="AK21" s="311"/>
      <c r="AL21" s="25"/>
      <c r="AM21" s="272" t="s">
        <v>290</v>
      </c>
      <c r="AN21" s="273"/>
      <c r="AO21" s="273"/>
      <c r="AP21" s="273"/>
      <c r="AQ21" s="273"/>
      <c r="AR21" s="273"/>
      <c r="AS21" s="337"/>
      <c r="AT21" s="337"/>
      <c r="AU21" s="337"/>
      <c r="AV21" s="337"/>
      <c r="AW21" s="338"/>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272" t="s">
        <v>292</v>
      </c>
      <c r="B22" s="273"/>
      <c r="C22" s="273"/>
      <c r="D22" s="273"/>
      <c r="E22" s="273"/>
      <c r="F22" s="273"/>
      <c r="G22" s="354"/>
      <c r="H22" s="354"/>
      <c r="I22" s="354"/>
      <c r="J22" s="354"/>
      <c r="K22" s="355"/>
      <c r="M22" s="305" t="e">
        <f>IF($M$18=0,0,(50*E13*E13*(I16-M16)/M13))</f>
        <v>#DIV/0!</v>
      </c>
      <c r="N22" s="306"/>
      <c r="O22" s="306"/>
      <c r="P22" s="306"/>
      <c r="Q22" s="306"/>
      <c r="R22" s="126"/>
      <c r="S22" s="307" t="s">
        <v>293</v>
      </c>
      <c r="T22" s="308"/>
      <c r="U22" s="308"/>
      <c r="V22" s="308"/>
      <c r="W22" s="308"/>
      <c r="X22" s="308"/>
      <c r="Y22" s="308"/>
      <c r="Z22" s="308"/>
      <c r="AA22" s="308"/>
      <c r="AB22" s="308"/>
      <c r="AC22" s="308"/>
      <c r="AD22" s="308"/>
      <c r="AE22" s="309"/>
      <c r="AF22" s="257"/>
      <c r="AG22" s="310" t="e">
        <f>IF($AG$18=0,0,(50*AD13*AD13*(AH16-AL16)/AL13))</f>
        <v>#DIV/0!</v>
      </c>
      <c r="AH22" s="310"/>
      <c r="AI22" s="310"/>
      <c r="AJ22" s="310"/>
      <c r="AK22" s="311"/>
      <c r="AL22" s="25"/>
      <c r="AM22" s="272" t="s">
        <v>292</v>
      </c>
      <c r="AN22" s="273"/>
      <c r="AO22" s="273"/>
      <c r="AP22" s="273"/>
      <c r="AQ22" s="273"/>
      <c r="AR22" s="273"/>
      <c r="AS22" s="337"/>
      <c r="AT22" s="337"/>
      <c r="AU22" s="337"/>
      <c r="AV22" s="337"/>
      <c r="AW22" s="338"/>
      <c r="BA22" s="132" t="e">
        <f>+BI17</f>
        <v>#N/A</v>
      </c>
      <c r="BB22" s="133" t="s">
        <v>254</v>
      </c>
      <c r="BC22" s="134"/>
      <c r="BD22" s="132" t="e">
        <f>+BI23</f>
        <v>#N/A</v>
      </c>
      <c r="BE22" s="69"/>
      <c r="BF22" s="87"/>
      <c r="BG22" s="117"/>
      <c r="BH22" s="120" t="e">
        <f>((BH10-BH9)*BH20+BH9-BH19+0.5)</f>
        <v>#N/A</v>
      </c>
      <c r="BI22" s="119"/>
      <c r="BJ22" s="118"/>
      <c r="BK22" s="119"/>
    </row>
    <row r="23" spans="1:63" x14ac:dyDescent="0.25">
      <c r="A23" s="272" t="s">
        <v>294</v>
      </c>
      <c r="B23" s="273"/>
      <c r="C23" s="273"/>
      <c r="D23" s="273"/>
      <c r="E23" s="273"/>
      <c r="F23" s="273"/>
      <c r="G23" s="354">
        <v>0</v>
      </c>
      <c r="H23" s="354"/>
      <c r="I23" s="354"/>
      <c r="J23" s="354"/>
      <c r="K23" s="355"/>
      <c r="M23" s="305" t="e">
        <f>+M21+M22</f>
        <v>#DIV/0!</v>
      </c>
      <c r="N23" s="306"/>
      <c r="O23" s="306"/>
      <c r="P23" s="306"/>
      <c r="Q23" s="306"/>
      <c r="R23" s="126"/>
      <c r="S23" s="307" t="s">
        <v>295</v>
      </c>
      <c r="T23" s="308"/>
      <c r="U23" s="308"/>
      <c r="V23" s="308"/>
      <c r="W23" s="308"/>
      <c r="X23" s="308"/>
      <c r="Y23" s="308"/>
      <c r="Z23" s="308"/>
      <c r="AA23" s="308"/>
      <c r="AB23" s="308"/>
      <c r="AC23" s="308"/>
      <c r="AD23" s="308"/>
      <c r="AE23" s="309"/>
      <c r="AF23" s="257"/>
      <c r="AG23" s="310" t="e">
        <f>+AG21+AG22</f>
        <v>#DIV/0!</v>
      </c>
      <c r="AH23" s="310"/>
      <c r="AI23" s="310"/>
      <c r="AJ23" s="310"/>
      <c r="AK23" s="311"/>
      <c r="AL23" s="25"/>
      <c r="AM23" s="272" t="s">
        <v>294</v>
      </c>
      <c r="AN23" s="273"/>
      <c r="AO23" s="273"/>
      <c r="AP23" s="273"/>
      <c r="AQ23" s="273"/>
      <c r="AR23" s="273"/>
      <c r="AS23" s="337">
        <v>0</v>
      </c>
      <c r="AT23" s="337"/>
      <c r="AU23" s="337"/>
      <c r="AV23" s="337"/>
      <c r="AW23" s="338"/>
      <c r="BA23" s="132" t="e">
        <f>+BH17</f>
        <v>#N/A</v>
      </c>
      <c r="BB23" s="133" t="s">
        <v>279</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272" t="s">
        <v>296</v>
      </c>
      <c r="B24" s="273"/>
      <c r="C24" s="273"/>
      <c r="D24" s="273"/>
      <c r="E24" s="273"/>
      <c r="F24" s="273"/>
      <c r="G24" s="354">
        <v>0</v>
      </c>
      <c r="H24" s="354"/>
      <c r="I24" s="354"/>
      <c r="J24" s="354"/>
      <c r="K24" s="355"/>
      <c r="M24" s="305">
        <f>ROUND(6*(Q16-U16)*(A9-E9),2)</f>
        <v>0</v>
      </c>
      <c r="N24" s="306"/>
      <c r="O24" s="306"/>
      <c r="P24" s="306"/>
      <c r="Q24" s="306"/>
      <c r="R24" s="126"/>
      <c r="S24" s="307" t="s">
        <v>297</v>
      </c>
      <c r="T24" s="308"/>
      <c r="U24" s="308"/>
      <c r="V24" s="308"/>
      <c r="W24" s="308"/>
      <c r="X24" s="308"/>
      <c r="Y24" s="308"/>
      <c r="Z24" s="308"/>
      <c r="AA24" s="308"/>
      <c r="AB24" s="308"/>
      <c r="AC24" s="308"/>
      <c r="AD24" s="308"/>
      <c r="AE24" s="309"/>
      <c r="AF24" s="257"/>
      <c r="AG24" s="310">
        <f>ROUND(6*(AP16-AT16)*(Z9-AD9),2)</f>
        <v>0</v>
      </c>
      <c r="AH24" s="310"/>
      <c r="AI24" s="310"/>
      <c r="AJ24" s="310"/>
      <c r="AK24" s="311"/>
      <c r="AL24" s="25"/>
      <c r="AM24" s="272" t="s">
        <v>296</v>
      </c>
      <c r="AN24" s="273"/>
      <c r="AO24" s="273"/>
      <c r="AP24" s="273"/>
      <c r="AQ24" s="273"/>
      <c r="AR24" s="273"/>
      <c r="AS24" s="337">
        <v>0</v>
      </c>
      <c r="AT24" s="337"/>
      <c r="AU24" s="337"/>
      <c r="AV24" s="337"/>
      <c r="AW24" s="338"/>
      <c r="BA24" s="132" t="e">
        <f>+BJ17</f>
        <v>#N/A</v>
      </c>
      <c r="BB24" s="133" t="s">
        <v>280</v>
      </c>
      <c r="BC24" s="134"/>
      <c r="BD24" s="132" t="e">
        <f>+BJ23</f>
        <v>#N/A</v>
      </c>
      <c r="BE24" s="69"/>
    </row>
    <row r="25" spans="1:63" x14ac:dyDescent="0.25">
      <c r="A25" s="272" t="s">
        <v>413</v>
      </c>
      <c r="B25" s="273"/>
      <c r="C25" s="273"/>
      <c r="D25" s="273"/>
      <c r="E25" s="273"/>
      <c r="F25" s="273"/>
      <c r="G25" s="354"/>
      <c r="H25" s="354"/>
      <c r="I25" s="354"/>
      <c r="J25" s="354"/>
      <c r="K25" s="355"/>
      <c r="M25" s="305" t="e">
        <f>+M20+M23+M24</f>
        <v>#DIV/0!</v>
      </c>
      <c r="N25" s="306"/>
      <c r="O25" s="306"/>
      <c r="P25" s="306"/>
      <c r="Q25" s="306"/>
      <c r="R25" s="126"/>
      <c r="S25" s="307" t="s">
        <v>298</v>
      </c>
      <c r="T25" s="308"/>
      <c r="U25" s="308"/>
      <c r="V25" s="308"/>
      <c r="W25" s="308"/>
      <c r="X25" s="308"/>
      <c r="Y25" s="308"/>
      <c r="Z25" s="308"/>
      <c r="AA25" s="308"/>
      <c r="AB25" s="308"/>
      <c r="AC25" s="308"/>
      <c r="AD25" s="308"/>
      <c r="AE25" s="309"/>
      <c r="AF25" s="257"/>
      <c r="AG25" s="310" t="e">
        <f>+AG20+AG23+AG24</f>
        <v>#DIV/0!</v>
      </c>
      <c r="AH25" s="310"/>
      <c r="AI25" s="310"/>
      <c r="AJ25" s="310"/>
      <c r="AK25" s="311"/>
      <c r="AL25" s="25"/>
      <c r="AM25" s="272" t="s">
        <v>413</v>
      </c>
      <c r="AN25" s="273"/>
      <c r="AO25" s="273"/>
      <c r="AP25" s="273"/>
      <c r="AQ25" s="273"/>
      <c r="AR25" s="273"/>
      <c r="AS25" s="337"/>
      <c r="AT25" s="337"/>
      <c r="AU25" s="337"/>
      <c r="AV25" s="337"/>
      <c r="AW25" s="338"/>
      <c r="BA25" s="132" t="e">
        <f>+BK17</f>
        <v>#N/A</v>
      </c>
      <c r="BB25" s="133" t="s">
        <v>281</v>
      </c>
      <c r="BC25" s="134"/>
      <c r="BD25" s="132" t="e">
        <f>+BK23</f>
        <v>#N/A</v>
      </c>
      <c r="BE25" s="69"/>
    </row>
    <row r="26" spans="1:63" ht="13.8" thickBot="1" x14ac:dyDescent="0.3">
      <c r="A26" s="339" t="s">
        <v>299</v>
      </c>
      <c r="B26" s="340"/>
      <c r="C26" s="340"/>
      <c r="D26" s="340"/>
      <c r="E26" s="340"/>
      <c r="F26" s="340"/>
      <c r="G26" s="341">
        <f>SUM(G18:K25)</f>
        <v>0</v>
      </c>
      <c r="H26" s="341"/>
      <c r="I26" s="341"/>
      <c r="J26" s="341"/>
      <c r="K26" s="342"/>
      <c r="M26" s="343" t="e">
        <f>((I13-1.025)*M25)/1.025</f>
        <v>#DIV/0!</v>
      </c>
      <c r="N26" s="344"/>
      <c r="O26" s="344"/>
      <c r="P26" s="344"/>
      <c r="Q26" s="344"/>
      <c r="R26" s="136"/>
      <c r="S26" s="345" t="s">
        <v>300</v>
      </c>
      <c r="T26" s="346"/>
      <c r="U26" s="346"/>
      <c r="V26" s="346"/>
      <c r="W26" s="346"/>
      <c r="X26" s="346"/>
      <c r="Y26" s="346"/>
      <c r="Z26" s="346"/>
      <c r="AA26" s="346"/>
      <c r="AB26" s="346"/>
      <c r="AC26" s="346"/>
      <c r="AD26" s="346"/>
      <c r="AE26" s="347"/>
      <c r="AF26" s="258"/>
      <c r="AG26" s="348" t="e">
        <f>((AH13-1.025)*AG25)/1.025</f>
        <v>#DIV/0!</v>
      </c>
      <c r="AH26" s="348"/>
      <c r="AI26" s="348"/>
      <c r="AJ26" s="348"/>
      <c r="AK26" s="349"/>
      <c r="AL26" s="25"/>
      <c r="AM26" s="350" t="s">
        <v>299</v>
      </c>
      <c r="AN26" s="351"/>
      <c r="AO26" s="351"/>
      <c r="AP26" s="351"/>
      <c r="AQ26" s="351"/>
      <c r="AR26" s="351"/>
      <c r="AS26" s="352">
        <f>SUM(AS18:AW25)</f>
        <v>0</v>
      </c>
      <c r="AT26" s="352"/>
      <c r="AU26" s="352"/>
      <c r="AV26" s="352"/>
      <c r="AW26" s="353"/>
      <c r="BA26" s="132" t="e">
        <f>+BG17</f>
        <v>#N/A</v>
      </c>
      <c r="BB26" s="133" t="s">
        <v>289</v>
      </c>
      <c r="BC26" s="134"/>
      <c r="BD26" s="132" t="e">
        <f>+BG23</f>
        <v>#N/A</v>
      </c>
      <c r="BE26" s="69"/>
      <c r="BG26" s="137" t="s">
        <v>301</v>
      </c>
      <c r="BH26" s="137" t="s">
        <v>258</v>
      </c>
      <c r="BI26" s="137" t="s">
        <v>279</v>
      </c>
      <c r="BJ26" s="137" t="s">
        <v>254</v>
      </c>
      <c r="BK26" s="263" t="s">
        <v>381</v>
      </c>
    </row>
    <row r="27" spans="1:63" ht="12.75" customHeight="1" x14ac:dyDescent="0.25">
      <c r="A27" s="327" t="s">
        <v>302</v>
      </c>
      <c r="B27" s="328"/>
      <c r="C27" s="328"/>
      <c r="D27" s="328"/>
      <c r="E27" s="328"/>
      <c r="F27" s="328"/>
      <c r="G27" s="328"/>
      <c r="H27" s="328"/>
      <c r="I27" s="331" t="s">
        <v>303</v>
      </c>
      <c r="J27" s="331" t="s">
        <v>304</v>
      </c>
      <c r="K27" s="334" t="s">
        <v>305</v>
      </c>
      <c r="M27" s="305" t="e">
        <f>+M25+M26</f>
        <v>#DIV/0!</v>
      </c>
      <c r="N27" s="306"/>
      <c r="O27" s="306"/>
      <c r="P27" s="306"/>
      <c r="Q27" s="306"/>
      <c r="R27" s="126"/>
      <c r="S27" s="307" t="s">
        <v>306</v>
      </c>
      <c r="T27" s="308"/>
      <c r="U27" s="308"/>
      <c r="V27" s="308"/>
      <c r="W27" s="308"/>
      <c r="X27" s="308"/>
      <c r="Y27" s="308"/>
      <c r="Z27" s="308"/>
      <c r="AA27" s="308"/>
      <c r="AB27" s="308"/>
      <c r="AC27" s="308"/>
      <c r="AD27" s="308"/>
      <c r="AE27" s="309"/>
      <c r="AF27" s="257"/>
      <c r="AG27" s="310" t="e">
        <f>+AG25+AG26</f>
        <v>#DIV/0!</v>
      </c>
      <c r="AH27" s="310"/>
      <c r="AI27" s="310"/>
      <c r="AJ27" s="310"/>
      <c r="AK27" s="311"/>
      <c r="AL27" s="25"/>
      <c r="AM27" s="138"/>
      <c r="AN27" s="139"/>
      <c r="AO27" s="139"/>
      <c r="AP27" s="139"/>
      <c r="AQ27" s="139"/>
      <c r="AR27" s="139"/>
      <c r="AS27" s="139"/>
      <c r="AT27" s="139"/>
      <c r="AU27" s="139"/>
      <c r="AV27" s="139"/>
      <c r="AW27" s="140"/>
      <c r="BA27" s="132" t="e">
        <f>100*BA22*BA23*E13/M13</f>
        <v>#N/A</v>
      </c>
      <c r="BB27" s="133" t="s">
        <v>291</v>
      </c>
      <c r="BC27" s="134"/>
      <c r="BD27" s="132" t="e">
        <f>100*BD22*BD23*AD13/M13</f>
        <v>#N/A</v>
      </c>
      <c r="BE27" s="69"/>
      <c r="BG27" s="265"/>
      <c r="BH27" s="266"/>
      <c r="BI27" s="267"/>
      <c r="BJ27" s="268"/>
      <c r="BK27" s="141">
        <f>M13</f>
        <v>0</v>
      </c>
    </row>
    <row r="28" spans="1:63" x14ac:dyDescent="0.25">
      <c r="A28" s="329"/>
      <c r="B28" s="330"/>
      <c r="C28" s="330"/>
      <c r="D28" s="330"/>
      <c r="E28" s="330"/>
      <c r="F28" s="330"/>
      <c r="G28" s="330"/>
      <c r="H28" s="330"/>
      <c r="I28" s="332"/>
      <c r="J28" s="332"/>
      <c r="K28" s="335"/>
      <c r="M28" s="305">
        <f>+G26</f>
        <v>0</v>
      </c>
      <c r="N28" s="306"/>
      <c r="O28" s="306"/>
      <c r="P28" s="306"/>
      <c r="Q28" s="306"/>
      <c r="R28" s="126"/>
      <c r="S28" s="307" t="s">
        <v>307</v>
      </c>
      <c r="T28" s="308"/>
      <c r="U28" s="308"/>
      <c r="V28" s="308"/>
      <c r="W28" s="308"/>
      <c r="X28" s="308"/>
      <c r="Y28" s="308"/>
      <c r="Z28" s="308"/>
      <c r="AA28" s="308"/>
      <c r="AB28" s="308"/>
      <c r="AC28" s="308"/>
      <c r="AD28" s="308"/>
      <c r="AE28" s="309"/>
      <c r="AF28" s="257"/>
      <c r="AG28" s="310">
        <f>+AS26</f>
        <v>0</v>
      </c>
      <c r="AH28" s="310"/>
      <c r="AI28" s="310"/>
      <c r="AJ28" s="310"/>
      <c r="AK28" s="311"/>
      <c r="AL28" s="25"/>
      <c r="AM28" s="142"/>
      <c r="AN28" s="25"/>
      <c r="AO28" s="25"/>
      <c r="AP28" s="25"/>
      <c r="AQ28" s="25"/>
      <c r="AR28" s="25"/>
      <c r="AS28" s="25"/>
      <c r="AT28" s="25"/>
      <c r="AU28" s="25"/>
      <c r="AV28" s="25"/>
      <c r="AW28" s="143"/>
      <c r="BA28" s="132" t="e">
        <f>50*E13*E13*(BA24-BA25)/M13</f>
        <v>#N/A</v>
      </c>
      <c r="BB28" s="133" t="s">
        <v>293</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329"/>
      <c r="B29" s="330"/>
      <c r="C29" s="330"/>
      <c r="D29" s="330"/>
      <c r="E29" s="330"/>
      <c r="F29" s="330"/>
      <c r="G29" s="330"/>
      <c r="H29" s="330"/>
      <c r="I29" s="333"/>
      <c r="J29" s="333"/>
      <c r="K29" s="336"/>
      <c r="M29" s="318"/>
      <c r="N29" s="319"/>
      <c r="O29" s="319"/>
      <c r="P29" s="319"/>
      <c r="Q29" s="319"/>
      <c r="R29" s="126"/>
      <c r="S29" s="307" t="s">
        <v>308</v>
      </c>
      <c r="T29" s="308"/>
      <c r="U29" s="308"/>
      <c r="V29" s="308"/>
      <c r="W29" s="308"/>
      <c r="X29" s="308"/>
      <c r="Y29" s="308"/>
      <c r="Z29" s="308"/>
      <c r="AA29" s="308"/>
      <c r="AB29" s="308"/>
      <c r="AC29" s="308"/>
      <c r="AD29" s="308"/>
      <c r="AE29" s="309"/>
      <c r="AF29" s="257"/>
      <c r="AG29" s="325" t="e">
        <f>IF(AG18=0,0,M29)</f>
        <v>#DIV/0!</v>
      </c>
      <c r="AH29" s="325"/>
      <c r="AI29" s="325"/>
      <c r="AJ29" s="325"/>
      <c r="AK29" s="326"/>
      <c r="AL29" s="25"/>
      <c r="AM29" s="142"/>
      <c r="AN29" s="264">
        <f>General!H11</f>
        <v>0</v>
      </c>
      <c r="AO29" s="264"/>
      <c r="AP29" s="264"/>
      <c r="AQ29" s="264"/>
      <c r="AR29" s="264"/>
      <c r="AS29" s="264"/>
      <c r="AT29" s="264"/>
      <c r="AU29" s="264"/>
      <c r="AV29" s="264"/>
      <c r="AW29" s="143"/>
      <c r="BA29" s="132" t="e">
        <f>+BA27+BA28</f>
        <v>#N/A</v>
      </c>
      <c r="BB29" s="133" t="s">
        <v>295</v>
      </c>
      <c r="BC29" s="134"/>
      <c r="BD29" s="132" t="e">
        <f>+BD27+BD28</f>
        <v>#N/A</v>
      </c>
      <c r="BE29" s="69"/>
      <c r="BG29" s="266"/>
      <c r="BH29" s="266"/>
      <c r="BI29" s="267"/>
      <c r="BJ29" s="268"/>
      <c r="BK29" s="141">
        <v>103.577</v>
      </c>
    </row>
    <row r="30" spans="1:63" x14ac:dyDescent="0.25">
      <c r="A30" s="272" t="s">
        <v>309</v>
      </c>
      <c r="B30" s="273"/>
      <c r="C30" s="273"/>
      <c r="D30" s="273"/>
      <c r="E30" s="273"/>
      <c r="F30" s="273"/>
      <c r="G30" s="273"/>
      <c r="H30" s="274"/>
      <c r="I30" s="149" t="s">
        <v>265</v>
      </c>
      <c r="J30" s="149"/>
      <c r="K30" s="150"/>
      <c r="M30" s="318"/>
      <c r="N30" s="319"/>
      <c r="O30" s="319"/>
      <c r="P30" s="319"/>
      <c r="Q30" s="319"/>
      <c r="R30" s="126"/>
      <c r="S30" s="320" t="s">
        <v>310</v>
      </c>
      <c r="T30" s="279"/>
      <c r="U30" s="279"/>
      <c r="V30" s="279"/>
      <c r="W30" s="279"/>
      <c r="X30" s="279"/>
      <c r="Y30" s="279"/>
      <c r="Z30" s="279"/>
      <c r="AA30" s="279"/>
      <c r="AB30" s="279"/>
      <c r="AC30" s="279"/>
      <c r="AD30" s="279"/>
      <c r="AE30" s="321"/>
      <c r="AF30" s="322"/>
      <c r="AG30" s="323"/>
      <c r="AH30" s="323"/>
      <c r="AI30" s="323"/>
      <c r="AJ30" s="323"/>
      <c r="AK30" s="324"/>
      <c r="AL30" s="25"/>
      <c r="AM30" s="142"/>
      <c r="AN30" s="12"/>
      <c r="AO30" s="12"/>
      <c r="AP30" s="12"/>
      <c r="AQ30" s="12"/>
      <c r="AR30" s="1" t="s">
        <v>248</v>
      </c>
      <c r="AS30" s="12"/>
      <c r="AT30" s="12"/>
      <c r="AU30" s="12"/>
      <c r="AV30" s="12"/>
      <c r="AW30" s="143"/>
      <c r="BA30" s="132"/>
      <c r="BB30" s="133" t="s">
        <v>297</v>
      </c>
      <c r="BC30" s="134"/>
      <c r="BD30" s="132"/>
      <c r="BE30" s="69"/>
      <c r="BG30" s="137">
        <v>42452.2</v>
      </c>
      <c r="BH30" s="137" t="s">
        <v>312</v>
      </c>
      <c r="BI30" s="137" t="s">
        <v>313</v>
      </c>
      <c r="BJ30" s="137" t="s">
        <v>314</v>
      </c>
      <c r="BK30" s="253">
        <f>BK28-BK29</f>
        <v>-103.577</v>
      </c>
    </row>
    <row r="31" spans="1:63" x14ac:dyDescent="0.25">
      <c r="A31" s="272" t="s">
        <v>315</v>
      </c>
      <c r="B31" s="273"/>
      <c r="C31" s="273"/>
      <c r="D31" s="273"/>
      <c r="E31" s="273"/>
      <c r="F31" s="273"/>
      <c r="G31" s="273"/>
      <c r="H31" s="274"/>
      <c r="I31" s="149" t="s">
        <v>265</v>
      </c>
      <c r="J31" s="149"/>
      <c r="K31" s="150"/>
      <c r="M31" s="305" t="e">
        <f>IF(M30=0,(M27-M28-M29),0)</f>
        <v>#DIV/0!</v>
      </c>
      <c r="N31" s="306"/>
      <c r="O31" s="306"/>
      <c r="P31" s="306"/>
      <c r="Q31" s="306"/>
      <c r="R31" s="126"/>
      <c r="S31" s="307" t="s">
        <v>316</v>
      </c>
      <c r="T31" s="308"/>
      <c r="U31" s="308"/>
      <c r="V31" s="308"/>
      <c r="W31" s="308"/>
      <c r="X31" s="308"/>
      <c r="Y31" s="308"/>
      <c r="Z31" s="308"/>
      <c r="AA31" s="308"/>
      <c r="AB31" s="308"/>
      <c r="AC31" s="308"/>
      <c r="AD31" s="308"/>
      <c r="AE31" s="309"/>
      <c r="AF31" s="257"/>
      <c r="AG31" s="310" t="e">
        <f>IF(AG18=0,0,(IF(M30=0,M31,AG27-AG28-AG29)))</f>
        <v>#DIV/0!</v>
      </c>
      <c r="AH31" s="310"/>
      <c r="AI31" s="310"/>
      <c r="AJ31" s="310"/>
      <c r="AK31" s="311"/>
      <c r="AL31" s="25"/>
      <c r="AM31" s="142"/>
      <c r="AN31" s="25"/>
      <c r="AO31" s="25"/>
      <c r="AP31" s="25"/>
      <c r="AQ31" s="25"/>
      <c r="AR31" s="25"/>
      <c r="AS31" s="25"/>
      <c r="AT31" s="25"/>
      <c r="AU31" s="25"/>
      <c r="AV31" s="25"/>
      <c r="AW31" s="143"/>
      <c r="BA31" s="132" t="e">
        <f>+BA26+BA29+BA30</f>
        <v>#N/A</v>
      </c>
      <c r="BB31" s="133" t="s">
        <v>317</v>
      </c>
      <c r="BC31" s="134"/>
      <c r="BD31" s="132" t="e">
        <f>+BD26+BD29+BD30</f>
        <v>#N/A</v>
      </c>
      <c r="BE31" s="69"/>
      <c r="BG31" s="265"/>
      <c r="BH31" s="265"/>
      <c r="BI31" s="269">
        <f>+BG31-1</f>
        <v>-1</v>
      </c>
      <c r="BJ31" s="265"/>
    </row>
    <row r="32" spans="1:63" x14ac:dyDescent="0.25">
      <c r="A32" s="125" t="s">
        <v>318</v>
      </c>
      <c r="B32" s="48"/>
      <c r="C32" s="48"/>
      <c r="D32" s="48"/>
      <c r="E32" s="48"/>
      <c r="F32" s="48"/>
      <c r="G32" s="48"/>
      <c r="H32" s="148"/>
      <c r="I32" s="149"/>
      <c r="J32" s="149" t="s">
        <v>265</v>
      </c>
      <c r="K32" s="150"/>
      <c r="M32" s="305" t="e">
        <f>+M27-M28</f>
        <v>#DIV/0!</v>
      </c>
      <c r="N32" s="306"/>
      <c r="O32" s="306"/>
      <c r="P32" s="306"/>
      <c r="Q32" s="306"/>
      <c r="R32" s="126"/>
      <c r="S32" s="307" t="s">
        <v>319</v>
      </c>
      <c r="T32" s="308"/>
      <c r="U32" s="308"/>
      <c r="V32" s="308"/>
      <c r="W32" s="308"/>
      <c r="X32" s="308"/>
      <c r="Y32" s="308"/>
      <c r="Z32" s="308"/>
      <c r="AA32" s="308"/>
      <c r="AB32" s="308"/>
      <c r="AC32" s="308"/>
      <c r="AD32" s="308"/>
      <c r="AE32" s="309"/>
      <c r="AF32" s="257"/>
      <c r="AG32" s="310" t="e">
        <f>IF(AG18=0,0,M32)</f>
        <v>#DIV/0!</v>
      </c>
      <c r="AH32" s="310"/>
      <c r="AI32" s="310"/>
      <c r="AJ32" s="310"/>
      <c r="AK32" s="311"/>
      <c r="AL32" s="25"/>
      <c r="AM32" s="142"/>
      <c r="AN32" s="264">
        <f>General!H10</f>
        <v>0</v>
      </c>
      <c r="AO32" s="264"/>
      <c r="AP32" s="264"/>
      <c r="AQ32" s="264"/>
      <c r="AR32" s="264"/>
      <c r="AS32" s="264"/>
      <c r="AT32" s="264"/>
      <c r="AU32" s="264"/>
      <c r="AV32" s="264"/>
      <c r="AW32" s="143"/>
      <c r="BA32" s="132" t="e">
        <f>+BA31-M25</f>
        <v>#N/A</v>
      </c>
      <c r="BB32" s="133" t="s">
        <v>320</v>
      </c>
      <c r="BC32" s="134"/>
      <c r="BD32" s="132" t="e">
        <f>+BD31-AG25</f>
        <v>#N/A</v>
      </c>
      <c r="BE32" s="69"/>
      <c r="BG32" s="152">
        <f>+BG28+0.5</f>
        <v>0.48199999999999998</v>
      </c>
      <c r="BH32" s="145">
        <f>BH31+(BG32-BG31)*(BH33-BH31)/(BG33-BG31)</f>
        <v>0</v>
      </c>
      <c r="BI32" s="153">
        <f>+BG32-1</f>
        <v>-0.51800000000000002</v>
      </c>
      <c r="BJ32" s="154">
        <f>BJ31+(BI32-BI31)*(BJ33-BJ31)/(BI33-BI31)</f>
        <v>0</v>
      </c>
    </row>
    <row r="33" spans="1:62" ht="13.8" thickBot="1" x14ac:dyDescent="0.3">
      <c r="A33" s="125" t="s">
        <v>321</v>
      </c>
      <c r="B33" s="48"/>
      <c r="C33" s="48"/>
      <c r="D33" s="48"/>
      <c r="E33" s="48"/>
      <c r="F33" s="48"/>
      <c r="G33" s="48"/>
      <c r="H33" s="148"/>
      <c r="I33" s="149"/>
      <c r="J33" s="149" t="s">
        <v>265</v>
      </c>
      <c r="K33" s="150"/>
      <c r="M33" s="312"/>
      <c r="N33" s="313"/>
      <c r="O33" s="313"/>
      <c r="P33" s="313"/>
      <c r="Q33" s="313"/>
      <c r="R33" s="314"/>
      <c r="S33" s="315" t="s">
        <v>322</v>
      </c>
      <c r="T33" s="316"/>
      <c r="U33" s="316"/>
      <c r="V33" s="316"/>
      <c r="W33" s="316"/>
      <c r="X33" s="316"/>
      <c r="Y33" s="316"/>
      <c r="Z33" s="316"/>
      <c r="AA33" s="316"/>
      <c r="AB33" s="316"/>
      <c r="AC33" s="316"/>
      <c r="AD33" s="316"/>
      <c r="AE33" s="317"/>
      <c r="AF33" s="257"/>
      <c r="AG33" s="310" t="e">
        <f>+AG27-AG28</f>
        <v>#DIV/0!</v>
      </c>
      <c r="AH33" s="310"/>
      <c r="AI33" s="310"/>
      <c r="AJ33" s="310"/>
      <c r="AK33" s="311"/>
      <c r="AL33" s="25"/>
      <c r="AM33" s="142"/>
      <c r="AN33" s="12"/>
      <c r="AO33" s="12"/>
      <c r="AP33" s="12"/>
      <c r="AQ33" s="12"/>
      <c r="AR33" s="1" t="s">
        <v>247</v>
      </c>
      <c r="AS33" s="12"/>
      <c r="AT33" s="12"/>
      <c r="AU33" s="12"/>
      <c r="AV33" s="12"/>
      <c r="AW33" s="143"/>
      <c r="BG33" s="132">
        <f>BG29+0.5</f>
        <v>0.5</v>
      </c>
      <c r="BH33" s="265"/>
      <c r="BI33" s="151">
        <f>+BG33-1</f>
        <v>-0.5</v>
      </c>
      <c r="BJ33" s="265"/>
    </row>
    <row r="34" spans="1:62" ht="13.8" thickBot="1" x14ac:dyDescent="0.3">
      <c r="A34" s="125" t="s">
        <v>323</v>
      </c>
      <c r="B34" s="48"/>
      <c r="C34" s="48"/>
      <c r="D34" s="48"/>
      <c r="E34" s="48"/>
      <c r="F34" s="48"/>
      <c r="G34" s="48"/>
      <c r="H34" s="148"/>
      <c r="I34" s="155" t="s">
        <v>265</v>
      </c>
      <c r="J34" s="155"/>
      <c r="K34" s="156"/>
      <c r="M34" s="290" t="e">
        <f>IF(M30=0,M31,M27-M28-M29-M30)</f>
        <v>#DIV/0!</v>
      </c>
      <c r="N34" s="291"/>
      <c r="O34" s="291"/>
      <c r="P34" s="291"/>
      <c r="Q34" s="291"/>
      <c r="R34" s="157"/>
      <c r="S34" s="292" t="s">
        <v>324</v>
      </c>
      <c r="T34" s="292"/>
      <c r="U34" s="292"/>
      <c r="V34" s="292"/>
      <c r="W34" s="292"/>
      <c r="X34" s="293"/>
      <c r="Y34" s="294" t="s">
        <v>325</v>
      </c>
      <c r="Z34" s="295"/>
      <c r="AA34" s="295"/>
      <c r="AB34" s="295"/>
      <c r="AC34" s="295"/>
      <c r="AD34" s="295"/>
      <c r="AE34" s="295"/>
      <c r="AF34" s="261"/>
      <c r="AG34" s="296" t="e">
        <f>ABS(+AG32-AG33)</f>
        <v>#DIV/0!</v>
      </c>
      <c r="AH34" s="296"/>
      <c r="AI34" s="296"/>
      <c r="AJ34" s="296"/>
      <c r="AK34" s="297"/>
      <c r="AL34" s="25"/>
      <c r="AM34" s="142"/>
      <c r="AN34" s="25"/>
      <c r="AO34" s="25"/>
      <c r="AP34" s="25"/>
      <c r="AQ34" s="25"/>
      <c r="AR34" s="25"/>
      <c r="AS34" s="25"/>
      <c r="AT34" s="25"/>
      <c r="AU34" s="25"/>
      <c r="AV34" s="25"/>
      <c r="AW34" s="143"/>
      <c r="BB34" s="158" t="s">
        <v>326</v>
      </c>
      <c r="BG34" s="25"/>
      <c r="BH34" s="25"/>
      <c r="BI34" s="25"/>
      <c r="BJ34" s="25"/>
    </row>
    <row r="35" spans="1:62" ht="13.8" thickBot="1" x14ac:dyDescent="0.3">
      <c r="A35" s="125" t="s">
        <v>327</v>
      </c>
      <c r="B35" s="48"/>
      <c r="C35" s="48"/>
      <c r="D35" s="48"/>
      <c r="E35" s="48"/>
      <c r="F35" s="48"/>
      <c r="G35" s="48"/>
      <c r="H35" s="148"/>
      <c r="I35" s="155" t="s">
        <v>265</v>
      </c>
      <c r="J35" s="155"/>
      <c r="K35" s="156"/>
      <c r="M35" s="298"/>
      <c r="N35" s="299"/>
      <c r="O35" s="299"/>
      <c r="P35" s="299"/>
      <c r="Q35" s="299"/>
      <c r="R35" s="159"/>
      <c r="S35" s="300" t="s">
        <v>328</v>
      </c>
      <c r="T35" s="301"/>
      <c r="U35" s="301"/>
      <c r="V35" s="301"/>
      <c r="W35" s="301"/>
      <c r="X35" s="301"/>
      <c r="Y35" s="301"/>
      <c r="Z35" s="301"/>
      <c r="AA35" s="301"/>
      <c r="AB35" s="301"/>
      <c r="AC35" s="301"/>
      <c r="AD35" s="301"/>
      <c r="AE35" s="302"/>
      <c r="AF35" s="259"/>
      <c r="AG35" s="303"/>
      <c r="AH35" s="303"/>
      <c r="AI35" s="303"/>
      <c r="AJ35" s="303"/>
      <c r="AK35" s="304"/>
      <c r="AL35" s="25"/>
      <c r="AM35" s="142"/>
      <c r="AN35" s="264">
        <f>General!AB10</f>
        <v>0</v>
      </c>
      <c r="AO35" s="264"/>
      <c r="AP35" s="264"/>
      <c r="AQ35" s="264"/>
      <c r="AR35" s="264"/>
      <c r="AS35" s="264"/>
      <c r="AT35" s="264"/>
      <c r="AU35" s="264"/>
      <c r="AV35" s="264"/>
      <c r="AW35" s="143"/>
      <c r="BA35" s="160">
        <f>+A8</f>
        <v>0</v>
      </c>
      <c r="BB35" s="161">
        <f>+BB36</f>
        <v>0</v>
      </c>
      <c r="BC35" s="162" t="e">
        <f>BA35+BB35*((BC36-BA36)/BB36)</f>
        <v>#DIV/0!</v>
      </c>
      <c r="BG35" s="163" t="s">
        <v>301</v>
      </c>
      <c r="BH35" s="163" t="s">
        <v>258</v>
      </c>
      <c r="BI35" s="163" t="s">
        <v>279</v>
      </c>
      <c r="BJ35" s="163" t="s">
        <v>254</v>
      </c>
    </row>
    <row r="36" spans="1:62" ht="13.8" thickBot="1" x14ac:dyDescent="0.3">
      <c r="A36" s="272" t="s">
        <v>329</v>
      </c>
      <c r="B36" s="273"/>
      <c r="C36" s="273"/>
      <c r="D36" s="273"/>
      <c r="E36" s="273"/>
      <c r="F36" s="273"/>
      <c r="G36" s="273"/>
      <c r="H36" s="274"/>
      <c r="I36" s="155" t="s">
        <v>265</v>
      </c>
      <c r="J36" s="155"/>
      <c r="K36" s="156"/>
      <c r="M36" s="275" t="e">
        <f>+M34-M35</f>
        <v>#DIV/0!</v>
      </c>
      <c r="N36" s="276"/>
      <c r="O36" s="276"/>
      <c r="P36" s="276"/>
      <c r="Q36" s="276"/>
      <c r="R36" s="159"/>
      <c r="S36" s="277" t="s">
        <v>320</v>
      </c>
      <c r="T36" s="278"/>
      <c r="U36" s="278"/>
      <c r="V36" s="278"/>
      <c r="W36" s="279"/>
      <c r="X36" s="279"/>
      <c r="Y36" s="279"/>
      <c r="Z36" s="279"/>
      <c r="AA36" s="279"/>
      <c r="AB36" s="278"/>
      <c r="AC36" s="278"/>
      <c r="AD36" s="278"/>
      <c r="AE36" s="280"/>
      <c r="AF36" s="259"/>
      <c r="AG36" s="281" t="e">
        <f>+AG34-AG35</f>
        <v>#DIV/0!</v>
      </c>
      <c r="AH36" s="281"/>
      <c r="AI36" s="281"/>
      <c r="AJ36" s="281"/>
      <c r="AK36" s="282"/>
      <c r="AL36" s="25"/>
      <c r="AM36" s="164"/>
      <c r="AN36" s="12"/>
      <c r="AO36" s="12"/>
      <c r="AP36" s="12"/>
      <c r="AQ36" s="12"/>
      <c r="AR36" s="1" t="s">
        <v>330</v>
      </c>
      <c r="AS36" s="12"/>
      <c r="AT36" s="12"/>
      <c r="AU36" s="12"/>
      <c r="AV36" s="12"/>
      <c r="AW36" s="143"/>
      <c r="BA36" s="165">
        <f>+A9</f>
        <v>0</v>
      </c>
      <c r="BB36" s="166">
        <f>+General!M21</f>
        <v>0</v>
      </c>
      <c r="BC36" s="167">
        <f>+E9</f>
        <v>0</v>
      </c>
      <c r="BG36" s="265"/>
      <c r="BH36" s="265"/>
      <c r="BI36" s="270"/>
      <c r="BJ36" s="271"/>
    </row>
    <row r="37" spans="1:62" ht="16.95" customHeight="1" thickBot="1" x14ac:dyDescent="0.3">
      <c r="A37" s="283" t="s">
        <v>380</v>
      </c>
      <c r="B37" s="284"/>
      <c r="C37" s="284"/>
      <c r="D37" s="284"/>
      <c r="E37" s="284"/>
      <c r="F37" s="284"/>
      <c r="G37" s="284"/>
      <c r="H37" s="284"/>
      <c r="I37" s="284"/>
      <c r="J37" s="284"/>
      <c r="K37" s="284"/>
      <c r="L37" s="284"/>
      <c r="M37" s="284"/>
      <c r="N37" s="284"/>
      <c r="O37" s="284"/>
      <c r="P37" s="284"/>
      <c r="Q37" s="284"/>
      <c r="R37" s="284"/>
      <c r="S37" s="284"/>
      <c r="T37" s="284"/>
      <c r="U37" s="284"/>
      <c r="V37" s="284"/>
      <c r="W37" s="286"/>
      <c r="X37" s="286"/>
      <c r="Y37" s="286"/>
      <c r="Z37" s="286"/>
      <c r="AA37" s="286"/>
      <c r="AB37" s="288"/>
      <c r="AC37" s="288"/>
      <c r="AD37" s="288"/>
      <c r="AE37" s="288"/>
      <c r="AF37" s="288"/>
      <c r="AG37" s="288"/>
      <c r="AH37" s="288"/>
      <c r="AI37" s="288"/>
      <c r="AJ37" s="288"/>
      <c r="AK37" s="288"/>
      <c r="AL37" s="288"/>
      <c r="AM37" s="288"/>
      <c r="AN37" s="288"/>
      <c r="AO37" s="288"/>
      <c r="AP37" s="288"/>
      <c r="AQ37" s="288"/>
      <c r="AR37" s="288"/>
      <c r="AS37" s="288"/>
      <c r="AT37" s="288"/>
      <c r="AU37" s="288"/>
      <c r="AV37" s="288"/>
      <c r="AW37" s="288"/>
      <c r="BA37" s="168">
        <f>+A10</f>
        <v>0</v>
      </c>
      <c r="BB37" s="169">
        <f>+BB36</f>
        <v>0</v>
      </c>
      <c r="BC37" s="162"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285"/>
      <c r="B38" s="285"/>
      <c r="C38" s="285"/>
      <c r="D38" s="285"/>
      <c r="E38" s="285"/>
      <c r="F38" s="285"/>
      <c r="G38" s="285"/>
      <c r="H38" s="285"/>
      <c r="I38" s="285"/>
      <c r="J38" s="285"/>
      <c r="K38" s="285"/>
      <c r="L38" s="285"/>
      <c r="M38" s="285"/>
      <c r="N38" s="285"/>
      <c r="O38" s="285"/>
      <c r="P38" s="285"/>
      <c r="Q38" s="285"/>
      <c r="R38" s="285"/>
      <c r="S38" s="285"/>
      <c r="T38" s="285"/>
      <c r="U38" s="285"/>
      <c r="V38" s="285"/>
      <c r="W38" s="287"/>
      <c r="X38" s="287"/>
      <c r="Y38" s="287"/>
      <c r="Z38" s="287"/>
      <c r="AA38" s="287"/>
      <c r="AB38" s="289"/>
      <c r="AC38" s="289"/>
      <c r="AD38" s="289"/>
      <c r="AE38" s="289"/>
      <c r="AF38" s="289"/>
      <c r="AG38" s="289"/>
      <c r="AH38" s="289"/>
      <c r="AI38" s="289"/>
      <c r="AJ38" s="289"/>
      <c r="AK38" s="289"/>
      <c r="AL38" s="289"/>
      <c r="AM38" s="289"/>
      <c r="AN38" s="289"/>
      <c r="AO38" s="289"/>
      <c r="AP38" s="289"/>
      <c r="AQ38" s="289"/>
      <c r="AR38" s="289"/>
      <c r="AS38" s="289"/>
      <c r="AT38" s="289"/>
      <c r="AU38" s="289"/>
      <c r="AV38" s="289"/>
      <c r="AW38" s="289"/>
      <c r="BA38" s="170" t="s">
        <v>331</v>
      </c>
      <c r="BB38" s="171" t="e">
        <f>ROUND((ATAN((BA36-BC36)/BB36)*180/PI()),2)</f>
        <v>#DIV/0!</v>
      </c>
      <c r="BC38" s="172" t="s">
        <v>332</v>
      </c>
      <c r="BG38" s="266"/>
      <c r="BH38" s="266"/>
      <c r="BI38" s="267"/>
      <c r="BJ38" s="268"/>
    </row>
    <row r="39" spans="1:62" ht="13.8" thickBot="1" x14ac:dyDescent="0.3">
      <c r="BA39" s="162" t="e">
        <f>BC39+BB39*((BA40-BC40)/BB40)</f>
        <v>#DIV/0!</v>
      </c>
      <c r="BB39" s="161">
        <f>+BB40</f>
        <v>0</v>
      </c>
      <c r="BC39" s="160">
        <f>+E8</f>
        <v>0</v>
      </c>
      <c r="BG39" s="163" t="s">
        <v>311</v>
      </c>
      <c r="BH39" s="163" t="s">
        <v>312</v>
      </c>
      <c r="BI39" s="163" t="s">
        <v>313</v>
      </c>
      <c r="BJ39" s="163" t="s">
        <v>314</v>
      </c>
    </row>
    <row r="40" spans="1:62" ht="13.8" thickBot="1" x14ac:dyDescent="0.3">
      <c r="BA40" s="167">
        <f>+A9</f>
        <v>0</v>
      </c>
      <c r="BB40" s="166">
        <f>+BB36</f>
        <v>0</v>
      </c>
      <c r="BC40" s="165">
        <f>+E9</f>
        <v>0</v>
      </c>
      <c r="BG40" s="265"/>
      <c r="BH40" s="265"/>
      <c r="BI40" s="269">
        <f>+BG40-1</f>
        <v>-1</v>
      </c>
      <c r="BJ40" s="265"/>
    </row>
    <row r="41" spans="1:62" ht="13.8" thickBot="1" x14ac:dyDescent="0.3">
      <c r="BA41" s="162" t="e">
        <f>BC41+BB41*((BA40-BC40)/BB40)</f>
        <v>#DIV/0!</v>
      </c>
      <c r="BB41" s="169">
        <f>+BB40</f>
        <v>0</v>
      </c>
      <c r="BC41" s="168">
        <f>+E10</f>
        <v>0</v>
      </c>
      <c r="BG41" s="152">
        <f>+BG37+0.5</f>
        <v>0.5</v>
      </c>
      <c r="BH41" s="145">
        <f>BH40+(BG41-BG40)*(BH42-BH40)/(BG42-BG40)</f>
        <v>0</v>
      </c>
      <c r="BI41" s="153">
        <f>+BG41-1</f>
        <v>-0.5</v>
      </c>
      <c r="BJ41" s="154">
        <f>BJ40+(BI41-BI40)*(BJ42-BJ40)/(BI42-BI40)</f>
        <v>0</v>
      </c>
    </row>
    <row r="42" spans="1:62" ht="13.8" thickBot="1" x14ac:dyDescent="0.3">
      <c r="BA42" s="170" t="s">
        <v>331</v>
      </c>
      <c r="BB42" s="171" t="e">
        <f>ROUND((ATAN((BC40-BA40)/BB40)*180/PI()),2)</f>
        <v>#DIV/0!</v>
      </c>
      <c r="BC42" s="172" t="s">
        <v>332</v>
      </c>
      <c r="BG42" s="132">
        <f>BG38+0.5</f>
        <v>0.5</v>
      </c>
      <c r="BH42" s="265"/>
      <c r="BI42" s="151">
        <f>+BG42-1</f>
        <v>-0.5</v>
      </c>
      <c r="BJ42" s="265"/>
    </row>
    <row r="45" spans="1:62" ht="13.8" thickBot="1" x14ac:dyDescent="0.3">
      <c r="BB45" s="158" t="s">
        <v>333</v>
      </c>
    </row>
    <row r="46" spans="1:62" ht="13.8" thickBot="1" x14ac:dyDescent="0.3">
      <c r="BA46" s="160">
        <f>+Z8</f>
        <v>0</v>
      </c>
      <c r="BB46" s="161">
        <f>+BB47</f>
        <v>0</v>
      </c>
      <c r="BC46" s="173" t="e">
        <f>BA46+BB46*((BC47-BA47)/BB47)</f>
        <v>#DIV/0!</v>
      </c>
    </row>
    <row r="47" spans="1:62" ht="13.8" thickBot="1" x14ac:dyDescent="0.3">
      <c r="BA47" s="165">
        <f>+Z9</f>
        <v>0</v>
      </c>
      <c r="BB47" s="166">
        <f>+BB36</f>
        <v>0</v>
      </c>
      <c r="BC47" s="167">
        <f>+AD9</f>
        <v>0</v>
      </c>
    </row>
    <row r="48" spans="1:62" ht="13.8" thickBot="1" x14ac:dyDescent="0.3">
      <c r="BA48" s="168">
        <f>+Z10</f>
        <v>0</v>
      </c>
      <c r="BB48" s="169">
        <f>+BB47</f>
        <v>0</v>
      </c>
      <c r="BC48" s="173" t="e">
        <f>BA48+BB48*((BC47-BA47)/BB47)</f>
        <v>#DIV/0!</v>
      </c>
    </row>
    <row r="49" spans="53:55" ht="13.8" thickBot="1" x14ac:dyDescent="0.3">
      <c r="BA49" s="170" t="s">
        <v>331</v>
      </c>
      <c r="BB49" s="171" t="e">
        <f>ROUND((ATAN((BA47-BC47)/BB47)*180/PI()),2)</f>
        <v>#DIV/0!</v>
      </c>
      <c r="BC49" s="172" t="s">
        <v>332</v>
      </c>
    </row>
    <row r="50" spans="53:55" ht="13.8" thickBot="1" x14ac:dyDescent="0.3">
      <c r="BA50" s="173" t="e">
        <f>BC50+BB50*((BA51-BC51)/BB51)</f>
        <v>#DIV/0!</v>
      </c>
      <c r="BB50" s="161">
        <f>+BB51</f>
        <v>0</v>
      </c>
      <c r="BC50" s="160">
        <f>+AD8</f>
        <v>0</v>
      </c>
    </row>
    <row r="51" spans="53:55" ht="13.8" thickBot="1" x14ac:dyDescent="0.3">
      <c r="BA51" s="167">
        <f>+Z9</f>
        <v>0</v>
      </c>
      <c r="BB51" s="166">
        <f>+BB47</f>
        <v>0</v>
      </c>
      <c r="BC51" s="165">
        <f>+AD9</f>
        <v>0</v>
      </c>
    </row>
    <row r="52" spans="53:55" ht="13.8" thickBot="1" x14ac:dyDescent="0.3">
      <c r="BA52" s="173" t="e">
        <f>BC52+BB52*((BA51-BC51)/BB51)</f>
        <v>#DIV/0!</v>
      </c>
      <c r="BB52" s="169">
        <f>+BB51</f>
        <v>0</v>
      </c>
      <c r="BC52" s="168">
        <f>+AD10</f>
        <v>0</v>
      </c>
    </row>
    <row r="53" spans="53:55" ht="13.8" thickBot="1" x14ac:dyDescent="0.3">
      <c r="BA53" s="170" t="s">
        <v>331</v>
      </c>
      <c r="BB53" s="171" t="e">
        <f>ROUND((ATAN((BC51-BA51)/BB51)*180/PI()),2)</f>
        <v>#DIV/0!</v>
      </c>
      <c r="BC53" s="172" t="s">
        <v>332</v>
      </c>
    </row>
  </sheetData>
  <mergeCells count="229">
    <mergeCell ref="R7:U7"/>
    <mergeCell ref="V7:X7"/>
    <mergeCell ref="Q4:S4"/>
    <mergeCell ref="T4:X4"/>
    <mergeCell ref="Y4:AA4"/>
    <mergeCell ref="AB4:AH4"/>
    <mergeCell ref="AI4:AM4"/>
    <mergeCell ref="AP4:AR4"/>
    <mergeCell ref="A1:P5"/>
    <mergeCell ref="Q1:X1"/>
    <mergeCell ref="Y1:AA1"/>
    <mergeCell ref="AB1:AL1"/>
    <mergeCell ref="AM1:AO1"/>
    <mergeCell ref="AP1:AW1"/>
    <mergeCell ref="Q2:S2"/>
    <mergeCell ref="T2:X2"/>
    <mergeCell ref="Y2:AA2"/>
    <mergeCell ref="AB2:AL2"/>
    <mergeCell ref="AM2:AO2"/>
    <mergeCell ref="AP2:AR2"/>
    <mergeCell ref="AS2:AW2"/>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7:M7"/>
    <mergeCell ref="N7:Q7"/>
    <mergeCell ref="A8:D8"/>
    <mergeCell ref="E8:I8"/>
    <mergeCell ref="J8:M8"/>
    <mergeCell ref="N8:Q8"/>
    <mergeCell ref="R8:U8"/>
    <mergeCell ref="V8:X8"/>
    <mergeCell ref="Z9:AC9"/>
    <mergeCell ref="AD9:AH9"/>
    <mergeCell ref="AI9:AL9"/>
    <mergeCell ref="Z8:AC8"/>
    <mergeCell ref="AD8:AH8"/>
    <mergeCell ref="AI8:AL8"/>
    <mergeCell ref="AM9:AP9"/>
    <mergeCell ref="AQ9:AT9"/>
    <mergeCell ref="AU9:AW9"/>
    <mergeCell ref="A9:D9"/>
    <mergeCell ref="E9:I9"/>
    <mergeCell ref="J9:M9"/>
    <mergeCell ref="N9:Q9"/>
    <mergeCell ref="R9:U9"/>
    <mergeCell ref="V9:X9"/>
    <mergeCell ref="Z10:AC10"/>
    <mergeCell ref="AD10:AH10"/>
    <mergeCell ref="AI10:AL10"/>
    <mergeCell ref="AM10:AP10"/>
    <mergeCell ref="AQ10:AT10"/>
    <mergeCell ref="AU10:AW10"/>
    <mergeCell ref="A10:D10"/>
    <mergeCell ref="E10:I10"/>
    <mergeCell ref="J10:M10"/>
    <mergeCell ref="N10:Q10"/>
    <mergeCell ref="R10:U10"/>
    <mergeCell ref="V10:X10"/>
    <mergeCell ref="A11:AW11"/>
    <mergeCell ref="A12:D12"/>
    <mergeCell ref="E12:H12"/>
    <mergeCell ref="I12:L12"/>
    <mergeCell ref="M12:P12"/>
    <mergeCell ref="R12:X12"/>
    <mergeCell ref="Z12:AC12"/>
    <mergeCell ref="AD12:AG12"/>
    <mergeCell ref="AH12:AK12"/>
    <mergeCell ref="AL12:AO12"/>
    <mergeCell ref="AQ12:AW12"/>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92" t="s">
        <v>218</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+A!Z3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+A!Z4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534" t="str">
        <f>A!B6</f>
        <v>MSL Marine Surveyors And Logistics</v>
      </c>
      <c r="B6" s="535"/>
      <c r="C6" s="535"/>
      <c r="D6" s="535"/>
      <c r="E6" s="535"/>
      <c r="F6" s="535"/>
      <c r="G6" s="535"/>
      <c r="H6" s="535"/>
      <c r="I6" s="535"/>
      <c r="J6" s="535"/>
      <c r="K6" s="535"/>
      <c r="L6" s="535"/>
      <c r="M6" s="535"/>
      <c r="N6" s="535"/>
      <c r="O6" s="535"/>
      <c r="P6" s="535"/>
      <c r="Q6" s="535"/>
      <c r="R6" s="535"/>
      <c r="S6" s="535"/>
      <c r="T6" s="535"/>
      <c r="U6" s="535"/>
      <c r="V6" s="535"/>
      <c r="W6" s="535"/>
      <c r="X6" s="535"/>
      <c r="Y6" s="535"/>
      <c r="Z6" s="535"/>
      <c r="AA6" s="535"/>
      <c r="AB6" s="535"/>
      <c r="AC6" s="535"/>
      <c r="AD6" s="535"/>
      <c r="AE6" s="535"/>
      <c r="AF6" s="535"/>
      <c r="AG6" s="535"/>
      <c r="AH6" s="535"/>
      <c r="AI6" s="535"/>
      <c r="AJ6" s="535"/>
      <c r="AK6" s="535"/>
      <c r="AL6" s="535"/>
      <c r="AM6" s="535"/>
      <c r="AN6" s="535"/>
      <c r="AO6" s="536"/>
    </row>
    <row r="7" spans="1:41" ht="12.75" customHeight="1" x14ac:dyDescent="0.25">
      <c r="A7" s="6"/>
      <c r="B7" s="540" t="s">
        <v>11</v>
      </c>
      <c r="C7" s="540"/>
      <c r="D7" s="540"/>
      <c r="E7" s="540"/>
      <c r="F7" s="540"/>
      <c r="G7" s="540"/>
      <c r="H7" s="540"/>
      <c r="I7" s="540"/>
      <c r="J7" s="540"/>
      <c r="K7" s="540"/>
      <c r="L7" s="540"/>
      <c r="M7" s="540"/>
      <c r="N7" s="540"/>
      <c r="O7" s="540"/>
      <c r="P7" s="540"/>
      <c r="Q7" s="540"/>
      <c r="R7" s="540"/>
      <c r="S7" s="540"/>
      <c r="T7" s="540"/>
      <c r="U7" s="540"/>
      <c r="V7" s="540"/>
      <c r="W7" s="540"/>
      <c r="X7" s="540"/>
      <c r="Y7" s="540"/>
      <c r="Z7" s="540" t="s">
        <v>13</v>
      </c>
      <c r="AA7" s="540"/>
      <c r="AB7" s="540"/>
      <c r="AC7" s="540"/>
      <c r="AD7" s="540"/>
      <c r="AE7" s="540"/>
      <c r="AF7" s="540"/>
      <c r="AG7" s="540"/>
      <c r="AH7" s="540"/>
      <c r="AI7" s="540"/>
      <c r="AJ7" s="540"/>
      <c r="AK7" s="540"/>
      <c r="AL7" s="540"/>
      <c r="AM7" s="540"/>
      <c r="AN7" s="540"/>
      <c r="AO7" s="541"/>
    </row>
    <row r="8" spans="1:41" ht="12.75" customHeight="1" x14ac:dyDescent="0.25">
      <c r="A8" s="534"/>
      <c r="B8" s="535"/>
      <c r="C8" s="535"/>
      <c r="D8" s="535"/>
      <c r="E8" s="535"/>
      <c r="F8" s="591">
        <f>+A!G12</f>
        <v>0</v>
      </c>
      <c r="G8" s="591"/>
      <c r="H8" s="591"/>
      <c r="I8" s="591"/>
      <c r="J8" s="591"/>
      <c r="K8" s="591"/>
      <c r="L8" s="591"/>
      <c r="M8" s="591"/>
      <c r="N8" s="591"/>
      <c r="O8" s="591"/>
      <c r="P8" s="591"/>
      <c r="Q8" s="591"/>
      <c r="R8" s="591"/>
      <c r="S8" s="591"/>
      <c r="T8" s="591"/>
      <c r="U8" s="591"/>
      <c r="V8" s="591"/>
      <c r="W8" s="591"/>
      <c r="X8" s="591"/>
      <c r="Y8" s="591"/>
      <c r="Z8" s="591"/>
      <c r="AA8" s="591"/>
      <c r="AB8" s="591"/>
      <c r="AC8" s="544">
        <f>+A!AG12</f>
        <v>0</v>
      </c>
      <c r="AD8" s="544"/>
      <c r="AE8" s="544"/>
      <c r="AF8" s="544"/>
      <c r="AG8" s="544"/>
      <c r="AH8" s="544"/>
      <c r="AI8" s="544"/>
      <c r="AJ8" s="544"/>
      <c r="AK8" s="544"/>
      <c r="AL8" s="544"/>
      <c r="AM8" s="544"/>
      <c r="AN8" s="544"/>
      <c r="AO8" s="545"/>
    </row>
    <row r="9" spans="1:41" ht="12.75" customHeight="1" x14ac:dyDescent="0.25">
      <c r="A9" s="504" t="s">
        <v>219</v>
      </c>
      <c r="B9" s="498"/>
      <c r="C9" s="498"/>
      <c r="D9" s="498"/>
      <c r="E9" s="498"/>
      <c r="F9" s="498"/>
      <c r="G9" s="498"/>
      <c r="H9" s="498"/>
      <c r="I9" s="498"/>
      <c r="J9" s="498"/>
      <c r="K9" s="498"/>
      <c r="L9" s="498"/>
      <c r="M9" s="498"/>
      <c r="N9" s="498"/>
      <c r="O9" s="498"/>
      <c r="P9" s="498"/>
      <c r="Q9" s="498"/>
      <c r="R9" s="498"/>
      <c r="S9" s="498"/>
      <c r="T9" s="498"/>
      <c r="U9" s="498"/>
      <c r="V9" s="498"/>
      <c r="W9" s="498"/>
      <c r="X9" s="498"/>
      <c r="Y9" s="498"/>
      <c r="Z9" s="498"/>
      <c r="AA9" s="498"/>
      <c r="AB9" s="498"/>
      <c r="AC9" s="498"/>
      <c r="AD9" s="498"/>
      <c r="AE9" s="498"/>
      <c r="AF9" s="498"/>
      <c r="AG9" s="498"/>
      <c r="AH9" s="498"/>
      <c r="AI9" s="498"/>
      <c r="AJ9" s="498"/>
      <c r="AK9" s="498"/>
      <c r="AL9" s="498"/>
      <c r="AM9" s="498"/>
      <c r="AN9" s="498"/>
      <c r="AO9" s="505"/>
    </row>
    <row r="10" spans="1:41" ht="12.75" customHeight="1" x14ac:dyDescent="0.25">
      <c r="A10" s="45"/>
      <c r="AO10" s="30"/>
    </row>
    <row r="11" spans="1:41" ht="12.75" customHeight="1" x14ac:dyDescent="0.25">
      <c r="A11" s="551"/>
      <c r="B11" s="552"/>
      <c r="C11" s="552"/>
      <c r="D11" s="552"/>
      <c r="E11" s="552"/>
      <c r="F11" s="552"/>
      <c r="G11" s="552"/>
      <c r="H11" s="552"/>
      <c r="I11" s="552"/>
      <c r="J11" s="552"/>
      <c r="K11" s="552"/>
      <c r="L11" s="552"/>
      <c r="M11" s="552"/>
      <c r="N11" s="552"/>
      <c r="O11" s="552"/>
      <c r="P11" s="552"/>
      <c r="Q11" s="552"/>
      <c r="R11" s="552"/>
      <c r="S11" s="552"/>
      <c r="T11" s="552"/>
      <c r="U11" s="552"/>
      <c r="V11" s="552"/>
      <c r="W11" s="552"/>
      <c r="X11" s="553"/>
      <c r="Y11" s="689" t="s">
        <v>220</v>
      </c>
      <c r="Z11" s="690"/>
      <c r="AA11" s="690"/>
      <c r="AB11" s="690"/>
      <c r="AC11" s="690"/>
      <c r="AD11" s="690"/>
      <c r="AE11" s="690"/>
      <c r="AF11" s="690"/>
      <c r="AG11" s="691"/>
      <c r="AK11" s="25"/>
      <c r="AL11" s="25"/>
      <c r="AM11" s="25"/>
      <c r="AN11" s="25"/>
      <c r="AO11" s="27"/>
    </row>
    <row r="12" spans="1:41" ht="12.75" customHeight="1" x14ac:dyDescent="0.25">
      <c r="A12" s="551"/>
      <c r="B12" s="552"/>
      <c r="C12" s="552"/>
      <c r="D12" s="552"/>
      <c r="E12" s="552"/>
      <c r="F12" s="552"/>
      <c r="G12" s="552"/>
      <c r="H12" s="552"/>
      <c r="I12" s="552"/>
      <c r="J12" s="552"/>
      <c r="K12" s="552"/>
      <c r="L12" s="552"/>
      <c r="M12" s="552"/>
      <c r="N12" s="552"/>
      <c r="O12" s="552"/>
      <c r="P12" s="552"/>
      <c r="Q12" s="552"/>
      <c r="R12" s="552"/>
      <c r="S12" s="552"/>
      <c r="T12" s="552"/>
      <c r="U12" s="552"/>
      <c r="V12" s="552"/>
      <c r="W12" s="552"/>
      <c r="X12" s="553"/>
      <c r="Y12" s="692"/>
      <c r="Z12" s="693"/>
      <c r="AA12" s="693"/>
      <c r="AB12" s="693"/>
      <c r="AC12" s="693"/>
      <c r="AD12" s="693"/>
      <c r="AE12" s="693"/>
      <c r="AF12" s="693"/>
      <c r="AG12" s="694"/>
      <c r="AK12" s="25"/>
      <c r="AL12" s="25"/>
      <c r="AM12" s="25"/>
      <c r="AN12" s="25"/>
      <c r="AO12" s="27"/>
    </row>
    <row r="13" spans="1:41" ht="12.75" customHeight="1" x14ac:dyDescent="0.25">
      <c r="A13" s="551"/>
      <c r="B13" s="552"/>
      <c r="C13" s="552"/>
      <c r="D13" s="552"/>
      <c r="E13" s="552"/>
      <c r="F13" s="552"/>
      <c r="G13" s="552"/>
      <c r="H13" s="552"/>
      <c r="I13" s="552"/>
      <c r="J13" s="552"/>
      <c r="K13" s="552"/>
      <c r="L13" s="552"/>
      <c r="M13" s="552"/>
      <c r="N13" s="552"/>
      <c r="O13" s="552"/>
      <c r="P13" s="552"/>
      <c r="Q13" s="552"/>
      <c r="R13" s="552"/>
      <c r="S13" s="552"/>
      <c r="T13" s="552"/>
      <c r="U13" s="552"/>
      <c r="V13" s="552"/>
      <c r="W13" s="552"/>
      <c r="X13" s="553"/>
      <c r="Y13" s="684"/>
      <c r="Z13" s="516"/>
      <c r="AA13" s="516"/>
      <c r="AB13" s="516"/>
      <c r="AC13" s="516"/>
      <c r="AD13" s="516"/>
      <c r="AE13" s="516"/>
      <c r="AF13" s="516"/>
      <c r="AG13" s="671"/>
      <c r="AK13" s="25"/>
      <c r="AL13" s="25"/>
      <c r="AM13" s="25"/>
      <c r="AN13" s="25"/>
      <c r="AO13" s="27"/>
    </row>
    <row r="14" spans="1:41" ht="12.75" customHeight="1" x14ac:dyDescent="0.25">
      <c r="A14" s="547" t="s">
        <v>221</v>
      </c>
      <c r="B14" s="548"/>
      <c r="C14" s="548"/>
      <c r="D14" s="548"/>
      <c r="E14" s="548"/>
      <c r="F14" s="548"/>
      <c r="G14" s="548"/>
      <c r="H14" s="548"/>
      <c r="I14" s="548"/>
      <c r="J14" s="548"/>
      <c r="K14" s="548"/>
      <c r="L14" s="548"/>
      <c r="M14" s="548"/>
      <c r="N14" s="548"/>
      <c r="O14" s="548"/>
      <c r="P14" s="548"/>
      <c r="Q14" s="548"/>
      <c r="R14" s="548"/>
      <c r="S14" s="548"/>
      <c r="T14" s="548"/>
      <c r="U14" s="548"/>
      <c r="V14" s="548"/>
      <c r="W14" s="548"/>
      <c r="X14" s="36"/>
      <c r="Y14" s="685" t="e">
        <f>+Draft!M32</f>
        <v>#DIV/0!</v>
      </c>
      <c r="Z14" s="686"/>
      <c r="AA14" s="686"/>
      <c r="AB14" s="686"/>
      <c r="AC14" s="686"/>
      <c r="AD14" s="686"/>
      <c r="AE14" s="686"/>
      <c r="AF14" s="686"/>
      <c r="AG14" s="83"/>
      <c r="AK14" s="25"/>
      <c r="AL14" s="25"/>
      <c r="AM14" s="25"/>
      <c r="AN14" s="25"/>
      <c r="AO14" s="27"/>
    </row>
    <row r="15" spans="1:41" ht="12.75" customHeight="1" x14ac:dyDescent="0.25">
      <c r="A15" s="551"/>
      <c r="B15" s="552"/>
      <c r="C15" s="552"/>
      <c r="D15" s="552"/>
      <c r="E15" s="552"/>
      <c r="F15" s="552"/>
      <c r="G15" s="552"/>
      <c r="H15" s="552"/>
      <c r="I15" s="552"/>
      <c r="J15" s="552"/>
      <c r="K15" s="552"/>
      <c r="L15" s="552"/>
      <c r="M15" s="552"/>
      <c r="N15" s="552"/>
      <c r="O15" s="552"/>
      <c r="P15" s="552"/>
      <c r="Q15" s="552"/>
      <c r="R15" s="552"/>
      <c r="S15" s="552"/>
      <c r="T15" s="552"/>
      <c r="U15" s="552"/>
      <c r="V15" s="552"/>
      <c r="W15" s="552"/>
      <c r="X15" s="25"/>
      <c r="Y15" s="684"/>
      <c r="Z15" s="516"/>
      <c r="AA15" s="516"/>
      <c r="AB15" s="516"/>
      <c r="AC15" s="516"/>
      <c r="AD15" s="516"/>
      <c r="AE15" s="516"/>
      <c r="AF15" s="516"/>
      <c r="AG15" s="671"/>
      <c r="AK15" s="25"/>
      <c r="AL15" s="25"/>
      <c r="AM15" s="25"/>
      <c r="AN15" s="25"/>
      <c r="AO15" s="27"/>
    </row>
    <row r="16" spans="1:41" ht="12.75" customHeight="1" x14ac:dyDescent="0.25">
      <c r="A16" s="547" t="s">
        <v>222</v>
      </c>
      <c r="B16" s="548"/>
      <c r="C16" s="548"/>
      <c r="D16" s="548"/>
      <c r="E16" s="548"/>
      <c r="F16" s="548"/>
      <c r="G16" s="548"/>
      <c r="H16" s="548"/>
      <c r="I16" s="548"/>
      <c r="J16" s="548"/>
      <c r="K16" s="548"/>
      <c r="L16" s="548"/>
      <c r="M16" s="548"/>
      <c r="N16" s="548"/>
      <c r="O16" s="548"/>
      <c r="P16" s="548"/>
      <c r="Q16" s="548"/>
      <c r="R16" s="548"/>
      <c r="S16" s="548"/>
      <c r="T16" s="548"/>
      <c r="U16" s="548"/>
      <c r="V16" s="548"/>
      <c r="W16" s="548"/>
      <c r="X16" s="36"/>
      <c r="Y16" s="685" t="e">
        <f>+Draft!AG33</f>
        <v>#DIV/0!</v>
      </c>
      <c r="Z16" s="686"/>
      <c r="AA16" s="686"/>
      <c r="AB16" s="686"/>
      <c r="AC16" s="686"/>
      <c r="AD16" s="686"/>
      <c r="AE16" s="686"/>
      <c r="AF16" s="686"/>
      <c r="AG16" s="83"/>
      <c r="AK16" s="25"/>
      <c r="AL16" s="25"/>
      <c r="AM16" s="25"/>
      <c r="AN16" s="25"/>
      <c r="AO16" s="27"/>
    </row>
    <row r="17" spans="1:56" ht="12.75" customHeight="1" x14ac:dyDescent="0.25">
      <c r="A17" s="551"/>
      <c r="B17" s="552"/>
      <c r="C17" s="552"/>
      <c r="D17" s="552"/>
      <c r="E17" s="552"/>
      <c r="F17" s="552"/>
      <c r="G17" s="552"/>
      <c r="H17" s="552"/>
      <c r="I17" s="552"/>
      <c r="J17" s="552"/>
      <c r="K17" s="552"/>
      <c r="L17" s="552"/>
      <c r="M17" s="552"/>
      <c r="N17" s="552"/>
      <c r="O17" s="552"/>
      <c r="P17" s="552"/>
      <c r="Q17" s="552"/>
      <c r="R17" s="552"/>
      <c r="S17" s="552"/>
      <c r="T17" s="552"/>
      <c r="U17" s="552"/>
      <c r="V17" s="552"/>
      <c r="W17" s="552"/>
      <c r="X17" s="25"/>
      <c r="Y17" s="684"/>
      <c r="Z17" s="516"/>
      <c r="AA17" s="516"/>
      <c r="AB17" s="516"/>
      <c r="AC17" s="516"/>
      <c r="AD17" s="516"/>
      <c r="AE17" s="516"/>
      <c r="AF17" s="516"/>
      <c r="AG17" s="671"/>
      <c r="AH17" s="358"/>
      <c r="AI17" s="279"/>
      <c r="AJ17" s="279"/>
      <c r="AK17" s="279"/>
      <c r="AL17" s="279"/>
      <c r="AM17" s="279"/>
      <c r="AN17" s="279"/>
      <c r="AO17" s="678"/>
      <c r="AW17" s="358" t="s">
        <v>223</v>
      </c>
      <c r="AX17" s="279"/>
      <c r="AY17" s="279"/>
      <c r="AZ17" s="279"/>
      <c r="BA17" s="279"/>
      <c r="BB17" s="279"/>
      <c r="BC17" s="279"/>
      <c r="BD17" s="678"/>
    </row>
    <row r="18" spans="1:56" ht="12.75" customHeight="1" x14ac:dyDescent="0.25">
      <c r="A18" s="547" t="s">
        <v>224</v>
      </c>
      <c r="B18" s="548"/>
      <c r="C18" s="548"/>
      <c r="D18" s="548"/>
      <c r="E18" s="548"/>
      <c r="F18" s="548"/>
      <c r="G18" s="548"/>
      <c r="H18" s="548"/>
      <c r="I18" s="548"/>
      <c r="J18" s="548"/>
      <c r="K18" s="548"/>
      <c r="L18" s="548"/>
      <c r="M18" s="548"/>
      <c r="N18" s="548"/>
      <c r="O18" s="548"/>
      <c r="P18" s="548"/>
      <c r="Q18" s="548"/>
      <c r="R18" s="548"/>
      <c r="S18" s="548"/>
      <c r="T18" s="548"/>
      <c r="U18" s="548"/>
      <c r="V18" s="548"/>
      <c r="W18" s="548"/>
      <c r="X18" s="84"/>
      <c r="Y18" s="685" t="e">
        <f>ROUND(+Draft!AG34,2)</f>
        <v>#DIV/0!</v>
      </c>
      <c r="Z18" s="686"/>
      <c r="AA18" s="686"/>
      <c r="AB18" s="686"/>
      <c r="AC18" s="686"/>
      <c r="AD18" s="686"/>
      <c r="AE18" s="686"/>
      <c r="AF18" s="686"/>
      <c r="AG18" s="83"/>
      <c r="AH18" s="358"/>
      <c r="AI18" s="279"/>
      <c r="AJ18" s="279"/>
      <c r="AK18" s="279"/>
      <c r="AL18" s="279"/>
      <c r="AM18" s="279"/>
      <c r="AN18" s="279"/>
      <c r="AO18" s="678"/>
      <c r="AW18" s="358" t="s">
        <v>225</v>
      </c>
      <c r="AX18" s="279"/>
      <c r="AY18" s="279"/>
      <c r="AZ18" s="279"/>
      <c r="BA18" s="279"/>
      <c r="BB18" s="279"/>
      <c r="BC18" s="279"/>
      <c r="BD18" s="678"/>
    </row>
    <row r="19" spans="1:56" ht="12.75" customHeight="1" x14ac:dyDescent="0.25">
      <c r="A19" s="551"/>
      <c r="B19" s="552"/>
      <c r="C19" s="552"/>
      <c r="D19" s="552"/>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552"/>
      <c r="AM19" s="552"/>
      <c r="AN19" s="552"/>
      <c r="AO19" s="553"/>
    </row>
    <row r="20" spans="1:56" ht="12.75" customHeight="1" x14ac:dyDescent="0.25">
      <c r="A20" s="23"/>
      <c r="B20" s="532" t="s">
        <v>226</v>
      </c>
      <c r="C20" s="532"/>
      <c r="D20" s="532"/>
      <c r="E20" s="532"/>
      <c r="F20" s="532"/>
      <c r="G20" s="532"/>
      <c r="H20" s="532"/>
      <c r="I20" s="532"/>
      <c r="J20" s="532"/>
      <c r="K20" s="532"/>
      <c r="L20" s="532"/>
      <c r="M20" s="532"/>
      <c r="N20" s="532"/>
      <c r="O20" s="532"/>
      <c r="P20" s="532"/>
      <c r="Q20" s="532"/>
      <c r="R20" s="532"/>
      <c r="S20" s="532"/>
      <c r="T20" s="532"/>
      <c r="U20" s="532"/>
      <c r="V20" s="532"/>
      <c r="W20" s="532"/>
      <c r="X20" s="533"/>
      <c r="Y20" s="687"/>
      <c r="Z20" s="688"/>
      <c r="AA20" s="688"/>
      <c r="AB20" s="688"/>
      <c r="AC20" s="688"/>
      <c r="AD20" s="688"/>
      <c r="AE20" s="688"/>
      <c r="AF20" s="688"/>
      <c r="AG20" s="82"/>
      <c r="AK20" s="25"/>
      <c r="AL20" s="25"/>
      <c r="AM20" s="25"/>
      <c r="AN20" s="25"/>
      <c r="AO20" s="27"/>
    </row>
    <row r="21" spans="1:56" ht="12.75" customHeight="1" x14ac:dyDescent="0.25">
      <c r="A21" s="23"/>
      <c r="B21" s="532" t="s">
        <v>227</v>
      </c>
      <c r="C21" s="532"/>
      <c r="D21" s="532"/>
      <c r="E21" s="532"/>
      <c r="F21" s="532"/>
      <c r="G21" s="532"/>
      <c r="H21" s="532"/>
      <c r="I21" s="532"/>
      <c r="J21" s="532"/>
      <c r="K21" s="532"/>
      <c r="L21" s="532"/>
      <c r="M21" s="532"/>
      <c r="N21" s="532"/>
      <c r="O21" s="532"/>
      <c r="P21" s="532"/>
      <c r="Q21" s="532"/>
      <c r="R21" s="532"/>
      <c r="S21" s="532"/>
      <c r="T21" s="532"/>
      <c r="U21" s="532"/>
      <c r="V21" s="532"/>
      <c r="W21" s="532"/>
      <c r="X21" s="532"/>
      <c r="Y21" s="532"/>
      <c r="Z21" s="532"/>
      <c r="AA21" s="532"/>
      <c r="AB21" s="532"/>
      <c r="AC21" s="532"/>
      <c r="AD21" s="532"/>
      <c r="AE21" s="532"/>
      <c r="AF21" s="532"/>
      <c r="AG21" s="532"/>
      <c r="AH21" s="532"/>
      <c r="AI21" s="532"/>
      <c r="AJ21" s="532"/>
      <c r="AK21" s="532"/>
      <c r="AL21" s="532"/>
      <c r="AM21" s="532"/>
      <c r="AN21" s="532"/>
      <c r="AO21" s="533"/>
    </row>
    <row r="22" spans="1:56" ht="12.75" customHeight="1" x14ac:dyDescent="0.25">
      <c r="A22" s="23"/>
      <c r="B22" s="532" t="s">
        <v>228</v>
      </c>
      <c r="C22" s="532"/>
      <c r="D22" s="532"/>
      <c r="E22" s="532"/>
      <c r="F22" s="532"/>
      <c r="G22" s="532"/>
      <c r="H22" s="532"/>
      <c r="I22" s="532"/>
      <c r="J22" s="532"/>
      <c r="K22" s="532"/>
      <c r="L22" s="532"/>
      <c r="M22" s="532"/>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3"/>
    </row>
    <row r="23" spans="1:56" ht="12.75" customHeight="1" x14ac:dyDescent="0.25">
      <c r="A23" s="23"/>
      <c r="B23" s="532" t="s">
        <v>229</v>
      </c>
      <c r="C23" s="532"/>
      <c r="D23" s="532"/>
      <c r="E23" s="532"/>
      <c r="F23" s="532"/>
      <c r="G23" s="532"/>
      <c r="H23" s="532"/>
      <c r="I23" s="532"/>
      <c r="J23" s="532"/>
      <c r="K23" s="532"/>
      <c r="L23" s="532"/>
      <c r="M23" s="532"/>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3"/>
    </row>
    <row r="24" spans="1:56" ht="12.75" customHeight="1" x14ac:dyDescent="0.25">
      <c r="A24" s="23"/>
      <c r="B24" s="532" t="s">
        <v>230</v>
      </c>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3"/>
    </row>
    <row r="25" spans="1:56" ht="12.75" customHeight="1" x14ac:dyDescent="0.25">
      <c r="A25" s="551"/>
      <c r="B25" s="552"/>
      <c r="C25" s="552"/>
      <c r="D25" s="552"/>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3"/>
    </row>
    <row r="26" spans="1:56" ht="12.75" customHeight="1" x14ac:dyDescent="0.25">
      <c r="A26" s="534"/>
      <c r="B26" s="535"/>
      <c r="C26" s="535"/>
      <c r="D26" s="535"/>
      <c r="E26" s="535"/>
      <c r="F26" s="535"/>
      <c r="G26" s="535"/>
      <c r="H26" s="535"/>
      <c r="I26" s="535"/>
      <c r="J26" s="535"/>
      <c r="K26" s="535"/>
      <c r="L26" s="535"/>
      <c r="M26" s="535"/>
      <c r="N26" s="535"/>
      <c r="O26" s="535"/>
      <c r="P26" s="535"/>
      <c r="Q26" s="535"/>
      <c r="R26" s="535"/>
      <c r="S26" s="535"/>
      <c r="T26" s="535"/>
      <c r="U26" s="535"/>
      <c r="V26" s="535"/>
      <c r="W26" s="535"/>
      <c r="X26" s="535"/>
      <c r="Y26" s="535"/>
      <c r="Z26" s="535"/>
      <c r="AA26" s="535"/>
      <c r="AB26" s="535"/>
      <c r="AC26" s="535"/>
      <c r="AD26" s="535"/>
      <c r="AE26" s="535"/>
      <c r="AF26" s="535"/>
      <c r="AG26" s="535"/>
      <c r="AH26" s="535"/>
      <c r="AI26" s="535"/>
      <c r="AJ26" s="535"/>
      <c r="AK26" s="535"/>
      <c r="AL26" s="535"/>
      <c r="AM26" s="535"/>
      <c r="AN26" s="535"/>
      <c r="AO26" s="536"/>
    </row>
    <row r="27" spans="1:56" ht="12.75" customHeight="1" x14ac:dyDescent="0.25">
      <c r="A27" s="504"/>
      <c r="B27" s="498"/>
      <c r="C27" s="498"/>
      <c r="D27" s="498"/>
      <c r="E27" s="498"/>
      <c r="F27" s="498"/>
      <c r="G27" s="498"/>
      <c r="H27" s="498"/>
      <c r="I27" s="498"/>
      <c r="J27" s="498"/>
      <c r="K27" s="498"/>
      <c r="L27" s="498"/>
      <c r="M27" s="498"/>
      <c r="N27" s="498"/>
      <c r="O27" s="498"/>
      <c r="P27" s="498"/>
      <c r="Q27" s="498"/>
      <c r="R27" s="498"/>
      <c r="S27" s="498"/>
      <c r="T27" s="498"/>
      <c r="U27" s="498"/>
      <c r="V27" s="498"/>
      <c r="W27" s="498"/>
      <c r="X27" s="516" t="s">
        <v>220</v>
      </c>
      <c r="Y27" s="516"/>
      <c r="Z27" s="516"/>
      <c r="AA27" s="516"/>
      <c r="AB27" s="516"/>
      <c r="AC27" s="516"/>
      <c r="AD27" s="516"/>
      <c r="AE27" s="516"/>
      <c r="AF27" s="516"/>
      <c r="AG27" s="516"/>
      <c r="AH27" s="560"/>
      <c r="AI27" s="560"/>
      <c r="AJ27" s="560"/>
      <c r="AK27" s="560"/>
      <c r="AL27" s="560"/>
      <c r="AM27" s="560"/>
      <c r="AN27" s="560"/>
      <c r="AO27" s="561"/>
    </row>
    <row r="28" spans="1:56" ht="12.75" customHeight="1" x14ac:dyDescent="0.25">
      <c r="A28" s="547" t="s">
        <v>231</v>
      </c>
      <c r="B28" s="548"/>
      <c r="C28" s="548"/>
      <c r="D28" s="548"/>
      <c r="E28" s="548"/>
      <c r="F28" s="548"/>
      <c r="G28" s="548"/>
      <c r="H28" s="548"/>
      <c r="I28" s="548"/>
      <c r="J28" s="548"/>
      <c r="K28" s="548"/>
      <c r="L28" s="548"/>
      <c r="M28" s="548"/>
      <c r="N28" s="548"/>
      <c r="O28" s="548"/>
      <c r="P28" s="548"/>
      <c r="Q28" s="548"/>
      <c r="R28" s="548"/>
      <c r="S28" s="548"/>
      <c r="T28" s="548"/>
      <c r="U28" s="548"/>
      <c r="V28" s="548"/>
      <c r="W28" s="681"/>
      <c r="X28" s="597" t="e">
        <f>IF(Y16=0,0,IF(Y14=0,0,IF(Draft!M27&gt;Draft!AG27,Draft!M27,Draft!AG27)))</f>
        <v>#DIV/0!</v>
      </c>
      <c r="Y28" s="596"/>
      <c r="Z28" s="596"/>
      <c r="AA28" s="596"/>
      <c r="AB28" s="596"/>
      <c r="AC28" s="596"/>
      <c r="AD28" s="596"/>
      <c r="AE28" s="596"/>
      <c r="AF28" s="596"/>
      <c r="AG28" s="82"/>
      <c r="AH28" s="367"/>
      <c r="AI28" s="367"/>
      <c r="AJ28" s="367"/>
      <c r="AK28" s="367"/>
      <c r="AL28" s="367"/>
      <c r="AM28" s="367"/>
      <c r="AN28" s="367"/>
      <c r="AO28" s="562"/>
    </row>
    <row r="29" spans="1:56" ht="12.75" customHeight="1" x14ac:dyDescent="0.25">
      <c r="A29" s="547" t="s">
        <v>232</v>
      </c>
      <c r="B29" s="548"/>
      <c r="C29" s="548"/>
      <c r="D29" s="548"/>
      <c r="E29" s="548"/>
      <c r="F29" s="548"/>
      <c r="G29" s="548"/>
      <c r="H29" s="548"/>
      <c r="I29" s="548"/>
      <c r="J29" s="548"/>
      <c r="K29" s="548"/>
      <c r="L29" s="548"/>
      <c r="M29" s="548"/>
      <c r="N29" s="548"/>
      <c r="O29" s="548"/>
      <c r="P29" s="548"/>
      <c r="Q29" s="548"/>
      <c r="R29" s="548"/>
      <c r="S29" s="548"/>
      <c r="T29" s="548"/>
      <c r="U29" s="548"/>
      <c r="V29" s="548"/>
      <c r="W29" s="681"/>
      <c r="X29" s="597" t="e">
        <f>IF(X28=0,0,IF(Draft!M27&gt;Draft!AG27,Draft!G26,Draft!AS26))</f>
        <v>#DIV/0!</v>
      </c>
      <c r="Y29" s="596"/>
      <c r="Z29" s="596"/>
      <c r="AA29" s="596"/>
      <c r="AB29" s="596"/>
      <c r="AC29" s="596"/>
      <c r="AD29" s="596"/>
      <c r="AE29" s="596"/>
      <c r="AF29" s="596"/>
      <c r="AG29" s="82"/>
      <c r="AH29" s="367"/>
      <c r="AI29" s="367"/>
      <c r="AJ29" s="367"/>
      <c r="AK29" s="367"/>
      <c r="AL29" s="367"/>
      <c r="AM29" s="367"/>
      <c r="AN29" s="367"/>
      <c r="AO29" s="562"/>
    </row>
    <row r="30" spans="1:56" ht="12.75" customHeight="1" x14ac:dyDescent="0.25">
      <c r="A30" s="547" t="s">
        <v>233</v>
      </c>
      <c r="B30" s="548"/>
      <c r="C30" s="548"/>
      <c r="D30" s="548"/>
      <c r="E30" s="548"/>
      <c r="F30" s="548"/>
      <c r="G30" s="548"/>
      <c r="H30" s="548"/>
      <c r="I30" s="548"/>
      <c r="J30" s="548"/>
      <c r="K30" s="548"/>
      <c r="L30" s="548"/>
      <c r="M30" s="548"/>
      <c r="N30" s="548"/>
      <c r="O30" s="548"/>
      <c r="P30" s="548"/>
      <c r="Q30" s="548"/>
      <c r="R30" s="548"/>
      <c r="S30" s="548"/>
      <c r="T30" s="548"/>
      <c r="U30" s="548"/>
      <c r="V30" s="548"/>
      <c r="W30" s="681"/>
      <c r="X30" s="597" t="e">
        <f>IF(X29=0,0,+Draft!AG29)</f>
        <v>#DIV/0!</v>
      </c>
      <c r="Y30" s="596"/>
      <c r="Z30" s="596"/>
      <c r="AA30" s="596"/>
      <c r="AB30" s="596"/>
      <c r="AC30" s="596"/>
      <c r="AD30" s="596"/>
      <c r="AE30" s="596"/>
      <c r="AF30" s="596"/>
      <c r="AG30" s="82"/>
      <c r="AH30" s="367"/>
      <c r="AI30" s="367"/>
      <c r="AJ30" s="367"/>
      <c r="AK30" s="367"/>
      <c r="AL30" s="367"/>
      <c r="AM30" s="367"/>
      <c r="AN30" s="367"/>
      <c r="AO30" s="562"/>
    </row>
    <row r="31" spans="1:56" ht="12.75" customHeight="1" x14ac:dyDescent="0.25">
      <c r="A31" s="547" t="s">
        <v>234</v>
      </c>
      <c r="B31" s="548"/>
      <c r="C31" s="548"/>
      <c r="D31" s="548"/>
      <c r="E31" s="548"/>
      <c r="F31" s="548"/>
      <c r="G31" s="548"/>
      <c r="H31" s="548"/>
      <c r="I31" s="548"/>
      <c r="J31" s="548"/>
      <c r="K31" s="548"/>
      <c r="L31" s="548"/>
      <c r="M31" s="548"/>
      <c r="N31" s="548"/>
      <c r="O31" s="548"/>
      <c r="P31" s="548"/>
      <c r="Q31" s="548"/>
      <c r="R31" s="548"/>
      <c r="S31" s="548"/>
      <c r="T31" s="548"/>
      <c r="U31" s="548"/>
      <c r="V31" s="548"/>
      <c r="W31" s="681"/>
      <c r="X31" s="597" t="e">
        <f>IF(X30=0,0,+Draft!AG31)</f>
        <v>#DIV/0!</v>
      </c>
      <c r="Y31" s="596"/>
      <c r="Z31" s="596"/>
      <c r="AA31" s="596"/>
      <c r="AB31" s="596"/>
      <c r="AC31" s="596"/>
      <c r="AD31" s="596"/>
      <c r="AE31" s="596"/>
      <c r="AF31" s="596"/>
      <c r="AG31" s="82"/>
      <c r="AH31" s="367"/>
      <c r="AI31" s="367"/>
      <c r="AJ31" s="367"/>
      <c r="AK31" s="367"/>
      <c r="AL31" s="367"/>
      <c r="AM31" s="367"/>
      <c r="AN31" s="367"/>
      <c r="AO31" s="562"/>
    </row>
    <row r="32" spans="1:56" ht="12.75" customHeight="1" x14ac:dyDescent="0.25">
      <c r="A32" s="547" t="s">
        <v>235</v>
      </c>
      <c r="B32" s="548"/>
      <c r="C32" s="548"/>
      <c r="D32" s="548"/>
      <c r="E32" s="548"/>
      <c r="F32" s="548"/>
      <c r="G32" s="548"/>
      <c r="H32" s="548"/>
      <c r="I32" s="548"/>
      <c r="J32" s="548"/>
      <c r="K32" s="548"/>
      <c r="L32" s="548"/>
      <c r="M32" s="548"/>
      <c r="N32" s="548"/>
      <c r="O32" s="548"/>
      <c r="P32" s="548"/>
      <c r="Q32" s="548"/>
      <c r="R32" s="548"/>
      <c r="S32" s="548"/>
      <c r="T32" s="548"/>
      <c r="U32" s="548"/>
      <c r="V32" s="548"/>
      <c r="W32" s="681"/>
      <c r="X32" s="598"/>
      <c r="Y32" s="596"/>
      <c r="Z32" s="596"/>
      <c r="AA32" s="596"/>
      <c r="AB32" s="596"/>
      <c r="AC32" s="596"/>
      <c r="AD32" s="596"/>
      <c r="AE32" s="596"/>
      <c r="AF32" s="596"/>
      <c r="AG32" s="82"/>
      <c r="AH32" s="367"/>
      <c r="AI32" s="367"/>
      <c r="AJ32" s="367"/>
      <c r="AK32" s="367"/>
      <c r="AL32" s="367"/>
      <c r="AM32" s="367"/>
      <c r="AN32" s="367"/>
      <c r="AO32" s="562"/>
    </row>
    <row r="33" spans="1:41" ht="12.75" customHeight="1" x14ac:dyDescent="0.25">
      <c r="A33" s="358"/>
      <c r="B33" s="279"/>
      <c r="C33" s="279"/>
      <c r="D33" s="279"/>
      <c r="E33" s="279"/>
      <c r="F33" s="279"/>
      <c r="G33" s="279"/>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678"/>
    </row>
    <row r="34" spans="1:41" ht="12.75" customHeight="1" x14ac:dyDescent="0.25">
      <c r="A34" s="358"/>
      <c r="B34" s="279"/>
      <c r="C34" s="279"/>
      <c r="D34" s="279"/>
      <c r="E34" s="279"/>
      <c r="F34" s="279"/>
      <c r="G34" s="279"/>
      <c r="H34" s="279"/>
      <c r="I34" s="279"/>
      <c r="J34" s="279"/>
      <c r="K34" s="279"/>
      <c r="L34" s="279"/>
      <c r="M34" s="279"/>
      <c r="N34" s="279"/>
      <c r="O34" s="279"/>
      <c r="P34" s="279"/>
      <c r="Q34" s="279"/>
      <c r="R34" s="279"/>
      <c r="S34" s="279"/>
      <c r="T34" s="279"/>
      <c r="U34" s="279"/>
      <c r="V34" s="279"/>
      <c r="W34" s="279"/>
      <c r="X34" s="279"/>
      <c r="Y34" s="279"/>
      <c r="Z34" s="279"/>
      <c r="AA34" s="279"/>
      <c r="AB34" s="279"/>
      <c r="AC34" s="279"/>
      <c r="AD34" s="279"/>
      <c r="AE34" s="279"/>
      <c r="AF34" s="279"/>
      <c r="AG34" s="279"/>
      <c r="AH34" s="279"/>
      <c r="AI34" s="279"/>
      <c r="AJ34" s="279"/>
      <c r="AK34" s="279"/>
      <c r="AL34" s="279"/>
      <c r="AM34" s="279"/>
      <c r="AN34" s="279"/>
      <c r="AO34" s="678"/>
    </row>
    <row r="35" spans="1:41" ht="12.75" customHeight="1" x14ac:dyDescent="0.25">
      <c r="A35" s="85"/>
      <c r="B35" s="552" t="s">
        <v>236</v>
      </c>
      <c r="C35" s="552"/>
      <c r="D35" s="552"/>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3"/>
    </row>
    <row r="36" spans="1:41" ht="12.75" customHeight="1" x14ac:dyDescent="0.25">
      <c r="A36" s="682"/>
      <c r="B36" s="679"/>
      <c r="C36" s="679"/>
      <c r="D36" s="679"/>
      <c r="E36" s="679"/>
      <c r="F36" s="679"/>
      <c r="G36" s="679"/>
      <c r="H36" s="679"/>
      <c r="I36" s="679"/>
      <c r="J36" s="679"/>
      <c r="K36" s="679"/>
      <c r="L36" s="679"/>
      <c r="M36" s="679"/>
      <c r="N36" s="679"/>
      <c r="O36" s="679"/>
      <c r="P36" s="679"/>
      <c r="Q36" s="679"/>
      <c r="R36" s="679"/>
      <c r="S36" s="679"/>
      <c r="T36" s="679"/>
      <c r="U36" s="679"/>
      <c r="V36" s="679"/>
      <c r="W36" s="679"/>
      <c r="X36" s="679"/>
      <c r="Y36" s="679"/>
      <c r="Z36" s="679"/>
      <c r="AA36" s="679"/>
      <c r="AB36" s="679"/>
      <c r="AC36" s="679"/>
      <c r="AD36" s="679"/>
      <c r="AE36" s="679"/>
      <c r="AF36" s="679"/>
      <c r="AG36" s="679"/>
      <c r="AH36" s="679"/>
      <c r="AI36" s="679"/>
      <c r="AJ36" s="679"/>
      <c r="AK36" s="679"/>
      <c r="AL36" s="679"/>
      <c r="AM36" s="679"/>
      <c r="AN36" s="679"/>
      <c r="AO36" s="683"/>
    </row>
    <row r="37" spans="1:41" ht="12.75" customHeight="1" x14ac:dyDescent="0.25">
      <c r="A37" s="684"/>
      <c r="B37" s="516"/>
      <c r="C37" s="516"/>
      <c r="D37" s="516"/>
      <c r="E37" s="516"/>
      <c r="F37" s="516"/>
      <c r="G37" s="516"/>
      <c r="H37" s="516"/>
      <c r="I37" s="516"/>
      <c r="J37" s="516"/>
      <c r="K37" s="516"/>
      <c r="L37" s="516"/>
      <c r="M37" s="516"/>
      <c r="N37" s="516"/>
      <c r="O37" s="516"/>
      <c r="P37" s="516"/>
      <c r="Q37" s="516"/>
      <c r="R37" s="516"/>
      <c r="S37" s="516"/>
      <c r="T37" s="516"/>
      <c r="U37" s="516"/>
      <c r="V37" s="516"/>
      <c r="W37" s="516"/>
      <c r="X37" s="516"/>
      <c r="Y37" s="516"/>
      <c r="Z37" s="516"/>
      <c r="AA37" s="516"/>
      <c r="AB37" s="516"/>
      <c r="AC37" s="516"/>
      <c r="AD37" s="516"/>
      <c r="AE37" s="516"/>
      <c r="AF37" s="516"/>
      <c r="AG37" s="516"/>
      <c r="AH37" s="516"/>
      <c r="AI37" s="516"/>
      <c r="AJ37" s="516"/>
      <c r="AK37" s="516"/>
      <c r="AL37" s="516"/>
      <c r="AM37" s="516"/>
      <c r="AN37" s="516"/>
      <c r="AO37" s="671"/>
    </row>
    <row r="38" spans="1:41" ht="12.75" customHeight="1" x14ac:dyDescent="0.25">
      <c r="A38" s="23"/>
      <c r="B38" s="532" t="s">
        <v>237</v>
      </c>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3"/>
    </row>
    <row r="39" spans="1:41" ht="12.75" customHeight="1" x14ac:dyDescent="0.25">
      <c r="A39" s="23"/>
      <c r="B39" s="532" t="s">
        <v>238</v>
      </c>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3"/>
    </row>
    <row r="40" spans="1:41" ht="12.75" customHeight="1" x14ac:dyDescent="0.25">
      <c r="A40" s="23"/>
      <c r="B40" s="532" t="s">
        <v>361</v>
      </c>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c r="AA40" s="532"/>
      <c r="AB40" s="532"/>
      <c r="AC40" s="532"/>
      <c r="AD40" s="532"/>
      <c r="AE40" s="532"/>
      <c r="AF40" s="532"/>
      <c r="AG40" s="532"/>
      <c r="AH40" s="532"/>
      <c r="AI40" s="532"/>
      <c r="AJ40" s="532"/>
      <c r="AK40" s="532"/>
      <c r="AL40" s="532"/>
      <c r="AM40" s="532"/>
      <c r="AN40" s="532"/>
      <c r="AO40" s="533"/>
    </row>
    <row r="41" spans="1:41" ht="12.75" customHeight="1" x14ac:dyDescent="0.25">
      <c r="A41" s="23"/>
      <c r="B41" s="532" t="s">
        <v>239</v>
      </c>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c r="AA41" s="532"/>
      <c r="AB41" s="532"/>
      <c r="AC41" s="532"/>
      <c r="AD41" s="532"/>
      <c r="AE41" s="532"/>
      <c r="AF41" s="532"/>
      <c r="AG41" s="532"/>
      <c r="AH41" s="532"/>
      <c r="AI41" s="532"/>
      <c r="AJ41" s="532"/>
      <c r="AK41" s="532"/>
      <c r="AL41" s="532"/>
      <c r="AM41" s="532"/>
      <c r="AN41" s="532"/>
      <c r="AO41" s="533"/>
    </row>
    <row r="42" spans="1:41" ht="12.75" customHeight="1" x14ac:dyDescent="0.25">
      <c r="A42" s="551"/>
      <c r="B42" s="552"/>
      <c r="C42" s="552"/>
      <c r="D42" s="552"/>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3"/>
    </row>
    <row r="43" spans="1:41" ht="4.5" customHeight="1" x14ac:dyDescent="0.25">
      <c r="A43" s="551"/>
      <c r="B43" s="552"/>
      <c r="C43" s="552"/>
      <c r="D43" s="552"/>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3"/>
    </row>
    <row r="44" spans="1:41" ht="12.75" customHeight="1" x14ac:dyDescent="0.25">
      <c r="A44" s="551"/>
      <c r="B44" s="552"/>
      <c r="C44" s="552"/>
      <c r="D44" s="552"/>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553"/>
    </row>
    <row r="45" spans="1:41" ht="12.75" customHeight="1" x14ac:dyDescent="0.25">
      <c r="A45" s="23"/>
      <c r="B45" s="583" t="s">
        <v>240</v>
      </c>
      <c r="C45" s="583"/>
      <c r="D45" s="583"/>
      <c r="E45" s="583"/>
      <c r="F45" s="583"/>
      <c r="G45" s="583"/>
      <c r="H45" s="583"/>
      <c r="I45" s="583"/>
      <c r="J45" s="583"/>
      <c r="K45" s="583"/>
      <c r="L45" s="583"/>
      <c r="M45" s="583"/>
      <c r="N45" s="583"/>
      <c r="O45" s="583"/>
      <c r="P45" s="583"/>
      <c r="Q45" s="583"/>
      <c r="R45" s="583"/>
      <c r="S45" s="583"/>
      <c r="T45" s="583"/>
      <c r="U45" s="583"/>
      <c r="V45" s="583"/>
      <c r="W45" s="583"/>
      <c r="X45" s="583"/>
      <c r="Y45" s="583"/>
      <c r="Z45" s="583"/>
      <c r="AA45" s="279"/>
      <c r="AB45" s="279"/>
      <c r="AC45" s="279"/>
      <c r="AD45" s="279"/>
      <c r="AE45" s="279"/>
      <c r="AF45" s="279"/>
      <c r="AG45" s="279"/>
      <c r="AH45" s="279"/>
      <c r="AI45" s="279"/>
      <c r="AJ45" s="279"/>
      <c r="AK45" s="279"/>
      <c r="AL45" s="279"/>
      <c r="AM45" s="279"/>
      <c r="AN45" s="279"/>
      <c r="AO45" s="678"/>
    </row>
    <row r="46" spans="1:41" ht="12.75" customHeight="1" x14ac:dyDescent="0.25">
      <c r="A46" s="551"/>
      <c r="B46" s="552"/>
      <c r="C46" s="552"/>
      <c r="D46" s="552"/>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3"/>
    </row>
    <row r="47" spans="1:41" ht="12.75" customHeight="1" x14ac:dyDescent="0.25">
      <c r="A47" s="23"/>
      <c r="B47" s="24" t="s">
        <v>17</v>
      </c>
      <c r="C47" s="535"/>
      <c r="D47" s="535"/>
      <c r="E47" s="535"/>
      <c r="F47" s="535"/>
      <c r="G47" s="535"/>
      <c r="H47" s="535"/>
      <c r="I47" s="535"/>
      <c r="J47" s="535"/>
      <c r="K47" s="535"/>
      <c r="L47" s="535"/>
      <c r="M47" s="535"/>
      <c r="N47" s="535"/>
      <c r="O47" s="367"/>
      <c r="P47" s="367"/>
      <c r="Q47" s="367"/>
      <c r="R47" s="367"/>
      <c r="S47" s="367"/>
      <c r="T47" s="367"/>
      <c r="U47" s="367"/>
      <c r="V47" s="367"/>
      <c r="W47" s="367"/>
      <c r="X47" s="367"/>
      <c r="Y47" s="367"/>
      <c r="Z47" s="367"/>
      <c r="AA47" s="367"/>
      <c r="AB47" s="679" t="str">
        <f>A!B6</f>
        <v>MSL Marine Surveyors And Logistics</v>
      </c>
      <c r="AC47" s="679"/>
      <c r="AD47" s="679"/>
      <c r="AE47" s="679"/>
      <c r="AF47" s="679"/>
      <c r="AG47" s="679"/>
      <c r="AH47" s="679"/>
      <c r="AI47" s="679"/>
      <c r="AJ47" s="679"/>
      <c r="AK47" s="679"/>
      <c r="AL47" s="679"/>
      <c r="AM47" s="679"/>
      <c r="AN47" s="679"/>
      <c r="AO47" s="27"/>
    </row>
    <row r="48" spans="1:41" ht="12.75" customHeight="1" x14ac:dyDescent="0.25">
      <c r="A48" s="23"/>
      <c r="B48" s="601" t="s">
        <v>241</v>
      </c>
      <c r="C48" s="601"/>
      <c r="D48" s="601"/>
      <c r="E48" s="601"/>
      <c r="F48" s="601"/>
      <c r="G48" s="601"/>
      <c r="H48" s="601"/>
      <c r="I48" s="601"/>
      <c r="J48" s="601"/>
      <c r="K48" s="601"/>
      <c r="L48" s="601"/>
      <c r="M48" s="601"/>
      <c r="N48" s="601"/>
      <c r="O48" s="367"/>
      <c r="P48" s="367"/>
      <c r="Q48" s="367"/>
      <c r="R48" s="367"/>
      <c r="S48" s="367"/>
      <c r="T48" s="367"/>
      <c r="U48" s="367"/>
      <c r="V48" s="367"/>
      <c r="W48" s="367"/>
      <c r="X48" s="367"/>
      <c r="Y48" s="367"/>
      <c r="Z48" s="367"/>
      <c r="AA48" s="367"/>
      <c r="AB48" s="367"/>
      <c r="AC48" s="367"/>
      <c r="AD48" s="367"/>
      <c r="AE48" s="367"/>
      <c r="AF48" s="367"/>
      <c r="AG48" s="367"/>
      <c r="AH48" s="367"/>
      <c r="AI48" s="367"/>
      <c r="AJ48" s="367"/>
      <c r="AK48" s="367"/>
      <c r="AL48" s="367"/>
      <c r="AM48" s="367"/>
      <c r="AN48" s="367"/>
      <c r="AO48" s="562"/>
    </row>
    <row r="49" spans="1:41" ht="12.75" customHeight="1" x14ac:dyDescent="0.25">
      <c r="A49" s="551"/>
      <c r="B49" s="552"/>
      <c r="C49" s="552"/>
      <c r="D49" s="552"/>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3"/>
    </row>
    <row r="50" spans="1:41" ht="12.75" customHeight="1" x14ac:dyDescent="0.25">
      <c r="A50" s="23"/>
      <c r="B50" s="532" t="s">
        <v>242</v>
      </c>
      <c r="C50" s="532"/>
      <c r="D50" s="532"/>
      <c r="E50" s="532"/>
      <c r="F50" s="532"/>
      <c r="G50" s="532"/>
      <c r="H50" s="680" t="str">
        <f>CONCATENATE(AB54," - ",AB56," - ",General!AB10)</f>
        <v xml:space="preserve">0 - 0 - </v>
      </c>
      <c r="I50" s="680"/>
      <c r="J50" s="680"/>
      <c r="K50" s="680"/>
      <c r="L50" s="680"/>
      <c r="M50" s="680"/>
      <c r="N50" s="680"/>
      <c r="O50" s="680"/>
      <c r="P50" s="680"/>
      <c r="Q50" s="680"/>
      <c r="R50" s="680"/>
      <c r="S50" s="680"/>
      <c r="T50" s="680"/>
      <c r="U50" s="680"/>
      <c r="V50" s="680"/>
      <c r="W50" s="680"/>
      <c r="X50" s="680"/>
      <c r="Y50" s="680"/>
      <c r="Z50" s="680"/>
      <c r="AA50" s="680"/>
      <c r="AB50" s="680"/>
      <c r="AC50" s="680"/>
      <c r="AD50" s="680"/>
      <c r="AE50" s="680"/>
      <c r="AF50" s="680"/>
      <c r="AG50" s="680"/>
      <c r="AH50" s="680"/>
      <c r="AI50" s="680"/>
      <c r="AJ50" s="680"/>
      <c r="AK50" s="680"/>
      <c r="AL50" s="680"/>
      <c r="AM50" s="680"/>
      <c r="AN50" s="680"/>
      <c r="AO50" s="27"/>
    </row>
    <row r="51" spans="1:41" ht="12.75" customHeight="1" x14ac:dyDescent="0.25">
      <c r="A51" s="676" t="s">
        <v>243</v>
      </c>
      <c r="B51" s="308"/>
      <c r="C51" s="308"/>
      <c r="D51" s="308"/>
      <c r="E51" s="308"/>
      <c r="F51" s="308"/>
      <c r="G51" s="308"/>
      <c r="H51" s="308"/>
      <c r="I51" s="308"/>
      <c r="J51" s="308"/>
      <c r="K51" s="308"/>
      <c r="L51" s="308"/>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677"/>
    </row>
    <row r="52" spans="1:41" ht="12.75" customHeight="1" x14ac:dyDescent="0.25">
      <c r="A52" s="551"/>
      <c r="B52" s="552"/>
      <c r="C52" s="552"/>
      <c r="D52" s="552"/>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553"/>
    </row>
    <row r="53" spans="1:41" ht="12.75" customHeight="1" x14ac:dyDescent="0.25">
      <c r="A53" s="668"/>
      <c r="B53" s="670" t="s">
        <v>244</v>
      </c>
      <c r="C53" s="554"/>
      <c r="D53" s="554"/>
      <c r="E53" s="554"/>
      <c r="F53" s="554"/>
      <c r="G53" s="554"/>
      <c r="H53" s="554"/>
      <c r="I53" s="554"/>
      <c r="J53" s="554"/>
      <c r="K53" s="554"/>
      <c r="L53" s="554"/>
      <c r="M53" s="540" t="s">
        <v>245</v>
      </c>
      <c r="N53" s="540"/>
      <c r="O53" s="540"/>
      <c r="P53" s="540"/>
      <c r="Q53" s="540"/>
      <c r="R53" s="540"/>
      <c r="S53" s="540"/>
      <c r="T53" s="516" t="s">
        <v>246</v>
      </c>
      <c r="U53" s="516"/>
      <c r="V53" s="516"/>
      <c r="W53" s="516"/>
      <c r="X53" s="516"/>
      <c r="Y53" s="516"/>
      <c r="Z53" s="516"/>
      <c r="AA53" s="516"/>
      <c r="AB53" s="516"/>
      <c r="AC53" s="516"/>
      <c r="AD53" s="516"/>
      <c r="AE53" s="516"/>
      <c r="AF53" s="516"/>
      <c r="AG53" s="516"/>
      <c r="AH53" s="516"/>
      <c r="AI53" s="516"/>
      <c r="AJ53" s="516"/>
      <c r="AK53" s="516"/>
      <c r="AL53" s="516"/>
      <c r="AM53" s="516"/>
      <c r="AN53" s="671"/>
      <c r="AO53" s="672"/>
    </row>
    <row r="54" spans="1:41" ht="12.75" customHeight="1" x14ac:dyDescent="0.25">
      <c r="A54" s="668"/>
      <c r="B54" s="551"/>
      <c r="C54" s="552"/>
      <c r="D54" s="552"/>
      <c r="E54" s="552"/>
      <c r="F54" s="552"/>
      <c r="G54" s="552"/>
      <c r="H54" s="552"/>
      <c r="I54" s="552"/>
      <c r="J54" s="552"/>
      <c r="K54" s="552"/>
      <c r="L54" s="552"/>
      <c r="M54" s="674" t="s">
        <v>247</v>
      </c>
      <c r="N54" s="674"/>
      <c r="O54" s="674"/>
      <c r="P54" s="674"/>
      <c r="Q54" s="674"/>
      <c r="R54" s="674"/>
      <c r="S54" s="674"/>
      <c r="AB54">
        <f>+General!H10</f>
        <v>0</v>
      </c>
      <c r="AO54" s="672"/>
    </row>
    <row r="55" spans="1:41" ht="12.75" customHeight="1" x14ac:dyDescent="0.25">
      <c r="A55" s="668"/>
      <c r="B55" s="551"/>
      <c r="C55" s="552"/>
      <c r="D55" s="552"/>
      <c r="E55" s="552"/>
      <c r="F55" s="552"/>
      <c r="G55" s="552"/>
      <c r="H55" s="552"/>
      <c r="I55" s="552"/>
      <c r="J55" s="552"/>
      <c r="K55" s="552"/>
      <c r="L55" s="552"/>
      <c r="M55" s="674"/>
      <c r="N55" s="674"/>
      <c r="O55" s="674"/>
      <c r="P55" s="674"/>
      <c r="Q55" s="674"/>
      <c r="R55" s="674"/>
      <c r="S55" s="674"/>
      <c r="AO55" s="672"/>
    </row>
    <row r="56" spans="1:41" ht="12.75" customHeight="1" x14ac:dyDescent="0.25">
      <c r="A56" s="669"/>
      <c r="B56" s="534"/>
      <c r="C56" s="535"/>
      <c r="D56" s="535"/>
      <c r="E56" s="535"/>
      <c r="F56" s="535"/>
      <c r="G56" s="535"/>
      <c r="H56" s="535"/>
      <c r="I56" s="535"/>
      <c r="J56" s="535"/>
      <c r="K56" s="535"/>
      <c r="L56" s="535"/>
      <c r="M56" s="675" t="s">
        <v>248</v>
      </c>
      <c r="N56" s="675"/>
      <c r="O56" s="675"/>
      <c r="P56" s="675"/>
      <c r="Q56" s="675"/>
      <c r="R56" s="675"/>
      <c r="S56" s="675"/>
      <c r="AB56">
        <f>+General!H11</f>
        <v>0</v>
      </c>
      <c r="AO56" s="673"/>
    </row>
    <row r="57" spans="1:41" ht="12.75" customHeight="1" x14ac:dyDescent="0.25">
      <c r="A57" s="498"/>
      <c r="B57" s="498"/>
      <c r="C57" s="498"/>
      <c r="D57" s="498"/>
      <c r="E57" s="498"/>
      <c r="F57" s="498"/>
      <c r="G57" s="498"/>
      <c r="H57" s="498"/>
      <c r="I57" s="498"/>
      <c r="J57" s="498"/>
      <c r="K57" s="498"/>
      <c r="L57" s="498"/>
      <c r="M57" s="498"/>
      <c r="N57" s="498"/>
      <c r="O57" s="498"/>
      <c r="P57" s="498"/>
      <c r="Q57" s="498"/>
      <c r="R57" s="498"/>
      <c r="S57" s="498"/>
      <c r="T57" s="498"/>
      <c r="U57" s="498"/>
      <c r="V57" s="498"/>
      <c r="W57" s="498"/>
      <c r="X57" s="498"/>
      <c r="Y57" s="498"/>
      <c r="Z57" s="498"/>
      <c r="AA57" s="498"/>
      <c r="AB57" s="498"/>
      <c r="AC57" s="498"/>
      <c r="AD57" s="498"/>
      <c r="AE57" s="498"/>
      <c r="AF57" s="498"/>
      <c r="AG57" s="498"/>
      <c r="AH57" s="498"/>
      <c r="AI57" s="498"/>
      <c r="AJ57" s="498"/>
      <c r="AK57" s="498"/>
      <c r="AL57" s="498"/>
      <c r="AM57" s="498"/>
      <c r="AN57" s="498"/>
      <c r="AO57" s="498"/>
    </row>
    <row r="58" spans="1:41" ht="24.75" customHeight="1" x14ac:dyDescent="0.25">
      <c r="A58" s="308"/>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row>
  </sheetData>
  <mergeCells count="87">
    <mergeCell ref="A1:AO1"/>
    <mergeCell ref="A2:X2"/>
    <mergeCell ref="Y2:AH2"/>
    <mergeCell ref="AI2:AO4"/>
    <mergeCell ref="A3:Y3"/>
    <mergeCell ref="AA3:AH3"/>
    <mergeCell ref="A4:Y4"/>
    <mergeCell ref="AA4:AH4"/>
    <mergeCell ref="B5:AO5"/>
    <mergeCell ref="A6:AO6"/>
    <mergeCell ref="B7:Y7"/>
    <mergeCell ref="Z7:AO7"/>
    <mergeCell ref="A8:E8"/>
    <mergeCell ref="F8:AB8"/>
    <mergeCell ref="AC8:AO8"/>
    <mergeCell ref="A9:AO9"/>
    <mergeCell ref="A11:X13"/>
    <mergeCell ref="Y11:AG12"/>
    <mergeCell ref="Y13:AG13"/>
    <mergeCell ref="A14:W14"/>
    <mergeCell ref="Y14:AF14"/>
    <mergeCell ref="A15:W15"/>
    <mergeCell ref="Y15:AG15"/>
    <mergeCell ref="A16:W16"/>
    <mergeCell ref="Y16:AF16"/>
    <mergeCell ref="A17:W17"/>
    <mergeCell ref="Y17:AG17"/>
    <mergeCell ref="B23:AO23"/>
    <mergeCell ref="AH17:AO17"/>
    <mergeCell ref="AW17:BD17"/>
    <mergeCell ref="A18:W18"/>
    <mergeCell ref="Y18:AF18"/>
    <mergeCell ref="AH18:AO18"/>
    <mergeCell ref="AW18:BD18"/>
    <mergeCell ref="A19:AO19"/>
    <mergeCell ref="B20:X20"/>
    <mergeCell ref="Y20:AF20"/>
    <mergeCell ref="B21:AO21"/>
    <mergeCell ref="B22:AO22"/>
    <mergeCell ref="B24:AO24"/>
    <mergeCell ref="A25:AO26"/>
    <mergeCell ref="A27:W27"/>
    <mergeCell ref="X27:AG27"/>
    <mergeCell ref="AH27:AO32"/>
    <mergeCell ref="A28:W28"/>
    <mergeCell ref="X28:AF28"/>
    <mergeCell ref="A29:W29"/>
    <mergeCell ref="X29:AF29"/>
    <mergeCell ref="A30:W30"/>
    <mergeCell ref="B40:AO40"/>
    <mergeCell ref="X30:AF30"/>
    <mergeCell ref="A31:W31"/>
    <mergeCell ref="X31:AF31"/>
    <mergeCell ref="A32:W32"/>
    <mergeCell ref="X32:AF32"/>
    <mergeCell ref="A33:AO34"/>
    <mergeCell ref="B35:AO35"/>
    <mergeCell ref="A36:AO36"/>
    <mergeCell ref="A37:AO37"/>
    <mergeCell ref="B38:AO38"/>
    <mergeCell ref="B39:AO39"/>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A57:AO57"/>
    <mergeCell ref="A58:AO58"/>
    <mergeCell ref="A52:AO52"/>
    <mergeCell ref="A53:A56"/>
    <mergeCell ref="B53:L53"/>
    <mergeCell ref="M53:S53"/>
    <mergeCell ref="T53:AN53"/>
    <mergeCell ref="AO53:AO56"/>
    <mergeCell ref="B54:L56"/>
    <mergeCell ref="M54:S54"/>
    <mergeCell ref="M55:S55"/>
    <mergeCell ref="M56:S56"/>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92" t="s">
        <v>151</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+A!Z3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+A!Z4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534" t="str">
        <f>A!B6</f>
        <v>MSL Marine Surveyors And Logistics</v>
      </c>
      <c r="B6" s="535"/>
      <c r="C6" s="535"/>
      <c r="D6" s="535"/>
      <c r="E6" s="535"/>
      <c r="F6" s="535"/>
      <c r="G6" s="535"/>
      <c r="H6" s="535"/>
      <c r="I6" s="535"/>
      <c r="J6" s="535"/>
      <c r="K6" s="535"/>
      <c r="L6" s="535"/>
      <c r="M6" s="535"/>
      <c r="N6" s="535"/>
      <c r="O6" s="535"/>
      <c r="P6" s="535"/>
      <c r="Q6" s="535"/>
      <c r="R6" s="535"/>
      <c r="S6" s="535"/>
      <c r="T6" s="535"/>
      <c r="U6" s="535"/>
      <c r="V6" s="535"/>
      <c r="W6" s="535"/>
      <c r="X6" s="535"/>
      <c r="Y6" s="535"/>
      <c r="Z6" s="535"/>
      <c r="AA6" s="535"/>
      <c r="AB6" s="535"/>
      <c r="AC6" s="535"/>
      <c r="AD6" s="535"/>
      <c r="AE6" s="535"/>
      <c r="AF6" s="535"/>
      <c r="AG6" s="535"/>
      <c r="AH6" s="535"/>
      <c r="AI6" s="535"/>
      <c r="AJ6" s="535"/>
      <c r="AK6" s="535"/>
      <c r="AL6" s="535"/>
      <c r="AM6" s="535"/>
      <c r="AN6" s="535"/>
      <c r="AO6" s="536"/>
    </row>
    <row r="7" spans="1:41" ht="12.75" customHeight="1" x14ac:dyDescent="0.25">
      <c r="A7" s="6"/>
      <c r="B7" s="540" t="s">
        <v>11</v>
      </c>
      <c r="C7" s="540"/>
      <c r="D7" s="540"/>
      <c r="E7" s="540"/>
      <c r="F7" s="540"/>
      <c r="G7" s="540"/>
      <c r="H7" s="540"/>
      <c r="I7" s="540"/>
      <c r="J7" s="540"/>
      <c r="K7" s="540"/>
      <c r="L7" s="540"/>
      <c r="M7" s="540"/>
      <c r="N7" s="540"/>
      <c r="O7" s="540"/>
      <c r="P7" s="540"/>
      <c r="Q7" s="540"/>
      <c r="R7" s="540"/>
      <c r="S7" s="540"/>
      <c r="T7" s="540"/>
      <c r="U7" s="540"/>
      <c r="V7" s="540"/>
      <c r="W7" s="540"/>
      <c r="X7" s="540"/>
      <c r="Y7" s="540"/>
      <c r="Z7" s="540" t="s">
        <v>13</v>
      </c>
      <c r="AA7" s="540"/>
      <c r="AB7" s="540"/>
      <c r="AC7" s="540"/>
      <c r="AD7" s="540"/>
      <c r="AE7" s="540"/>
      <c r="AF7" s="540"/>
      <c r="AG7" s="540"/>
      <c r="AH7" s="540"/>
      <c r="AI7" s="540"/>
      <c r="AJ7" s="540"/>
      <c r="AK7" s="540"/>
      <c r="AL7" s="540"/>
      <c r="AM7" s="540"/>
      <c r="AN7" s="540"/>
      <c r="AO7" s="541"/>
    </row>
    <row r="8" spans="1:41" ht="12.75" customHeight="1" x14ac:dyDescent="0.25">
      <c r="A8" s="534"/>
      <c r="B8" s="535"/>
      <c r="C8" s="535"/>
      <c r="D8" s="535"/>
      <c r="E8" s="535"/>
      <c r="F8" s="591">
        <f>+A!G12</f>
        <v>0</v>
      </c>
      <c r="G8" s="591"/>
      <c r="H8" s="591"/>
      <c r="I8" s="591"/>
      <c r="J8" s="591"/>
      <c r="K8" s="591"/>
      <c r="L8" s="591"/>
      <c r="M8" s="591"/>
      <c r="N8" s="591"/>
      <c r="O8" s="591"/>
      <c r="P8" s="591"/>
      <c r="Q8" s="591"/>
      <c r="R8" s="591"/>
      <c r="S8" s="591"/>
      <c r="T8" s="591"/>
      <c r="U8" s="591"/>
      <c r="V8" s="591"/>
      <c r="W8" s="591"/>
      <c r="X8" s="591"/>
      <c r="Y8" s="591"/>
      <c r="Z8" s="591"/>
      <c r="AA8" s="591"/>
      <c r="AB8" s="591"/>
      <c r="AC8" s="544">
        <f>+A!AG12</f>
        <v>0</v>
      </c>
      <c r="AD8" s="544"/>
      <c r="AE8" s="544"/>
      <c r="AF8" s="544"/>
      <c r="AG8" s="544"/>
      <c r="AH8" s="544"/>
      <c r="AI8" s="544"/>
      <c r="AJ8" s="544"/>
      <c r="AK8" s="544"/>
      <c r="AL8" s="544"/>
      <c r="AM8" s="544"/>
      <c r="AN8" s="544"/>
      <c r="AO8" s="545"/>
    </row>
    <row r="9" spans="1:41" ht="12.75" customHeight="1" x14ac:dyDescent="0.25">
      <c r="A9" s="515" t="s">
        <v>152</v>
      </c>
      <c r="B9" s="746"/>
      <c r="C9" s="746"/>
      <c r="D9" s="746"/>
      <c r="E9" s="746"/>
      <c r="F9" s="746"/>
      <c r="G9" s="746"/>
      <c r="H9" s="746"/>
      <c r="I9" s="746"/>
      <c r="J9" s="746"/>
      <c r="K9" s="540" t="s">
        <v>153</v>
      </c>
      <c r="L9" s="540"/>
      <c r="M9" s="540"/>
      <c r="N9" s="540"/>
      <c r="O9" s="516"/>
      <c r="P9" s="516"/>
      <c r="Q9" s="516"/>
      <c r="R9" s="516"/>
      <c r="S9" s="540" t="s">
        <v>154</v>
      </c>
      <c r="T9" s="540"/>
      <c r="U9" s="540"/>
      <c r="V9" s="560"/>
      <c r="W9" s="560"/>
      <c r="X9" s="560"/>
      <c r="Y9" s="560"/>
      <c r="Z9" s="560"/>
      <c r="AA9" s="560"/>
      <c r="AB9" s="540" t="s">
        <v>155</v>
      </c>
      <c r="AC9" s="540"/>
      <c r="AD9" s="560"/>
      <c r="AE9" s="560"/>
      <c r="AF9" s="560"/>
      <c r="AG9" s="560"/>
      <c r="AH9" s="560"/>
      <c r="AI9" s="560"/>
      <c r="AJ9" s="585" t="s">
        <v>156</v>
      </c>
      <c r="AK9" s="585"/>
      <c r="AL9" s="585"/>
      <c r="AM9" s="585"/>
      <c r="AN9" s="585"/>
      <c r="AO9" s="586"/>
    </row>
    <row r="10" spans="1:41" ht="12.75" customHeight="1" x14ac:dyDescent="0.25">
      <c r="A10" s="534"/>
      <c r="B10" s="535"/>
      <c r="C10" s="535"/>
      <c r="D10" s="535"/>
      <c r="E10" s="535"/>
      <c r="F10" s="535"/>
      <c r="G10" s="535"/>
      <c r="H10" s="535"/>
      <c r="I10" s="535"/>
      <c r="J10" s="535"/>
      <c r="K10" s="740">
        <f>Draft!T3</f>
        <v>0</v>
      </c>
      <c r="L10" s="741"/>
      <c r="M10" s="741"/>
      <c r="N10" s="741"/>
      <c r="O10" s="741"/>
      <c r="P10" s="741"/>
      <c r="Q10" s="741"/>
      <c r="R10" s="741"/>
      <c r="S10" s="740">
        <f>Draft!T4</f>
        <v>0</v>
      </c>
      <c r="T10" s="741"/>
      <c r="U10" s="741"/>
      <c r="V10" s="741"/>
      <c r="W10" s="741"/>
      <c r="X10" s="741"/>
      <c r="Y10" s="741"/>
      <c r="Z10" s="741"/>
      <c r="AA10" s="741"/>
      <c r="AB10" s="742">
        <f>+Draft!T2</f>
        <v>0</v>
      </c>
      <c r="AC10" s="742"/>
      <c r="AD10" s="742"/>
      <c r="AE10" s="742"/>
      <c r="AF10" s="742"/>
      <c r="AG10" s="742"/>
      <c r="AH10" s="742"/>
      <c r="AI10" s="742"/>
      <c r="AJ10" s="743">
        <f>+Draft!E13</f>
        <v>0</v>
      </c>
      <c r="AK10" s="743"/>
      <c r="AL10" s="743"/>
      <c r="AM10" s="743"/>
      <c r="AN10" s="744" t="s">
        <v>157</v>
      </c>
      <c r="AO10" s="745"/>
    </row>
    <row r="11" spans="1:41" ht="12.75" customHeight="1" x14ac:dyDescent="0.25">
      <c r="A11" s="684"/>
      <c r="B11" s="516"/>
      <c r="C11" s="516"/>
      <c r="D11" s="516"/>
      <c r="E11" s="516"/>
      <c r="F11" s="516"/>
      <c r="G11" s="516"/>
      <c r="H11" s="671"/>
      <c r="I11" s="737"/>
      <c r="J11" s="738"/>
      <c r="K11" s="738"/>
      <c r="L11" s="738"/>
      <c r="M11" s="739"/>
      <c r="N11" s="737"/>
      <c r="O11" s="738"/>
      <c r="P11" s="738"/>
      <c r="Q11" s="738"/>
      <c r="R11" s="739"/>
      <c r="S11" s="737" t="s">
        <v>158</v>
      </c>
      <c r="T11" s="738"/>
      <c r="U11" s="738"/>
      <c r="V11" s="738"/>
      <c r="W11" s="739"/>
      <c r="X11" s="737" t="s">
        <v>159</v>
      </c>
      <c r="Y11" s="738"/>
      <c r="Z11" s="738"/>
      <c r="AA11" s="738"/>
      <c r="AB11" s="738"/>
      <c r="AC11" s="739"/>
      <c r="AD11" s="737"/>
      <c r="AE11" s="738"/>
      <c r="AF11" s="738"/>
      <c r="AG11" s="738"/>
      <c r="AH11" s="738"/>
      <c r="AI11" s="739"/>
      <c r="AJ11" s="737"/>
      <c r="AK11" s="738"/>
      <c r="AL11" s="738"/>
      <c r="AM11" s="738"/>
      <c r="AN11" s="738"/>
      <c r="AO11" s="739"/>
    </row>
    <row r="12" spans="1:41" ht="12.75" customHeight="1" x14ac:dyDescent="0.25">
      <c r="A12" s="358" t="s">
        <v>160</v>
      </c>
      <c r="B12" s="279"/>
      <c r="C12" s="279"/>
      <c r="D12" s="279"/>
      <c r="E12" s="279"/>
      <c r="F12" s="279"/>
      <c r="G12" s="279"/>
      <c r="H12" s="678"/>
      <c r="I12" s="733" t="s">
        <v>161</v>
      </c>
      <c r="J12" s="734"/>
      <c r="K12" s="734"/>
      <c r="L12" s="734"/>
      <c r="M12" s="735"/>
      <c r="N12" s="733" t="s">
        <v>158</v>
      </c>
      <c r="O12" s="734"/>
      <c r="P12" s="734"/>
      <c r="Q12" s="734"/>
      <c r="R12" s="735"/>
      <c r="S12" s="736" t="s">
        <v>162</v>
      </c>
      <c r="T12" s="734"/>
      <c r="U12" s="734"/>
      <c r="V12" s="734"/>
      <c r="W12" s="735"/>
      <c r="X12" s="551" t="s">
        <v>163</v>
      </c>
      <c r="Y12" s="552"/>
      <c r="Z12" s="552"/>
      <c r="AA12" s="552"/>
      <c r="AB12" s="552"/>
      <c r="AC12" s="553"/>
      <c r="AD12" s="551" t="s">
        <v>164</v>
      </c>
      <c r="AE12" s="552"/>
      <c r="AF12" s="552"/>
      <c r="AG12" s="552"/>
      <c r="AH12" s="552"/>
      <c r="AI12" s="553"/>
      <c r="AJ12" s="551" t="s">
        <v>165</v>
      </c>
      <c r="AK12" s="552"/>
      <c r="AL12" s="552"/>
      <c r="AM12" s="552"/>
      <c r="AN12" s="552"/>
      <c r="AO12" s="553"/>
    </row>
    <row r="13" spans="1:41" ht="12.75" customHeight="1" x14ac:dyDescent="0.25">
      <c r="A13" s="65"/>
      <c r="B13" s="273" t="s">
        <v>166</v>
      </c>
      <c r="C13" s="273"/>
      <c r="D13" s="273"/>
      <c r="E13" s="273"/>
      <c r="F13" s="273"/>
      <c r="G13" s="273"/>
      <c r="H13" s="590"/>
      <c r="I13" s="736" t="s">
        <v>167</v>
      </c>
      <c r="J13" s="734"/>
      <c r="K13" s="734"/>
      <c r="L13" s="734"/>
      <c r="M13" s="735"/>
      <c r="N13" s="736" t="s">
        <v>162</v>
      </c>
      <c r="O13" s="734"/>
      <c r="P13" s="734"/>
      <c r="Q13" s="734"/>
      <c r="R13" s="735"/>
      <c r="S13" s="736" t="s">
        <v>168</v>
      </c>
      <c r="T13" s="734"/>
      <c r="U13" s="734"/>
      <c r="V13" s="734"/>
      <c r="W13" s="735"/>
      <c r="X13" s="551" t="s">
        <v>169</v>
      </c>
      <c r="Y13" s="552"/>
      <c r="Z13" s="552"/>
      <c r="AA13" s="552"/>
      <c r="AB13" s="552"/>
      <c r="AC13" s="553"/>
      <c r="AD13" s="551" t="s">
        <v>170</v>
      </c>
      <c r="AE13" s="552"/>
      <c r="AF13" s="552"/>
      <c r="AG13" s="552"/>
      <c r="AH13" s="552"/>
      <c r="AI13" s="553"/>
      <c r="AJ13" s="551" t="s">
        <v>171</v>
      </c>
      <c r="AK13" s="552"/>
      <c r="AL13" s="552"/>
      <c r="AM13" s="552"/>
      <c r="AN13" s="552"/>
      <c r="AO13" s="553"/>
    </row>
    <row r="14" spans="1:41" ht="12.75" customHeight="1" x14ac:dyDescent="0.25">
      <c r="A14" s="65"/>
      <c r="B14" s="273" t="s">
        <v>172</v>
      </c>
      <c r="C14" s="273"/>
      <c r="D14" s="273"/>
      <c r="E14" s="273"/>
      <c r="F14" s="273"/>
      <c r="G14" s="273"/>
      <c r="H14" s="590"/>
      <c r="I14" s="733" t="s">
        <v>173</v>
      </c>
      <c r="J14" s="734"/>
      <c r="K14" s="734"/>
      <c r="L14" s="734"/>
      <c r="M14" s="735"/>
      <c r="N14" s="733" t="s">
        <v>75</v>
      </c>
      <c r="O14" s="734"/>
      <c r="P14" s="734"/>
      <c r="Q14" s="734"/>
      <c r="R14" s="735"/>
      <c r="S14" s="736" t="s">
        <v>174</v>
      </c>
      <c r="T14" s="734"/>
      <c r="U14" s="734"/>
      <c r="V14" s="734"/>
      <c r="W14" s="735"/>
      <c r="X14" s="551" t="s">
        <v>175</v>
      </c>
      <c r="Y14" s="552"/>
      <c r="Z14" s="552"/>
      <c r="AA14" s="552"/>
      <c r="AB14" s="552"/>
      <c r="AC14" s="553"/>
      <c r="AD14" s="551" t="s">
        <v>176</v>
      </c>
      <c r="AE14" s="552"/>
      <c r="AF14" s="552"/>
      <c r="AG14" s="552"/>
      <c r="AH14" s="552"/>
      <c r="AI14" s="553"/>
      <c r="AJ14" s="551" t="s">
        <v>177</v>
      </c>
      <c r="AK14" s="552"/>
      <c r="AL14" s="552"/>
      <c r="AM14" s="552"/>
      <c r="AN14" s="552"/>
      <c r="AO14" s="553"/>
    </row>
    <row r="15" spans="1:41" ht="12.75" customHeight="1" x14ac:dyDescent="0.25">
      <c r="A15" s="66"/>
      <c r="B15" s="728" t="s">
        <v>178</v>
      </c>
      <c r="C15" s="728"/>
      <c r="D15" s="728"/>
      <c r="E15" s="728"/>
      <c r="F15" s="728"/>
      <c r="G15" s="728"/>
      <c r="H15" s="729"/>
      <c r="I15" s="730" t="s">
        <v>75</v>
      </c>
      <c r="J15" s="731"/>
      <c r="K15" s="731"/>
      <c r="L15" s="731"/>
      <c r="M15" s="732"/>
      <c r="N15" s="730"/>
      <c r="O15" s="731"/>
      <c r="P15" s="731"/>
      <c r="Q15" s="731"/>
      <c r="R15" s="732"/>
      <c r="S15" s="730" t="s">
        <v>75</v>
      </c>
      <c r="T15" s="731"/>
      <c r="U15" s="731"/>
      <c r="V15" s="731"/>
      <c r="W15" s="732"/>
      <c r="X15" s="534" t="s">
        <v>179</v>
      </c>
      <c r="Y15" s="535"/>
      <c r="Z15" s="535"/>
      <c r="AA15" s="535"/>
      <c r="AB15" s="535"/>
      <c r="AC15" s="536"/>
      <c r="AD15" s="534" t="s">
        <v>134</v>
      </c>
      <c r="AE15" s="535"/>
      <c r="AF15" s="535"/>
      <c r="AG15" s="535"/>
      <c r="AH15" s="535"/>
      <c r="AI15" s="536"/>
      <c r="AJ15" s="534" t="s">
        <v>180</v>
      </c>
      <c r="AK15" s="535"/>
      <c r="AL15" s="535"/>
      <c r="AM15" s="535"/>
      <c r="AN15" s="535"/>
      <c r="AO15" s="536"/>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88" t="str">
        <f>+Deductions!A11</f>
        <v>FPT</v>
      </c>
      <c r="C18" s="588"/>
      <c r="D18" s="588"/>
      <c r="E18" s="588"/>
      <c r="F18" s="588"/>
      <c r="G18" s="588"/>
      <c r="H18" s="589"/>
      <c r="I18" s="719">
        <f>+Deductions!D11</f>
        <v>0</v>
      </c>
      <c r="J18" s="720"/>
      <c r="K18" s="720"/>
      <c r="L18" s="720"/>
      <c r="M18" s="721"/>
      <c r="N18" s="719">
        <f>+Deductions!G11</f>
        <v>0</v>
      </c>
      <c r="O18" s="720"/>
      <c r="P18" s="720"/>
      <c r="Q18" s="720"/>
      <c r="R18" s="721"/>
      <c r="S18" s="719"/>
      <c r="T18" s="720"/>
      <c r="U18" s="720"/>
      <c r="V18" s="720"/>
      <c r="W18" s="721"/>
      <c r="X18" s="722">
        <f>+Deductions!J11</f>
        <v>0</v>
      </c>
      <c r="Y18" s="723"/>
      <c r="Z18" s="723"/>
      <c r="AA18" s="723"/>
      <c r="AB18" s="723"/>
      <c r="AC18" s="724"/>
      <c r="AD18" s="725">
        <f>+Deductions!M11</f>
        <v>0</v>
      </c>
      <c r="AE18" s="726"/>
      <c r="AF18" s="726"/>
      <c r="AG18" s="726"/>
      <c r="AH18" s="726"/>
      <c r="AI18" s="727"/>
      <c r="AJ18" s="722">
        <f>+Deductions!P11</f>
        <v>0</v>
      </c>
      <c r="AK18" s="723"/>
      <c r="AL18" s="723"/>
      <c r="AM18" s="723"/>
      <c r="AN18" s="723"/>
      <c r="AO18" s="724"/>
    </row>
    <row r="19" spans="1:41" ht="12.75" customHeight="1" x14ac:dyDescent="0.25">
      <c r="A19" s="65"/>
      <c r="B19" s="532" t="str">
        <f>+Deductions!A12</f>
        <v>WBT 1P</v>
      </c>
      <c r="C19" s="532"/>
      <c r="D19" s="532"/>
      <c r="E19" s="532"/>
      <c r="F19" s="532"/>
      <c r="G19" s="532"/>
      <c r="H19" s="533"/>
      <c r="I19" s="713">
        <f>+Deductions!D12</f>
        <v>0</v>
      </c>
      <c r="J19" s="714"/>
      <c r="K19" s="714"/>
      <c r="L19" s="714"/>
      <c r="M19" s="715"/>
      <c r="N19" s="713">
        <f>+Deductions!G12</f>
        <v>0</v>
      </c>
      <c r="O19" s="714"/>
      <c r="P19" s="714"/>
      <c r="Q19" s="714"/>
      <c r="R19" s="715"/>
      <c r="S19" s="713"/>
      <c r="T19" s="714"/>
      <c r="U19" s="714"/>
      <c r="V19" s="714"/>
      <c r="W19" s="715"/>
      <c r="X19" s="710">
        <f>+Deductions!J12</f>
        <v>0</v>
      </c>
      <c r="Y19" s="711"/>
      <c r="Z19" s="711"/>
      <c r="AA19" s="711"/>
      <c r="AB19" s="711"/>
      <c r="AC19" s="712"/>
      <c r="AD19" s="716">
        <f>+Deductions!M12</f>
        <v>0</v>
      </c>
      <c r="AE19" s="717"/>
      <c r="AF19" s="717"/>
      <c r="AG19" s="717"/>
      <c r="AH19" s="717"/>
      <c r="AI19" s="718"/>
      <c r="AJ19" s="710">
        <f>+Deductions!P12</f>
        <v>0</v>
      </c>
      <c r="AK19" s="711"/>
      <c r="AL19" s="711"/>
      <c r="AM19" s="711"/>
      <c r="AN19" s="711"/>
      <c r="AO19" s="712"/>
    </row>
    <row r="20" spans="1:41" ht="12.75" customHeight="1" x14ac:dyDescent="0.25">
      <c r="A20" s="65"/>
      <c r="B20" s="532" t="str">
        <f>+Deductions!A13</f>
        <v>WBT 1S</v>
      </c>
      <c r="C20" s="532"/>
      <c r="D20" s="532"/>
      <c r="E20" s="532"/>
      <c r="F20" s="532"/>
      <c r="G20" s="532"/>
      <c r="H20" s="533"/>
      <c r="I20" s="713">
        <f>+Deductions!D13</f>
        <v>0</v>
      </c>
      <c r="J20" s="714"/>
      <c r="K20" s="714"/>
      <c r="L20" s="714"/>
      <c r="M20" s="715"/>
      <c r="N20" s="713">
        <f>+Deductions!G13</f>
        <v>0</v>
      </c>
      <c r="O20" s="714"/>
      <c r="P20" s="714"/>
      <c r="Q20" s="714"/>
      <c r="R20" s="715"/>
      <c r="S20" s="713"/>
      <c r="T20" s="714"/>
      <c r="U20" s="714"/>
      <c r="V20" s="714"/>
      <c r="W20" s="715"/>
      <c r="X20" s="710">
        <f>+Deductions!J13</f>
        <v>0</v>
      </c>
      <c r="Y20" s="711"/>
      <c r="Z20" s="711"/>
      <c r="AA20" s="711"/>
      <c r="AB20" s="711"/>
      <c r="AC20" s="712"/>
      <c r="AD20" s="716">
        <f>+Deductions!M13</f>
        <v>0</v>
      </c>
      <c r="AE20" s="717"/>
      <c r="AF20" s="717"/>
      <c r="AG20" s="717"/>
      <c r="AH20" s="717"/>
      <c r="AI20" s="718"/>
      <c r="AJ20" s="710">
        <f>+Deductions!P13</f>
        <v>0</v>
      </c>
      <c r="AK20" s="711"/>
      <c r="AL20" s="711"/>
      <c r="AM20" s="711"/>
      <c r="AN20" s="711"/>
      <c r="AO20" s="712"/>
    </row>
    <row r="21" spans="1:41" ht="12.75" customHeight="1" x14ac:dyDescent="0.25">
      <c r="A21" s="65"/>
      <c r="B21" s="532" t="str">
        <f>+Deductions!A14</f>
        <v>WBT 2P</v>
      </c>
      <c r="C21" s="532"/>
      <c r="D21" s="532"/>
      <c r="E21" s="532"/>
      <c r="F21" s="532"/>
      <c r="G21" s="532"/>
      <c r="H21" s="533"/>
      <c r="I21" s="713">
        <f>+Deductions!D14</f>
        <v>0</v>
      </c>
      <c r="J21" s="714"/>
      <c r="K21" s="714"/>
      <c r="L21" s="714"/>
      <c r="M21" s="715"/>
      <c r="N21" s="713">
        <f>+Deductions!G14</f>
        <v>0</v>
      </c>
      <c r="O21" s="714"/>
      <c r="P21" s="714"/>
      <c r="Q21" s="714"/>
      <c r="R21" s="715"/>
      <c r="S21" s="713"/>
      <c r="T21" s="714"/>
      <c r="U21" s="714"/>
      <c r="V21" s="714"/>
      <c r="W21" s="715"/>
      <c r="X21" s="710">
        <f>+Deductions!J14</f>
        <v>0</v>
      </c>
      <c r="Y21" s="711"/>
      <c r="Z21" s="711"/>
      <c r="AA21" s="711"/>
      <c r="AB21" s="711"/>
      <c r="AC21" s="712"/>
      <c r="AD21" s="716">
        <f>+Deductions!M14</f>
        <v>0</v>
      </c>
      <c r="AE21" s="717"/>
      <c r="AF21" s="717"/>
      <c r="AG21" s="717"/>
      <c r="AH21" s="717"/>
      <c r="AI21" s="718"/>
      <c r="AJ21" s="710">
        <f>+Deductions!P14</f>
        <v>0</v>
      </c>
      <c r="AK21" s="711"/>
      <c r="AL21" s="711"/>
      <c r="AM21" s="711"/>
      <c r="AN21" s="711"/>
      <c r="AO21" s="712"/>
    </row>
    <row r="22" spans="1:41" ht="12.75" customHeight="1" x14ac:dyDescent="0.25">
      <c r="A22" s="65"/>
      <c r="B22" s="532" t="str">
        <f>+Deductions!A15</f>
        <v>WBT 2S</v>
      </c>
      <c r="C22" s="532"/>
      <c r="D22" s="532"/>
      <c r="E22" s="532"/>
      <c r="F22" s="532"/>
      <c r="G22" s="532"/>
      <c r="H22" s="533"/>
      <c r="I22" s="713">
        <f>+Deductions!D15</f>
        <v>0</v>
      </c>
      <c r="J22" s="714"/>
      <c r="K22" s="714"/>
      <c r="L22" s="714"/>
      <c r="M22" s="715"/>
      <c r="N22" s="713">
        <f>+Deductions!G15</f>
        <v>0</v>
      </c>
      <c r="O22" s="714"/>
      <c r="P22" s="714"/>
      <c r="Q22" s="714"/>
      <c r="R22" s="715"/>
      <c r="S22" s="713"/>
      <c r="T22" s="714"/>
      <c r="U22" s="714"/>
      <c r="V22" s="714"/>
      <c r="W22" s="715"/>
      <c r="X22" s="710">
        <f>+Deductions!J15</f>
        <v>0</v>
      </c>
      <c r="Y22" s="711"/>
      <c r="Z22" s="711"/>
      <c r="AA22" s="711"/>
      <c r="AB22" s="711"/>
      <c r="AC22" s="712"/>
      <c r="AD22" s="716">
        <f>+Deductions!M15</f>
        <v>0</v>
      </c>
      <c r="AE22" s="717"/>
      <c r="AF22" s="717"/>
      <c r="AG22" s="717"/>
      <c r="AH22" s="717"/>
      <c r="AI22" s="718"/>
      <c r="AJ22" s="710">
        <f>+Deductions!P15</f>
        <v>0</v>
      </c>
      <c r="AK22" s="711"/>
      <c r="AL22" s="711"/>
      <c r="AM22" s="711"/>
      <c r="AN22" s="711"/>
      <c r="AO22" s="712"/>
    </row>
    <row r="23" spans="1:41" ht="12.75" customHeight="1" x14ac:dyDescent="0.25">
      <c r="A23" s="65"/>
      <c r="B23" s="532" t="str">
        <f>+Deductions!A16</f>
        <v>WBT 3P</v>
      </c>
      <c r="C23" s="532"/>
      <c r="D23" s="532"/>
      <c r="E23" s="532"/>
      <c r="F23" s="532"/>
      <c r="G23" s="532"/>
      <c r="H23" s="533"/>
      <c r="I23" s="713">
        <f>+Deductions!D16</f>
        <v>0</v>
      </c>
      <c r="J23" s="714"/>
      <c r="K23" s="714"/>
      <c r="L23" s="714"/>
      <c r="M23" s="715"/>
      <c r="N23" s="713">
        <f>+Deductions!G16</f>
        <v>0</v>
      </c>
      <c r="O23" s="714"/>
      <c r="P23" s="714"/>
      <c r="Q23" s="714"/>
      <c r="R23" s="715"/>
      <c r="S23" s="713"/>
      <c r="T23" s="714"/>
      <c r="U23" s="714"/>
      <c r="V23" s="714"/>
      <c r="W23" s="715"/>
      <c r="X23" s="710">
        <f>+Deductions!J16</f>
        <v>0</v>
      </c>
      <c r="Y23" s="711"/>
      <c r="Z23" s="711"/>
      <c r="AA23" s="711"/>
      <c r="AB23" s="711"/>
      <c r="AC23" s="712"/>
      <c r="AD23" s="716">
        <f>+Deductions!M16</f>
        <v>0</v>
      </c>
      <c r="AE23" s="717"/>
      <c r="AF23" s="717"/>
      <c r="AG23" s="717"/>
      <c r="AH23" s="717"/>
      <c r="AI23" s="718"/>
      <c r="AJ23" s="710">
        <f>+Deductions!P16</f>
        <v>0</v>
      </c>
      <c r="AK23" s="711"/>
      <c r="AL23" s="711"/>
      <c r="AM23" s="711"/>
      <c r="AN23" s="711"/>
      <c r="AO23" s="712"/>
    </row>
    <row r="24" spans="1:41" ht="12.75" customHeight="1" x14ac:dyDescent="0.25">
      <c r="A24" s="65"/>
      <c r="B24" s="532" t="str">
        <f>+Deductions!A17</f>
        <v>WBT 3S</v>
      </c>
      <c r="C24" s="532"/>
      <c r="D24" s="532"/>
      <c r="E24" s="532"/>
      <c r="F24" s="532"/>
      <c r="G24" s="532"/>
      <c r="H24" s="533"/>
      <c r="I24" s="713">
        <f>+Deductions!D17</f>
        <v>0</v>
      </c>
      <c r="J24" s="714"/>
      <c r="K24" s="714"/>
      <c r="L24" s="714"/>
      <c r="M24" s="715"/>
      <c r="N24" s="713">
        <f>+Deductions!G17</f>
        <v>0</v>
      </c>
      <c r="O24" s="714"/>
      <c r="P24" s="714"/>
      <c r="Q24" s="714"/>
      <c r="R24" s="715"/>
      <c r="S24" s="713"/>
      <c r="T24" s="714"/>
      <c r="U24" s="714"/>
      <c r="V24" s="714"/>
      <c r="W24" s="715"/>
      <c r="X24" s="710">
        <f>+Deductions!J17</f>
        <v>0</v>
      </c>
      <c r="Y24" s="711"/>
      <c r="Z24" s="711"/>
      <c r="AA24" s="711"/>
      <c r="AB24" s="711"/>
      <c r="AC24" s="712"/>
      <c r="AD24" s="716">
        <f>+Deductions!M17</f>
        <v>0</v>
      </c>
      <c r="AE24" s="717"/>
      <c r="AF24" s="717"/>
      <c r="AG24" s="717"/>
      <c r="AH24" s="717"/>
      <c r="AI24" s="718"/>
      <c r="AJ24" s="710">
        <f>+Deductions!P17</f>
        <v>0</v>
      </c>
      <c r="AK24" s="711"/>
      <c r="AL24" s="711"/>
      <c r="AM24" s="711"/>
      <c r="AN24" s="711"/>
      <c r="AO24" s="712"/>
    </row>
    <row r="25" spans="1:41" ht="12.75" customHeight="1" x14ac:dyDescent="0.25">
      <c r="A25" s="65"/>
      <c r="B25" s="532" t="str">
        <f>+Deductions!A18</f>
        <v>WBT 4P</v>
      </c>
      <c r="C25" s="532"/>
      <c r="D25" s="532"/>
      <c r="E25" s="532"/>
      <c r="F25" s="532"/>
      <c r="G25" s="532"/>
      <c r="H25" s="533"/>
      <c r="I25" s="713">
        <f>+Deductions!D18</f>
        <v>0</v>
      </c>
      <c r="J25" s="714"/>
      <c r="K25" s="714"/>
      <c r="L25" s="714"/>
      <c r="M25" s="715"/>
      <c r="N25" s="713">
        <f>+Deductions!G18</f>
        <v>0</v>
      </c>
      <c r="O25" s="714"/>
      <c r="P25" s="714"/>
      <c r="Q25" s="714"/>
      <c r="R25" s="715"/>
      <c r="S25" s="713"/>
      <c r="T25" s="714"/>
      <c r="U25" s="714"/>
      <c r="V25" s="714"/>
      <c r="W25" s="715"/>
      <c r="X25" s="710">
        <f>+Deductions!J18</f>
        <v>0</v>
      </c>
      <c r="Y25" s="711"/>
      <c r="Z25" s="711"/>
      <c r="AA25" s="711"/>
      <c r="AB25" s="711"/>
      <c r="AC25" s="712"/>
      <c r="AD25" s="716">
        <f>+Deductions!M18</f>
        <v>0</v>
      </c>
      <c r="AE25" s="717"/>
      <c r="AF25" s="717"/>
      <c r="AG25" s="717"/>
      <c r="AH25" s="717"/>
      <c r="AI25" s="718"/>
      <c r="AJ25" s="710">
        <f>+Deductions!P18</f>
        <v>0</v>
      </c>
      <c r="AK25" s="711"/>
      <c r="AL25" s="711"/>
      <c r="AM25" s="711"/>
      <c r="AN25" s="711"/>
      <c r="AO25" s="712"/>
    </row>
    <row r="26" spans="1:41" ht="12.75" customHeight="1" x14ac:dyDescent="0.25">
      <c r="A26" s="65"/>
      <c r="B26" s="532" t="str">
        <f>+Deductions!A19</f>
        <v>WBT 4S</v>
      </c>
      <c r="C26" s="532"/>
      <c r="D26" s="532"/>
      <c r="E26" s="532"/>
      <c r="F26" s="532"/>
      <c r="G26" s="532"/>
      <c r="H26" s="533"/>
      <c r="I26" s="713">
        <f>+Deductions!D19</f>
        <v>0</v>
      </c>
      <c r="J26" s="714"/>
      <c r="K26" s="714"/>
      <c r="L26" s="714"/>
      <c r="M26" s="715"/>
      <c r="N26" s="713">
        <f>+Deductions!G19</f>
        <v>0</v>
      </c>
      <c r="O26" s="714"/>
      <c r="P26" s="714"/>
      <c r="Q26" s="714"/>
      <c r="R26" s="715"/>
      <c r="S26" s="713"/>
      <c r="T26" s="714"/>
      <c r="U26" s="714"/>
      <c r="V26" s="714"/>
      <c r="W26" s="715"/>
      <c r="X26" s="710">
        <f>+Deductions!J19</f>
        <v>0</v>
      </c>
      <c r="Y26" s="711"/>
      <c r="Z26" s="711"/>
      <c r="AA26" s="711"/>
      <c r="AB26" s="711"/>
      <c r="AC26" s="712"/>
      <c r="AD26" s="716">
        <f>+Deductions!M19</f>
        <v>0</v>
      </c>
      <c r="AE26" s="717"/>
      <c r="AF26" s="717"/>
      <c r="AG26" s="717"/>
      <c r="AH26" s="717"/>
      <c r="AI26" s="718"/>
      <c r="AJ26" s="710">
        <f>+Deductions!P19</f>
        <v>0</v>
      </c>
      <c r="AK26" s="711"/>
      <c r="AL26" s="711"/>
      <c r="AM26" s="711"/>
      <c r="AN26" s="711"/>
      <c r="AO26" s="712"/>
    </row>
    <row r="27" spans="1:41" ht="12.75" customHeight="1" x14ac:dyDescent="0.25">
      <c r="A27" s="65"/>
      <c r="B27" s="532" t="str">
        <f>+Deductions!A20</f>
        <v>WBT 5P</v>
      </c>
      <c r="C27" s="532"/>
      <c r="D27" s="532"/>
      <c r="E27" s="532"/>
      <c r="F27" s="532"/>
      <c r="G27" s="532"/>
      <c r="H27" s="533"/>
      <c r="I27" s="713">
        <f>+Deductions!D20</f>
        <v>0</v>
      </c>
      <c r="J27" s="714"/>
      <c r="K27" s="714"/>
      <c r="L27" s="714"/>
      <c r="M27" s="715"/>
      <c r="N27" s="713">
        <f>+Deductions!G20</f>
        <v>0</v>
      </c>
      <c r="O27" s="714"/>
      <c r="P27" s="714"/>
      <c r="Q27" s="714"/>
      <c r="R27" s="715"/>
      <c r="S27" s="713"/>
      <c r="T27" s="714"/>
      <c r="U27" s="714"/>
      <c r="V27" s="714"/>
      <c r="W27" s="715"/>
      <c r="X27" s="710">
        <f>+Deductions!J20</f>
        <v>0</v>
      </c>
      <c r="Y27" s="711"/>
      <c r="Z27" s="711"/>
      <c r="AA27" s="711"/>
      <c r="AB27" s="711"/>
      <c r="AC27" s="712"/>
      <c r="AD27" s="716">
        <f>+Deductions!M20</f>
        <v>0</v>
      </c>
      <c r="AE27" s="717"/>
      <c r="AF27" s="717"/>
      <c r="AG27" s="717"/>
      <c r="AH27" s="717"/>
      <c r="AI27" s="718"/>
      <c r="AJ27" s="710">
        <f>+Deductions!P20</f>
        <v>0</v>
      </c>
      <c r="AK27" s="711"/>
      <c r="AL27" s="711"/>
      <c r="AM27" s="711"/>
      <c r="AN27" s="711"/>
      <c r="AO27" s="712"/>
    </row>
    <row r="28" spans="1:41" ht="12.75" customHeight="1" x14ac:dyDescent="0.25">
      <c r="A28" s="65"/>
      <c r="B28" s="532" t="str">
        <f>+Deductions!A21</f>
        <v>WBT 5S</v>
      </c>
      <c r="C28" s="532"/>
      <c r="D28" s="532"/>
      <c r="E28" s="532"/>
      <c r="F28" s="532"/>
      <c r="G28" s="532"/>
      <c r="H28" s="533"/>
      <c r="I28" s="713">
        <f>+Deductions!D21</f>
        <v>0</v>
      </c>
      <c r="J28" s="714"/>
      <c r="K28" s="714"/>
      <c r="L28" s="714"/>
      <c r="M28" s="715"/>
      <c r="N28" s="713">
        <f>+Deductions!G21</f>
        <v>0</v>
      </c>
      <c r="O28" s="714"/>
      <c r="P28" s="714"/>
      <c r="Q28" s="714"/>
      <c r="R28" s="715"/>
      <c r="S28" s="713"/>
      <c r="T28" s="714"/>
      <c r="U28" s="714"/>
      <c r="V28" s="714"/>
      <c r="W28" s="715"/>
      <c r="X28" s="710">
        <f>+Deductions!J21</f>
        <v>0</v>
      </c>
      <c r="Y28" s="711"/>
      <c r="Z28" s="711"/>
      <c r="AA28" s="711"/>
      <c r="AB28" s="711"/>
      <c r="AC28" s="712"/>
      <c r="AD28" s="716">
        <f>+Deductions!M21</f>
        <v>0</v>
      </c>
      <c r="AE28" s="717"/>
      <c r="AF28" s="717"/>
      <c r="AG28" s="717"/>
      <c r="AH28" s="717"/>
      <c r="AI28" s="718"/>
      <c r="AJ28" s="710">
        <f>+Deductions!P21</f>
        <v>0</v>
      </c>
      <c r="AK28" s="711"/>
      <c r="AL28" s="711"/>
      <c r="AM28" s="711"/>
      <c r="AN28" s="711"/>
      <c r="AO28" s="712"/>
    </row>
    <row r="29" spans="1:41" ht="12.75" customHeight="1" x14ac:dyDescent="0.25">
      <c r="A29" s="65"/>
      <c r="B29" s="532" t="str">
        <f>+Deductions!A22</f>
        <v>APT</v>
      </c>
      <c r="C29" s="532"/>
      <c r="D29" s="532"/>
      <c r="E29" s="532"/>
      <c r="F29" s="532"/>
      <c r="G29" s="532"/>
      <c r="H29" s="533"/>
      <c r="I29" s="713">
        <f>+Deductions!D22</f>
        <v>0</v>
      </c>
      <c r="J29" s="714"/>
      <c r="K29" s="714"/>
      <c r="L29" s="714"/>
      <c r="M29" s="715"/>
      <c r="N29" s="713">
        <f>+Deductions!G22</f>
        <v>0</v>
      </c>
      <c r="O29" s="714"/>
      <c r="P29" s="714"/>
      <c r="Q29" s="714"/>
      <c r="R29" s="715"/>
      <c r="S29" s="713"/>
      <c r="T29" s="714"/>
      <c r="U29" s="714"/>
      <c r="V29" s="714"/>
      <c r="W29" s="715"/>
      <c r="X29" s="710">
        <f>+Deductions!J22</f>
        <v>0</v>
      </c>
      <c r="Y29" s="711"/>
      <c r="Z29" s="711"/>
      <c r="AA29" s="711"/>
      <c r="AB29" s="711"/>
      <c r="AC29" s="712"/>
      <c r="AD29" s="716">
        <f>+Deductions!M22</f>
        <v>0</v>
      </c>
      <c r="AE29" s="717"/>
      <c r="AF29" s="717"/>
      <c r="AG29" s="717"/>
      <c r="AH29" s="717"/>
      <c r="AI29" s="718"/>
      <c r="AJ29" s="710">
        <f>+Deductions!P22</f>
        <v>0</v>
      </c>
      <c r="AK29" s="711"/>
      <c r="AL29" s="711"/>
      <c r="AM29" s="711"/>
      <c r="AN29" s="711"/>
      <c r="AO29" s="712"/>
    </row>
    <row r="30" spans="1:41" ht="12.75" customHeight="1" x14ac:dyDescent="0.25">
      <c r="A30" s="65"/>
      <c r="B30" s="532" t="str">
        <f>+Deductions!A23</f>
        <v>SLOP TANK</v>
      </c>
      <c r="C30" s="532"/>
      <c r="D30" s="532"/>
      <c r="E30" s="532"/>
      <c r="F30" s="532"/>
      <c r="G30" s="532"/>
      <c r="H30" s="533"/>
      <c r="I30" s="713">
        <f>+Deductions!D23</f>
        <v>0</v>
      </c>
      <c r="J30" s="714"/>
      <c r="K30" s="714"/>
      <c r="L30" s="714"/>
      <c r="M30" s="715"/>
      <c r="N30" s="713">
        <f>+Deductions!G23</f>
        <v>0</v>
      </c>
      <c r="O30" s="714"/>
      <c r="P30" s="714"/>
      <c r="Q30" s="714"/>
      <c r="R30" s="715"/>
      <c r="S30" s="713"/>
      <c r="T30" s="714"/>
      <c r="U30" s="714"/>
      <c r="V30" s="714"/>
      <c r="W30" s="715"/>
      <c r="X30" s="710">
        <f>+Deductions!J23</f>
        <v>0</v>
      </c>
      <c r="Y30" s="711"/>
      <c r="Z30" s="711"/>
      <c r="AA30" s="711"/>
      <c r="AB30" s="711"/>
      <c r="AC30" s="712"/>
      <c r="AD30" s="716">
        <f>+Deductions!M23</f>
        <v>0</v>
      </c>
      <c r="AE30" s="717"/>
      <c r="AF30" s="717"/>
      <c r="AG30" s="717"/>
      <c r="AH30" s="717"/>
      <c r="AI30" s="718"/>
      <c r="AJ30" s="710">
        <f>+Deductions!P23</f>
        <v>0</v>
      </c>
      <c r="AK30" s="711"/>
      <c r="AL30" s="711"/>
      <c r="AM30" s="711"/>
      <c r="AN30" s="711"/>
      <c r="AO30" s="712"/>
    </row>
    <row r="31" spans="1:41" ht="12.75" customHeight="1" x14ac:dyDescent="0.25">
      <c r="A31" s="65"/>
      <c r="B31" s="532" t="str">
        <f>+Deductions!A24</f>
        <v>FW WASH</v>
      </c>
      <c r="C31" s="532"/>
      <c r="D31" s="532"/>
      <c r="E31" s="532"/>
      <c r="F31" s="532"/>
      <c r="G31" s="532"/>
      <c r="H31" s="533"/>
      <c r="I31" s="713">
        <f>+Deductions!D24</f>
        <v>0</v>
      </c>
      <c r="J31" s="714"/>
      <c r="K31" s="714"/>
      <c r="L31" s="714"/>
      <c r="M31" s="715"/>
      <c r="N31" s="713">
        <f>+Deductions!G24</f>
        <v>0</v>
      </c>
      <c r="O31" s="714"/>
      <c r="P31" s="714"/>
      <c r="Q31" s="714"/>
      <c r="R31" s="715"/>
      <c r="S31" s="713"/>
      <c r="T31" s="714"/>
      <c r="U31" s="714"/>
      <c r="V31" s="714"/>
      <c r="W31" s="715"/>
      <c r="X31" s="710">
        <f>+Deductions!J24</f>
        <v>0</v>
      </c>
      <c r="Y31" s="711"/>
      <c r="Z31" s="711"/>
      <c r="AA31" s="711"/>
      <c r="AB31" s="711"/>
      <c r="AC31" s="712"/>
      <c r="AD31" s="716">
        <f>+Deductions!M24</f>
        <v>0</v>
      </c>
      <c r="AE31" s="717"/>
      <c r="AF31" s="717"/>
      <c r="AG31" s="717"/>
      <c r="AH31" s="717"/>
      <c r="AI31" s="718"/>
      <c r="AJ31" s="710">
        <f>+Deductions!P24</f>
        <v>0</v>
      </c>
      <c r="AK31" s="711"/>
      <c r="AL31" s="711"/>
      <c r="AM31" s="711"/>
      <c r="AN31" s="711"/>
      <c r="AO31" s="712"/>
    </row>
    <row r="32" spans="1:41" ht="12.75" customHeight="1" x14ac:dyDescent="0.25">
      <c r="A32" s="65"/>
      <c r="B32" s="532">
        <f>+Deductions!A25</f>
        <v>0</v>
      </c>
      <c r="C32" s="532"/>
      <c r="D32" s="532"/>
      <c r="E32" s="532"/>
      <c r="F32" s="532"/>
      <c r="G32" s="532"/>
      <c r="H32" s="533"/>
      <c r="I32" s="713">
        <f>+Deductions!D25</f>
        <v>0</v>
      </c>
      <c r="J32" s="714"/>
      <c r="K32" s="714"/>
      <c r="L32" s="714"/>
      <c r="M32" s="715"/>
      <c r="N32" s="713">
        <f>+Deductions!G25</f>
        <v>0</v>
      </c>
      <c r="O32" s="714"/>
      <c r="P32" s="714"/>
      <c r="Q32" s="714"/>
      <c r="R32" s="715"/>
      <c r="S32" s="713"/>
      <c r="T32" s="714"/>
      <c r="U32" s="714"/>
      <c r="V32" s="714"/>
      <c r="W32" s="715"/>
      <c r="X32" s="710">
        <f>+Deductions!J25</f>
        <v>0</v>
      </c>
      <c r="Y32" s="711"/>
      <c r="Z32" s="711"/>
      <c r="AA32" s="711"/>
      <c r="AB32" s="711"/>
      <c r="AC32" s="712"/>
      <c r="AD32" s="716">
        <f>+Deductions!M25</f>
        <v>0</v>
      </c>
      <c r="AE32" s="717"/>
      <c r="AF32" s="717"/>
      <c r="AG32" s="717"/>
      <c r="AH32" s="717"/>
      <c r="AI32" s="718"/>
      <c r="AJ32" s="710">
        <f>+Deductions!P25</f>
        <v>0</v>
      </c>
      <c r="AK32" s="711"/>
      <c r="AL32" s="711"/>
      <c r="AM32" s="711"/>
      <c r="AN32" s="711"/>
      <c r="AO32" s="712"/>
    </row>
    <row r="33" spans="1:41" ht="12.75" customHeight="1" x14ac:dyDescent="0.25">
      <c r="A33" s="65"/>
      <c r="B33" s="532">
        <f>+Deductions!A26</f>
        <v>0</v>
      </c>
      <c r="C33" s="532"/>
      <c r="D33" s="532"/>
      <c r="E33" s="532"/>
      <c r="F33" s="532"/>
      <c r="G33" s="532"/>
      <c r="H33" s="533"/>
      <c r="I33" s="713">
        <f>+Deductions!D26</f>
        <v>0</v>
      </c>
      <c r="J33" s="714"/>
      <c r="K33" s="714"/>
      <c r="L33" s="714"/>
      <c r="M33" s="715"/>
      <c r="N33" s="713">
        <f>+Deductions!G26</f>
        <v>0</v>
      </c>
      <c r="O33" s="714"/>
      <c r="P33" s="714"/>
      <c r="Q33" s="714"/>
      <c r="R33" s="715"/>
      <c r="S33" s="713"/>
      <c r="T33" s="714"/>
      <c r="U33" s="714"/>
      <c r="V33" s="714"/>
      <c r="W33" s="715"/>
      <c r="X33" s="710">
        <f>+Deductions!J26</f>
        <v>0</v>
      </c>
      <c r="Y33" s="711"/>
      <c r="Z33" s="711"/>
      <c r="AA33" s="711"/>
      <c r="AB33" s="711"/>
      <c r="AC33" s="712"/>
      <c r="AD33" s="716">
        <f>+Deductions!M26</f>
        <v>0</v>
      </c>
      <c r="AE33" s="717"/>
      <c r="AF33" s="717"/>
      <c r="AG33" s="717"/>
      <c r="AH33" s="717"/>
      <c r="AI33" s="718"/>
      <c r="AJ33" s="710">
        <f>+Deductions!P26</f>
        <v>0</v>
      </c>
      <c r="AK33" s="711"/>
      <c r="AL33" s="711"/>
      <c r="AM33" s="711"/>
      <c r="AN33" s="711"/>
      <c r="AO33" s="712"/>
    </row>
    <row r="34" spans="1:41" ht="12.75" customHeight="1" x14ac:dyDescent="0.25">
      <c r="A34" s="65"/>
      <c r="B34" s="532">
        <f>+Deductions!A27</f>
        <v>0</v>
      </c>
      <c r="C34" s="532"/>
      <c r="D34" s="532"/>
      <c r="E34" s="532"/>
      <c r="F34" s="532"/>
      <c r="G34" s="532"/>
      <c r="H34" s="533"/>
      <c r="I34" s="713">
        <f>+Deductions!D27</f>
        <v>0</v>
      </c>
      <c r="J34" s="714"/>
      <c r="K34" s="714"/>
      <c r="L34" s="714"/>
      <c r="M34" s="715"/>
      <c r="N34" s="713">
        <f>+Deductions!G27</f>
        <v>0</v>
      </c>
      <c r="O34" s="714"/>
      <c r="P34" s="714"/>
      <c r="Q34" s="714"/>
      <c r="R34" s="715"/>
      <c r="S34" s="713"/>
      <c r="T34" s="714"/>
      <c r="U34" s="714"/>
      <c r="V34" s="714"/>
      <c r="W34" s="715"/>
      <c r="X34" s="710">
        <f>+Deductions!J27</f>
        <v>0</v>
      </c>
      <c r="Y34" s="711"/>
      <c r="Z34" s="711"/>
      <c r="AA34" s="711"/>
      <c r="AB34" s="711"/>
      <c r="AC34" s="712"/>
      <c r="AD34" s="716">
        <f>+Deductions!M27</f>
        <v>0</v>
      </c>
      <c r="AE34" s="717"/>
      <c r="AF34" s="717"/>
      <c r="AG34" s="717"/>
      <c r="AH34" s="717"/>
      <c r="AI34" s="718"/>
      <c r="AJ34" s="710">
        <f>+Deductions!P27</f>
        <v>0</v>
      </c>
      <c r="AK34" s="711"/>
      <c r="AL34" s="711"/>
      <c r="AM34" s="711"/>
      <c r="AN34" s="711"/>
      <c r="AO34" s="712"/>
    </row>
    <row r="35" spans="1:41" ht="12.75" customHeight="1" x14ac:dyDescent="0.25">
      <c r="A35" s="65"/>
      <c r="B35" s="532">
        <f>+Deductions!A28</f>
        <v>0</v>
      </c>
      <c r="C35" s="532"/>
      <c r="D35" s="532"/>
      <c r="E35" s="532"/>
      <c r="F35" s="532"/>
      <c r="G35" s="532"/>
      <c r="H35" s="533"/>
      <c r="I35" s="713">
        <f>+Deductions!D28</f>
        <v>0</v>
      </c>
      <c r="J35" s="714"/>
      <c r="K35" s="714"/>
      <c r="L35" s="714"/>
      <c r="M35" s="715"/>
      <c r="N35" s="713">
        <f>+Deductions!G28</f>
        <v>0</v>
      </c>
      <c r="O35" s="714"/>
      <c r="P35" s="714"/>
      <c r="Q35" s="714"/>
      <c r="R35" s="715"/>
      <c r="S35" s="713"/>
      <c r="T35" s="714"/>
      <c r="U35" s="714"/>
      <c r="V35" s="714"/>
      <c r="W35" s="715"/>
      <c r="X35" s="710">
        <f>+Deductions!J28</f>
        <v>0</v>
      </c>
      <c r="Y35" s="711"/>
      <c r="Z35" s="711"/>
      <c r="AA35" s="711"/>
      <c r="AB35" s="711"/>
      <c r="AC35" s="712"/>
      <c r="AD35" s="716">
        <f>+Deductions!M28</f>
        <v>0</v>
      </c>
      <c r="AE35" s="717"/>
      <c r="AF35" s="717"/>
      <c r="AG35" s="717"/>
      <c r="AH35" s="717"/>
      <c r="AI35" s="718"/>
      <c r="AJ35" s="710">
        <f>+Deductions!P28</f>
        <v>0</v>
      </c>
      <c r="AK35" s="711"/>
      <c r="AL35" s="711"/>
      <c r="AM35" s="711"/>
      <c r="AN35" s="711"/>
      <c r="AO35" s="712"/>
    </row>
    <row r="36" spans="1:41" ht="12.75" customHeight="1" x14ac:dyDescent="0.25">
      <c r="A36" s="65"/>
      <c r="B36" s="532">
        <f>+Deductions!A29</f>
        <v>0</v>
      </c>
      <c r="C36" s="532"/>
      <c r="D36" s="532"/>
      <c r="E36" s="532"/>
      <c r="F36" s="532"/>
      <c r="G36" s="532"/>
      <c r="H36" s="533"/>
      <c r="I36" s="713">
        <f>+Deductions!D29</f>
        <v>0</v>
      </c>
      <c r="J36" s="714"/>
      <c r="K36" s="714"/>
      <c r="L36" s="714"/>
      <c r="M36" s="715"/>
      <c r="N36" s="713">
        <f>+Deductions!G29</f>
        <v>0</v>
      </c>
      <c r="O36" s="714"/>
      <c r="P36" s="714"/>
      <c r="Q36" s="714"/>
      <c r="R36" s="715"/>
      <c r="S36" s="713"/>
      <c r="T36" s="714"/>
      <c r="U36" s="714"/>
      <c r="V36" s="714"/>
      <c r="W36" s="715"/>
      <c r="X36" s="710">
        <f>+Deductions!J29</f>
        <v>0</v>
      </c>
      <c r="Y36" s="711"/>
      <c r="Z36" s="711"/>
      <c r="AA36" s="711"/>
      <c r="AB36" s="711"/>
      <c r="AC36" s="712"/>
      <c r="AD36" s="716">
        <f>+Deductions!M29</f>
        <v>0</v>
      </c>
      <c r="AE36" s="717"/>
      <c r="AF36" s="717"/>
      <c r="AG36" s="717"/>
      <c r="AH36" s="717"/>
      <c r="AI36" s="718"/>
      <c r="AJ36" s="710">
        <f>+Deductions!P29</f>
        <v>0</v>
      </c>
      <c r="AK36" s="711"/>
      <c r="AL36" s="711"/>
      <c r="AM36" s="711"/>
      <c r="AN36" s="711"/>
      <c r="AO36" s="712"/>
    </row>
    <row r="37" spans="1:41" ht="12.75" customHeight="1" x14ac:dyDescent="0.25">
      <c r="A37" s="65"/>
      <c r="B37" s="532">
        <f>+Deductions!A30</f>
        <v>0</v>
      </c>
      <c r="C37" s="532"/>
      <c r="D37" s="532"/>
      <c r="E37" s="532"/>
      <c r="F37" s="532"/>
      <c r="G37" s="532"/>
      <c r="H37" s="533"/>
      <c r="I37" s="713">
        <f>+Deductions!D30</f>
        <v>0</v>
      </c>
      <c r="J37" s="714"/>
      <c r="K37" s="714"/>
      <c r="L37" s="714"/>
      <c r="M37" s="715"/>
      <c r="N37" s="713">
        <f>+Deductions!G30</f>
        <v>0</v>
      </c>
      <c r="O37" s="714"/>
      <c r="P37" s="714"/>
      <c r="Q37" s="714"/>
      <c r="R37" s="715"/>
      <c r="S37" s="713"/>
      <c r="T37" s="714"/>
      <c r="U37" s="714"/>
      <c r="V37" s="714"/>
      <c r="W37" s="715"/>
      <c r="X37" s="710">
        <f>+Deductions!J30</f>
        <v>0</v>
      </c>
      <c r="Y37" s="711"/>
      <c r="Z37" s="711"/>
      <c r="AA37" s="711"/>
      <c r="AB37" s="711"/>
      <c r="AC37" s="712"/>
      <c r="AD37" s="716">
        <f>+Deductions!M30</f>
        <v>0</v>
      </c>
      <c r="AE37" s="717"/>
      <c r="AF37" s="717"/>
      <c r="AG37" s="717"/>
      <c r="AH37" s="717"/>
      <c r="AI37" s="718"/>
      <c r="AJ37" s="710">
        <f>+Deductions!P30</f>
        <v>0</v>
      </c>
      <c r="AK37" s="711"/>
      <c r="AL37" s="711"/>
      <c r="AM37" s="711"/>
      <c r="AN37" s="711"/>
      <c r="AO37" s="712"/>
    </row>
    <row r="38" spans="1:41" ht="12.75" customHeight="1" x14ac:dyDescent="0.25">
      <c r="A38" s="65"/>
      <c r="B38" s="532">
        <f>+Deductions!A31</f>
        <v>0</v>
      </c>
      <c r="C38" s="532"/>
      <c r="D38" s="532"/>
      <c r="E38" s="532"/>
      <c r="F38" s="532"/>
      <c r="G38" s="532"/>
      <c r="H38" s="533"/>
      <c r="I38" s="713">
        <f>+Deductions!D31</f>
        <v>0</v>
      </c>
      <c r="J38" s="714"/>
      <c r="K38" s="714"/>
      <c r="L38" s="714"/>
      <c r="M38" s="715"/>
      <c r="N38" s="713">
        <f>+Deductions!G31</f>
        <v>0</v>
      </c>
      <c r="O38" s="714"/>
      <c r="P38" s="714"/>
      <c r="Q38" s="714"/>
      <c r="R38" s="715"/>
      <c r="S38" s="713"/>
      <c r="T38" s="714"/>
      <c r="U38" s="714"/>
      <c r="V38" s="714"/>
      <c r="W38" s="715"/>
      <c r="X38" s="710">
        <f>+Deductions!J31</f>
        <v>0</v>
      </c>
      <c r="Y38" s="711"/>
      <c r="Z38" s="711"/>
      <c r="AA38" s="711"/>
      <c r="AB38" s="711"/>
      <c r="AC38" s="712"/>
      <c r="AD38" s="716">
        <f>+Deductions!M31</f>
        <v>0</v>
      </c>
      <c r="AE38" s="717"/>
      <c r="AF38" s="717"/>
      <c r="AG38" s="717"/>
      <c r="AH38" s="717"/>
      <c r="AI38" s="718"/>
      <c r="AJ38" s="710">
        <f>+Deductions!P31</f>
        <v>0</v>
      </c>
      <c r="AK38" s="711"/>
      <c r="AL38" s="711"/>
      <c r="AM38" s="711"/>
      <c r="AN38" s="711"/>
      <c r="AO38" s="712"/>
    </row>
    <row r="39" spans="1:41" ht="12.75" customHeight="1" x14ac:dyDescent="0.25">
      <c r="A39" s="65"/>
      <c r="B39" s="532">
        <f>+Deductions!A32</f>
        <v>0</v>
      </c>
      <c r="C39" s="532"/>
      <c r="D39" s="532"/>
      <c r="E39" s="532"/>
      <c r="F39" s="532"/>
      <c r="G39" s="532"/>
      <c r="H39" s="533"/>
      <c r="I39" s="713">
        <f>+Deductions!D32</f>
        <v>0</v>
      </c>
      <c r="J39" s="714"/>
      <c r="K39" s="714"/>
      <c r="L39" s="714"/>
      <c r="M39" s="715"/>
      <c r="N39" s="713">
        <f>+Deductions!G32</f>
        <v>0</v>
      </c>
      <c r="O39" s="714"/>
      <c r="P39" s="714"/>
      <c r="Q39" s="714"/>
      <c r="R39" s="715"/>
      <c r="S39" s="713"/>
      <c r="T39" s="714"/>
      <c r="U39" s="714"/>
      <c r="V39" s="714"/>
      <c r="W39" s="715"/>
      <c r="X39" s="710">
        <f>+Deductions!J32</f>
        <v>0</v>
      </c>
      <c r="Y39" s="711"/>
      <c r="Z39" s="711"/>
      <c r="AA39" s="711"/>
      <c r="AB39" s="711"/>
      <c r="AC39" s="712"/>
      <c r="AD39" s="716">
        <f>+Deductions!M32</f>
        <v>0</v>
      </c>
      <c r="AE39" s="717"/>
      <c r="AF39" s="717"/>
      <c r="AG39" s="717"/>
      <c r="AH39" s="717"/>
      <c r="AI39" s="718"/>
      <c r="AJ39" s="710">
        <f>+Deductions!P32</f>
        <v>0</v>
      </c>
      <c r="AK39" s="711"/>
      <c r="AL39" s="711"/>
      <c r="AM39" s="711"/>
      <c r="AN39" s="711"/>
      <c r="AO39" s="712"/>
    </row>
    <row r="40" spans="1:41" ht="12.75" customHeight="1" x14ac:dyDescent="0.25">
      <c r="A40" s="65"/>
      <c r="B40" s="532">
        <f>+Deductions!A33</f>
        <v>0</v>
      </c>
      <c r="C40" s="532"/>
      <c r="D40" s="532"/>
      <c r="E40" s="532"/>
      <c r="F40" s="532"/>
      <c r="G40" s="532"/>
      <c r="H40" s="533"/>
      <c r="I40" s="713">
        <f>+Deductions!D33</f>
        <v>0</v>
      </c>
      <c r="J40" s="714"/>
      <c r="K40" s="714"/>
      <c r="L40" s="714"/>
      <c r="M40" s="715"/>
      <c r="N40" s="713">
        <f>+Deductions!G33</f>
        <v>0</v>
      </c>
      <c r="O40" s="714"/>
      <c r="P40" s="714"/>
      <c r="Q40" s="714"/>
      <c r="R40" s="715"/>
      <c r="S40" s="713"/>
      <c r="T40" s="714"/>
      <c r="U40" s="714"/>
      <c r="V40" s="714"/>
      <c r="W40" s="715"/>
      <c r="X40" s="710">
        <f>+Deductions!J33</f>
        <v>0</v>
      </c>
      <c r="Y40" s="711"/>
      <c r="Z40" s="711"/>
      <c r="AA40" s="711"/>
      <c r="AB40" s="711"/>
      <c r="AC40" s="712"/>
      <c r="AD40" s="716">
        <f>+Deductions!M33</f>
        <v>0</v>
      </c>
      <c r="AE40" s="717"/>
      <c r="AF40" s="717"/>
      <c r="AG40" s="717"/>
      <c r="AH40" s="717"/>
      <c r="AI40" s="718"/>
      <c r="AJ40" s="710">
        <f>+Deductions!P33</f>
        <v>0</v>
      </c>
      <c r="AK40" s="711"/>
      <c r="AL40" s="711"/>
      <c r="AM40" s="711"/>
      <c r="AN40" s="711"/>
      <c r="AO40" s="712"/>
    </row>
    <row r="41" spans="1:41" ht="12.75" customHeight="1" x14ac:dyDescent="0.25">
      <c r="A41" s="65"/>
      <c r="B41" s="532">
        <f>+Deductions!A34</f>
        <v>0</v>
      </c>
      <c r="C41" s="532"/>
      <c r="D41" s="532"/>
      <c r="E41" s="532"/>
      <c r="F41" s="532"/>
      <c r="G41" s="532"/>
      <c r="H41" s="533"/>
      <c r="I41" s="713">
        <f>+Deductions!D34</f>
        <v>0</v>
      </c>
      <c r="J41" s="714"/>
      <c r="K41" s="714"/>
      <c r="L41" s="714"/>
      <c r="M41" s="715"/>
      <c r="N41" s="713">
        <f>+Deductions!G34</f>
        <v>0</v>
      </c>
      <c r="O41" s="714"/>
      <c r="P41" s="714"/>
      <c r="Q41" s="714"/>
      <c r="R41" s="715"/>
      <c r="S41" s="713"/>
      <c r="T41" s="714"/>
      <c r="U41" s="714"/>
      <c r="V41" s="714"/>
      <c r="W41" s="715"/>
      <c r="X41" s="710">
        <f>+Deductions!J34</f>
        <v>0</v>
      </c>
      <c r="Y41" s="711"/>
      <c r="Z41" s="711"/>
      <c r="AA41" s="711"/>
      <c r="AB41" s="711"/>
      <c r="AC41" s="712"/>
      <c r="AD41" s="716">
        <f>+Deductions!M34</f>
        <v>0</v>
      </c>
      <c r="AE41" s="717"/>
      <c r="AF41" s="717"/>
      <c r="AG41" s="717"/>
      <c r="AH41" s="717"/>
      <c r="AI41" s="718"/>
      <c r="AJ41" s="710">
        <f>+Deductions!P34</f>
        <v>0</v>
      </c>
      <c r="AK41" s="711"/>
      <c r="AL41" s="711"/>
      <c r="AM41" s="711"/>
      <c r="AN41" s="711"/>
      <c r="AO41" s="712"/>
    </row>
    <row r="42" spans="1:41" ht="12.75" customHeight="1" x14ac:dyDescent="0.25">
      <c r="A42" s="65"/>
      <c r="B42" s="532">
        <f>+Deductions!A35</f>
        <v>0</v>
      </c>
      <c r="C42" s="532"/>
      <c r="D42" s="532"/>
      <c r="E42" s="532"/>
      <c r="F42" s="532"/>
      <c r="G42" s="532"/>
      <c r="H42" s="533"/>
      <c r="I42" s="713">
        <f>+Deductions!D35</f>
        <v>0</v>
      </c>
      <c r="J42" s="714"/>
      <c r="K42" s="714"/>
      <c r="L42" s="714"/>
      <c r="M42" s="715"/>
      <c r="N42" s="713">
        <f>+Deductions!G35</f>
        <v>0</v>
      </c>
      <c r="O42" s="714"/>
      <c r="P42" s="714"/>
      <c r="Q42" s="714"/>
      <c r="R42" s="715"/>
      <c r="S42" s="713"/>
      <c r="T42" s="714"/>
      <c r="U42" s="714"/>
      <c r="V42" s="714"/>
      <c r="W42" s="715"/>
      <c r="X42" s="710">
        <f>+Deductions!J35</f>
        <v>0</v>
      </c>
      <c r="Y42" s="711"/>
      <c r="Z42" s="711"/>
      <c r="AA42" s="711"/>
      <c r="AB42" s="711"/>
      <c r="AC42" s="712"/>
      <c r="AD42" s="716">
        <f>+Deductions!M35</f>
        <v>0</v>
      </c>
      <c r="AE42" s="717"/>
      <c r="AF42" s="717"/>
      <c r="AG42" s="717"/>
      <c r="AH42" s="717"/>
      <c r="AI42" s="718"/>
      <c r="AJ42" s="710">
        <f>+Deductions!P35</f>
        <v>0</v>
      </c>
      <c r="AK42" s="711"/>
      <c r="AL42" s="711"/>
      <c r="AM42" s="711"/>
      <c r="AN42" s="711"/>
      <c r="AO42" s="712"/>
    </row>
    <row r="43" spans="1:41" ht="12.75" customHeight="1" x14ac:dyDescent="0.25">
      <c r="A43" s="65"/>
      <c r="B43" s="532">
        <f>+Deductions!A36</f>
        <v>0</v>
      </c>
      <c r="C43" s="532"/>
      <c r="D43" s="532"/>
      <c r="E43" s="532"/>
      <c r="F43" s="532"/>
      <c r="G43" s="532"/>
      <c r="H43" s="533"/>
      <c r="I43" s="713">
        <f>+Deductions!D36</f>
        <v>0</v>
      </c>
      <c r="J43" s="714"/>
      <c r="K43" s="714"/>
      <c r="L43" s="714"/>
      <c r="M43" s="715"/>
      <c r="N43" s="713">
        <f>+Deductions!G36</f>
        <v>0</v>
      </c>
      <c r="O43" s="714"/>
      <c r="P43" s="714"/>
      <c r="Q43" s="714"/>
      <c r="R43" s="715"/>
      <c r="S43" s="713"/>
      <c r="T43" s="714"/>
      <c r="U43" s="714"/>
      <c r="V43" s="714"/>
      <c r="W43" s="715"/>
      <c r="X43" s="710">
        <f>+Deductions!J36</f>
        <v>0</v>
      </c>
      <c r="Y43" s="711"/>
      <c r="Z43" s="711"/>
      <c r="AA43" s="711"/>
      <c r="AB43" s="711"/>
      <c r="AC43" s="712"/>
      <c r="AD43" s="716">
        <f>+Deductions!M36</f>
        <v>0</v>
      </c>
      <c r="AE43" s="717"/>
      <c r="AF43" s="717"/>
      <c r="AG43" s="717"/>
      <c r="AH43" s="717"/>
      <c r="AI43" s="718"/>
      <c r="AJ43" s="710">
        <f>+Deductions!P36</f>
        <v>0</v>
      </c>
      <c r="AK43" s="711"/>
      <c r="AL43" s="711"/>
      <c r="AM43" s="711"/>
      <c r="AN43" s="711"/>
      <c r="AO43" s="712"/>
    </row>
    <row r="44" spans="1:41" ht="12.75" customHeight="1" x14ac:dyDescent="0.25">
      <c r="A44" s="66"/>
      <c r="B44" s="538">
        <f>+Deductions!A37</f>
        <v>0</v>
      </c>
      <c r="C44" s="538"/>
      <c r="D44" s="538"/>
      <c r="E44" s="538"/>
      <c r="F44" s="538"/>
      <c r="G44" s="538"/>
      <c r="H44" s="539"/>
      <c r="I44" s="704">
        <f>+Deductions!D37</f>
        <v>0</v>
      </c>
      <c r="J44" s="705"/>
      <c r="K44" s="705"/>
      <c r="L44" s="705"/>
      <c r="M44" s="706"/>
      <c r="N44" s="704">
        <f>+Deductions!G37</f>
        <v>0</v>
      </c>
      <c r="O44" s="705"/>
      <c r="P44" s="705"/>
      <c r="Q44" s="705"/>
      <c r="R44" s="706"/>
      <c r="S44" s="704"/>
      <c r="T44" s="705"/>
      <c r="U44" s="705"/>
      <c r="V44" s="705"/>
      <c r="W44" s="706"/>
      <c r="X44" s="695">
        <f>+Deductions!J37</f>
        <v>0</v>
      </c>
      <c r="Y44" s="696"/>
      <c r="Z44" s="696"/>
      <c r="AA44" s="696"/>
      <c r="AB44" s="696"/>
      <c r="AC44" s="697"/>
      <c r="AD44" s="707">
        <f>+Deductions!M37</f>
        <v>0</v>
      </c>
      <c r="AE44" s="708"/>
      <c r="AF44" s="708"/>
      <c r="AG44" s="708"/>
      <c r="AH44" s="708"/>
      <c r="AI44" s="709"/>
      <c r="AJ44" s="695">
        <f>+Deductions!P37</f>
        <v>0</v>
      </c>
      <c r="AK44" s="696"/>
      <c r="AL44" s="696"/>
      <c r="AM44" s="696"/>
      <c r="AN44" s="696"/>
      <c r="AO44" s="697"/>
    </row>
    <row r="45" spans="1:41" ht="12.75" customHeight="1" x14ac:dyDescent="0.25">
      <c r="A45" s="35"/>
      <c r="B45" s="499" t="s">
        <v>182</v>
      </c>
      <c r="C45" s="499"/>
      <c r="D45" s="499"/>
      <c r="E45" s="499"/>
      <c r="F45" s="499"/>
      <c r="G45" s="499"/>
      <c r="H45" s="499"/>
      <c r="I45" s="499"/>
      <c r="J45" s="499"/>
      <c r="K45" s="499"/>
      <c r="L45" s="499"/>
      <c r="M45" s="499"/>
      <c r="N45" s="499"/>
      <c r="O45" s="499"/>
      <c r="P45" s="499"/>
      <c r="Q45" s="499"/>
      <c r="R45" s="499"/>
      <c r="S45" s="499"/>
      <c r="T45" s="499"/>
      <c r="U45" s="499"/>
      <c r="V45" s="499"/>
      <c r="W45" s="499"/>
      <c r="X45" s="499"/>
      <c r="Y45" s="499"/>
      <c r="Z45" s="499"/>
      <c r="AA45" s="499"/>
      <c r="AB45" s="499"/>
      <c r="AC45" s="499"/>
      <c r="AD45" s="499"/>
      <c r="AE45" s="499"/>
      <c r="AF45" s="499"/>
      <c r="AG45" s="499"/>
      <c r="AH45" s="499"/>
      <c r="AI45" s="499"/>
      <c r="AJ45" s="698">
        <f>+Deductions!P42</f>
        <v>0</v>
      </c>
      <c r="AK45" s="698"/>
      <c r="AL45" s="698"/>
      <c r="AM45" s="698"/>
      <c r="AN45" s="698"/>
      <c r="AO45" s="699"/>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88" t="str">
        <f>+Deductions!A47</f>
        <v>FWT P</v>
      </c>
      <c r="C48" s="588"/>
      <c r="D48" s="588"/>
      <c r="E48" s="588"/>
      <c r="F48" s="588"/>
      <c r="G48" s="588"/>
      <c r="H48" s="589"/>
      <c r="I48" s="719">
        <f>+Deductions!D47</f>
        <v>0</v>
      </c>
      <c r="J48" s="720"/>
      <c r="K48" s="720"/>
      <c r="L48" s="720"/>
      <c r="M48" s="721"/>
      <c r="N48" s="719" t="str">
        <f>+Deductions!G47</f>
        <v>GAUGE</v>
      </c>
      <c r="O48" s="720"/>
      <c r="P48" s="720"/>
      <c r="Q48" s="720"/>
      <c r="R48" s="721"/>
      <c r="S48" s="719"/>
      <c r="T48" s="720"/>
      <c r="U48" s="720"/>
      <c r="V48" s="720"/>
      <c r="W48" s="721"/>
      <c r="X48" s="722">
        <f>+Deductions!J47</f>
        <v>0</v>
      </c>
      <c r="Y48" s="723"/>
      <c r="Z48" s="723"/>
      <c r="AA48" s="723"/>
      <c r="AB48" s="723"/>
      <c r="AC48" s="724"/>
      <c r="AD48" s="725">
        <f>+Deductions!M47</f>
        <v>1</v>
      </c>
      <c r="AE48" s="726"/>
      <c r="AF48" s="726"/>
      <c r="AG48" s="726"/>
      <c r="AH48" s="726"/>
      <c r="AI48" s="727"/>
      <c r="AJ48" s="722">
        <f>+Deductions!P47</f>
        <v>0</v>
      </c>
      <c r="AK48" s="723"/>
      <c r="AL48" s="723"/>
      <c r="AM48" s="723"/>
      <c r="AN48" s="723"/>
      <c r="AO48" s="724"/>
    </row>
    <row r="49" spans="1:48" ht="12.75" customHeight="1" x14ac:dyDescent="0.25">
      <c r="A49" s="65"/>
      <c r="B49" s="532" t="str">
        <f>+Deductions!A48</f>
        <v>FWT S</v>
      </c>
      <c r="C49" s="532"/>
      <c r="D49" s="532"/>
      <c r="E49" s="532"/>
      <c r="F49" s="532"/>
      <c r="G49" s="532"/>
      <c r="H49" s="533"/>
      <c r="I49" s="713">
        <f>+Deductions!D48</f>
        <v>0</v>
      </c>
      <c r="J49" s="714"/>
      <c r="K49" s="714"/>
      <c r="L49" s="714"/>
      <c r="M49" s="715"/>
      <c r="N49" s="713" t="str">
        <f>+Deductions!G48</f>
        <v>GAUGE</v>
      </c>
      <c r="O49" s="714"/>
      <c r="P49" s="714"/>
      <c r="Q49" s="714"/>
      <c r="R49" s="715"/>
      <c r="S49" s="713"/>
      <c r="T49" s="714"/>
      <c r="U49" s="714"/>
      <c r="V49" s="714"/>
      <c r="W49" s="715"/>
      <c r="X49" s="710">
        <f>+Deductions!J48</f>
        <v>0</v>
      </c>
      <c r="Y49" s="711"/>
      <c r="Z49" s="711"/>
      <c r="AA49" s="711"/>
      <c r="AB49" s="711"/>
      <c r="AC49" s="712"/>
      <c r="AD49" s="716">
        <f>+Deductions!M48</f>
        <v>1</v>
      </c>
      <c r="AE49" s="717"/>
      <c r="AF49" s="717"/>
      <c r="AG49" s="717"/>
      <c r="AH49" s="717"/>
      <c r="AI49" s="718"/>
      <c r="AJ49" s="710">
        <f>+Deductions!P48</f>
        <v>0</v>
      </c>
      <c r="AK49" s="711"/>
      <c r="AL49" s="711"/>
      <c r="AM49" s="711"/>
      <c r="AN49" s="711"/>
      <c r="AO49" s="712"/>
    </row>
    <row r="50" spans="1:48" ht="12.75" customHeight="1" x14ac:dyDescent="0.25">
      <c r="A50" s="65"/>
      <c r="B50" s="532" t="str">
        <f>+Deductions!A49</f>
        <v>FW DIST</v>
      </c>
      <c r="C50" s="532"/>
      <c r="D50" s="532"/>
      <c r="E50" s="532"/>
      <c r="F50" s="532"/>
      <c r="G50" s="532"/>
      <c r="H50" s="533"/>
      <c r="I50" s="713">
        <f>+Deductions!D49</f>
        <v>0</v>
      </c>
      <c r="J50" s="714"/>
      <c r="K50" s="714"/>
      <c r="L50" s="714"/>
      <c r="M50" s="715"/>
      <c r="N50" s="713" t="str">
        <f>+Deductions!G49</f>
        <v>GAUGE</v>
      </c>
      <c r="O50" s="714"/>
      <c r="P50" s="714"/>
      <c r="Q50" s="714"/>
      <c r="R50" s="715"/>
      <c r="S50" s="713"/>
      <c r="T50" s="714"/>
      <c r="U50" s="714"/>
      <c r="V50" s="714"/>
      <c r="W50" s="715"/>
      <c r="X50" s="710">
        <f>+Deductions!J49</f>
        <v>0</v>
      </c>
      <c r="Y50" s="711"/>
      <c r="Z50" s="711"/>
      <c r="AA50" s="711"/>
      <c r="AB50" s="711"/>
      <c r="AC50" s="712"/>
      <c r="AD50" s="716">
        <f>+Deductions!M49</f>
        <v>1</v>
      </c>
      <c r="AE50" s="717"/>
      <c r="AF50" s="717"/>
      <c r="AG50" s="717"/>
      <c r="AH50" s="717"/>
      <c r="AI50" s="718"/>
      <c r="AJ50" s="710">
        <f>+Deductions!P49</f>
        <v>0</v>
      </c>
      <c r="AK50" s="711"/>
      <c r="AL50" s="711"/>
      <c r="AM50" s="711"/>
      <c r="AN50" s="711"/>
      <c r="AO50" s="712"/>
    </row>
    <row r="51" spans="1:48" ht="12.75" customHeight="1" x14ac:dyDescent="0.25">
      <c r="A51" s="65"/>
      <c r="B51" s="532">
        <f>+Deductions!A50</f>
        <v>0</v>
      </c>
      <c r="C51" s="532"/>
      <c r="D51" s="532"/>
      <c r="E51" s="532"/>
      <c r="F51" s="532"/>
      <c r="G51" s="532"/>
      <c r="H51" s="533"/>
      <c r="I51" s="713">
        <f>+Deductions!D50</f>
        <v>0</v>
      </c>
      <c r="J51" s="714"/>
      <c r="K51" s="714"/>
      <c r="L51" s="714"/>
      <c r="M51" s="715"/>
      <c r="N51" s="713">
        <f>+Deductions!G50</f>
        <v>0</v>
      </c>
      <c r="O51" s="714"/>
      <c r="P51" s="714"/>
      <c r="Q51" s="714"/>
      <c r="R51" s="715"/>
      <c r="S51" s="713"/>
      <c r="T51" s="714"/>
      <c r="U51" s="714"/>
      <c r="V51" s="714"/>
      <c r="W51" s="715"/>
      <c r="X51" s="710">
        <f>+Deductions!J50</f>
        <v>0</v>
      </c>
      <c r="Y51" s="711"/>
      <c r="Z51" s="711"/>
      <c r="AA51" s="711"/>
      <c r="AB51" s="711"/>
      <c r="AC51" s="712"/>
      <c r="AD51" s="716">
        <f>+Deductions!M50</f>
        <v>0</v>
      </c>
      <c r="AE51" s="717"/>
      <c r="AF51" s="717"/>
      <c r="AG51" s="717"/>
      <c r="AH51" s="717"/>
      <c r="AI51" s="718"/>
      <c r="AJ51" s="710">
        <f>+Deductions!P50</f>
        <v>0</v>
      </c>
      <c r="AK51" s="711"/>
      <c r="AL51" s="711"/>
      <c r="AM51" s="711"/>
      <c r="AN51" s="711"/>
      <c r="AO51" s="712"/>
    </row>
    <row r="52" spans="1:48" ht="12.75" customHeight="1" x14ac:dyDescent="0.25">
      <c r="A52" s="65"/>
      <c r="B52" s="532">
        <f>+Deductions!A51</f>
        <v>0</v>
      </c>
      <c r="C52" s="532"/>
      <c r="D52" s="532"/>
      <c r="E52" s="532"/>
      <c r="F52" s="532"/>
      <c r="G52" s="532"/>
      <c r="H52" s="533"/>
      <c r="I52" s="713">
        <f>+Deductions!D51</f>
        <v>0</v>
      </c>
      <c r="J52" s="714"/>
      <c r="K52" s="714"/>
      <c r="L52" s="714"/>
      <c r="M52" s="715"/>
      <c r="N52" s="713">
        <f>+Deductions!G51</f>
        <v>0</v>
      </c>
      <c r="O52" s="714"/>
      <c r="P52" s="714"/>
      <c r="Q52" s="714"/>
      <c r="R52" s="715"/>
      <c r="S52" s="713"/>
      <c r="T52" s="714"/>
      <c r="U52" s="714"/>
      <c r="V52" s="714"/>
      <c r="W52" s="715"/>
      <c r="X52" s="710">
        <f>+Deductions!J51</f>
        <v>0</v>
      </c>
      <c r="Y52" s="711"/>
      <c r="Z52" s="711"/>
      <c r="AA52" s="711"/>
      <c r="AB52" s="711"/>
      <c r="AC52" s="712"/>
      <c r="AD52" s="716">
        <f>+Deductions!M51</f>
        <v>0</v>
      </c>
      <c r="AE52" s="717"/>
      <c r="AF52" s="717"/>
      <c r="AG52" s="717"/>
      <c r="AH52" s="717"/>
      <c r="AI52" s="718"/>
      <c r="AJ52" s="710">
        <f>+Deductions!P51</f>
        <v>0</v>
      </c>
      <c r="AK52" s="711"/>
      <c r="AL52" s="711"/>
      <c r="AM52" s="711"/>
      <c r="AN52" s="711"/>
      <c r="AO52" s="712"/>
    </row>
    <row r="53" spans="1:48" ht="12.75" customHeight="1" x14ac:dyDescent="0.25">
      <c r="A53" s="66"/>
      <c r="B53" s="538">
        <f>+Deductions!A52</f>
        <v>0</v>
      </c>
      <c r="C53" s="538"/>
      <c r="D53" s="538"/>
      <c r="E53" s="538"/>
      <c r="F53" s="538"/>
      <c r="G53" s="538"/>
      <c r="H53" s="539"/>
      <c r="I53" s="704">
        <f>+Deductions!D52</f>
        <v>0</v>
      </c>
      <c r="J53" s="705"/>
      <c r="K53" s="705"/>
      <c r="L53" s="705"/>
      <c r="M53" s="706"/>
      <c r="N53" s="704">
        <f>+Deductions!G52</f>
        <v>0</v>
      </c>
      <c r="O53" s="705"/>
      <c r="P53" s="705"/>
      <c r="Q53" s="705"/>
      <c r="R53" s="706"/>
      <c r="S53" s="704"/>
      <c r="T53" s="705"/>
      <c r="U53" s="705"/>
      <c r="V53" s="705"/>
      <c r="W53" s="706"/>
      <c r="X53" s="695">
        <f>+Deductions!J52</f>
        <v>0</v>
      </c>
      <c r="Y53" s="696"/>
      <c r="Z53" s="696"/>
      <c r="AA53" s="696"/>
      <c r="AB53" s="696"/>
      <c r="AC53" s="697"/>
      <c r="AD53" s="707">
        <f>+Deductions!M52</f>
        <v>0</v>
      </c>
      <c r="AE53" s="708"/>
      <c r="AF53" s="708"/>
      <c r="AG53" s="708"/>
      <c r="AH53" s="708"/>
      <c r="AI53" s="709"/>
      <c r="AJ53" s="695">
        <f>+Deductions!P52</f>
        <v>0</v>
      </c>
      <c r="AK53" s="696"/>
      <c r="AL53" s="696"/>
      <c r="AM53" s="696"/>
      <c r="AN53" s="696"/>
      <c r="AO53" s="697"/>
    </row>
    <row r="54" spans="1:48" ht="12.75" customHeight="1" x14ac:dyDescent="0.25">
      <c r="A54" s="35"/>
      <c r="B54" s="499" t="s">
        <v>184</v>
      </c>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698">
        <f>+Deductions!P54</f>
        <v>0</v>
      </c>
      <c r="AK54" s="698"/>
      <c r="AL54" s="698"/>
      <c r="AM54" s="698"/>
      <c r="AN54" s="698"/>
      <c r="AO54" s="699">
        <f>SUM(AO48:AO53)</f>
        <v>0</v>
      </c>
    </row>
    <row r="55" spans="1:48" ht="12.75" customHeight="1" x14ac:dyDescent="0.25">
      <c r="A55" s="23"/>
      <c r="B55" s="25"/>
      <c r="C55" s="24"/>
      <c r="D55" s="25"/>
      <c r="E55" s="25"/>
      <c r="F55" s="25"/>
      <c r="G55" s="25"/>
      <c r="H55" s="25"/>
      <c r="I55" s="25"/>
      <c r="J55" s="25"/>
      <c r="K55" s="25"/>
      <c r="L55" s="25"/>
      <c r="M55" s="25"/>
      <c r="N55" s="25"/>
      <c r="P55" s="700"/>
      <c r="Q55" s="700"/>
      <c r="R55" s="700"/>
      <c r="S55" s="700"/>
      <c r="T55" s="700"/>
      <c r="U55" s="700"/>
      <c r="V55" s="700"/>
      <c r="W55" s="700"/>
      <c r="X55" s="700"/>
      <c r="Y55" s="700"/>
      <c r="Z55" s="700"/>
      <c r="AA55" s="700"/>
      <c r="AB55" s="700"/>
      <c r="AC55" s="700"/>
      <c r="AD55" s="700"/>
      <c r="AE55" s="700"/>
      <c r="AF55" s="700"/>
      <c r="AG55" s="700"/>
      <c r="AH55" s="700"/>
      <c r="AI55" s="700"/>
      <c r="AJ55" s="700"/>
      <c r="AK55" s="700"/>
      <c r="AL55" s="700"/>
      <c r="AM55" s="700"/>
      <c r="AN55" s="700"/>
      <c r="AO55" s="701"/>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702"/>
      <c r="Q56" s="702"/>
      <c r="R56" s="702"/>
      <c r="S56" s="702"/>
      <c r="T56" s="702"/>
      <c r="U56" s="702"/>
      <c r="V56" s="702"/>
      <c r="W56" s="702"/>
      <c r="X56" s="702"/>
      <c r="Y56" s="702"/>
      <c r="Z56" s="702"/>
      <c r="AA56" s="702"/>
      <c r="AB56" s="702"/>
      <c r="AC56" s="702"/>
      <c r="AD56" s="702"/>
      <c r="AE56" s="702"/>
      <c r="AF56" s="702"/>
      <c r="AG56" s="702"/>
      <c r="AH56" s="702"/>
      <c r="AI56" s="702"/>
      <c r="AJ56" s="702"/>
      <c r="AK56" s="702"/>
      <c r="AL56" s="702"/>
      <c r="AM56" s="702"/>
      <c r="AN56" s="702"/>
      <c r="AO56" s="703"/>
    </row>
    <row r="57" spans="1:48" ht="12.75" customHeight="1" x14ac:dyDescent="0.25">
      <c r="A57" s="498"/>
      <c r="B57" s="498"/>
      <c r="C57" s="498"/>
      <c r="D57" s="498"/>
      <c r="E57" s="498"/>
      <c r="F57" s="498"/>
      <c r="G57" s="498"/>
      <c r="H57" s="498"/>
      <c r="I57" s="498"/>
      <c r="J57" s="498"/>
      <c r="K57" s="498"/>
      <c r="L57" s="498"/>
      <c r="M57" s="498"/>
      <c r="N57" s="498"/>
      <c r="O57" s="498"/>
      <c r="P57" s="498"/>
      <c r="Q57" s="498"/>
      <c r="R57" s="498"/>
      <c r="S57" s="498"/>
      <c r="T57" s="498"/>
      <c r="U57" s="498"/>
      <c r="V57" s="498"/>
      <c r="W57" s="498"/>
      <c r="X57" s="498"/>
      <c r="Y57" s="498"/>
      <c r="Z57" s="498"/>
      <c r="AA57" s="498"/>
      <c r="AB57" s="498"/>
      <c r="AC57" s="498"/>
      <c r="AD57" s="498"/>
      <c r="AE57" s="498"/>
      <c r="AF57" s="498"/>
      <c r="AG57" s="498"/>
      <c r="AH57" s="498"/>
      <c r="AI57" s="498"/>
      <c r="AJ57" s="498"/>
      <c r="AK57" s="498"/>
      <c r="AL57" s="498"/>
      <c r="AM57" s="498"/>
      <c r="AN57" s="498"/>
      <c r="AO57" s="498"/>
    </row>
    <row r="58" spans="1:48" ht="25.5" customHeight="1" x14ac:dyDescent="0.25">
      <c r="A58" s="308"/>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row>
  </sheetData>
  <mergeCells count="30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P55:AO56"/>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92" t="s">
        <v>186</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+A!Z3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+A!Z4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534" t="str">
        <f>A!B6</f>
        <v>MSL Marine Surveyors And Logistics</v>
      </c>
      <c r="B6" s="535"/>
      <c r="C6" s="535"/>
      <c r="D6" s="535"/>
      <c r="E6" s="535"/>
      <c r="F6" s="535"/>
      <c r="G6" s="535"/>
      <c r="H6" s="535"/>
      <c r="I6" s="535"/>
      <c r="J6" s="535"/>
      <c r="K6" s="535"/>
      <c r="L6" s="535"/>
      <c r="M6" s="535"/>
      <c r="N6" s="535"/>
      <c r="O6" s="535"/>
      <c r="P6" s="535"/>
      <c r="Q6" s="535"/>
      <c r="R6" s="535"/>
      <c r="S6" s="535"/>
      <c r="T6" s="535"/>
      <c r="U6" s="535"/>
      <c r="V6" s="535"/>
      <c r="W6" s="535"/>
      <c r="X6" s="535"/>
      <c r="Y6" s="535"/>
      <c r="Z6" s="535"/>
      <c r="AA6" s="535"/>
      <c r="AB6" s="535"/>
      <c r="AC6" s="535"/>
      <c r="AD6" s="535"/>
      <c r="AE6" s="535"/>
      <c r="AF6" s="535"/>
      <c r="AG6" s="535"/>
      <c r="AH6" s="535"/>
      <c r="AI6" s="535"/>
      <c r="AJ6" s="535"/>
      <c r="AK6" s="535"/>
      <c r="AL6" s="535"/>
      <c r="AM6" s="535"/>
      <c r="AN6" s="535"/>
      <c r="AO6" s="536"/>
    </row>
    <row r="7" spans="1:41" ht="12.75" customHeight="1" x14ac:dyDescent="0.25">
      <c r="A7" s="6"/>
      <c r="B7" s="540" t="s">
        <v>11</v>
      </c>
      <c r="C7" s="540"/>
      <c r="D7" s="540"/>
      <c r="E7" s="540"/>
      <c r="F7" s="540"/>
      <c r="G7" s="540"/>
      <c r="H7" s="540"/>
      <c r="I7" s="540"/>
      <c r="J7" s="540"/>
      <c r="K7" s="540"/>
      <c r="L7" s="540"/>
      <c r="M7" s="540"/>
      <c r="N7" s="540"/>
      <c r="O7" s="540"/>
      <c r="P7" s="540"/>
      <c r="Q7" s="540"/>
      <c r="R7" s="540"/>
      <c r="S7" s="540"/>
      <c r="T7" s="540"/>
      <c r="U7" s="540"/>
      <c r="V7" s="540"/>
      <c r="W7" s="540"/>
      <c r="X7" s="540"/>
      <c r="Y7" s="540"/>
      <c r="Z7" s="540" t="s">
        <v>13</v>
      </c>
      <c r="AA7" s="540"/>
      <c r="AB7" s="540"/>
      <c r="AC7" s="540"/>
      <c r="AD7" s="540"/>
      <c r="AE7" s="540"/>
      <c r="AF7" s="540"/>
      <c r="AG7" s="540"/>
      <c r="AH7" s="540"/>
      <c r="AI7" s="540"/>
      <c r="AJ7" s="540"/>
      <c r="AK7" s="540"/>
      <c r="AL7" s="540"/>
      <c r="AM7" s="540"/>
      <c r="AN7" s="540"/>
      <c r="AO7" s="541"/>
    </row>
    <row r="8" spans="1:41" ht="12.75" customHeight="1" x14ac:dyDescent="0.25">
      <c r="A8" s="534"/>
      <c r="B8" s="535"/>
      <c r="C8" s="535"/>
      <c r="D8" s="535"/>
      <c r="E8" s="535"/>
      <c r="F8" s="591">
        <f>+A!G12</f>
        <v>0</v>
      </c>
      <c r="G8" s="591"/>
      <c r="H8" s="591"/>
      <c r="I8" s="591"/>
      <c r="J8" s="591"/>
      <c r="K8" s="591"/>
      <c r="L8" s="591"/>
      <c r="M8" s="591"/>
      <c r="N8" s="591"/>
      <c r="O8" s="591"/>
      <c r="P8" s="591"/>
      <c r="Q8" s="591"/>
      <c r="R8" s="591"/>
      <c r="S8" s="591"/>
      <c r="T8" s="591"/>
      <c r="U8" s="591"/>
      <c r="V8" s="591"/>
      <c r="W8" s="591"/>
      <c r="X8" s="591"/>
      <c r="Y8" s="591"/>
      <c r="Z8" s="591"/>
      <c r="AA8" s="591"/>
      <c r="AB8" s="591"/>
      <c r="AC8" s="544">
        <f>+A!AG12</f>
        <v>0</v>
      </c>
      <c r="AD8" s="544"/>
      <c r="AE8" s="544"/>
      <c r="AF8" s="544"/>
      <c r="AG8" s="544"/>
      <c r="AH8" s="544"/>
      <c r="AI8" s="544"/>
      <c r="AJ8" s="544"/>
      <c r="AK8" s="544"/>
      <c r="AL8" s="544"/>
      <c r="AM8" s="544"/>
      <c r="AN8" s="544"/>
      <c r="AO8" s="545"/>
    </row>
    <row r="9" spans="1:41" ht="12.75" customHeight="1" x14ac:dyDescent="0.25">
      <c r="A9" s="515" t="s">
        <v>187</v>
      </c>
      <c r="B9" s="746"/>
      <c r="C9" s="746"/>
      <c r="D9" s="746"/>
      <c r="E9" s="746"/>
      <c r="F9" s="746"/>
      <c r="G9" s="746"/>
      <c r="H9" s="746"/>
      <c r="I9" s="746"/>
      <c r="J9" s="746"/>
      <c r="K9" s="540" t="s">
        <v>153</v>
      </c>
      <c r="L9" s="540"/>
      <c r="M9" s="540"/>
      <c r="N9" s="540"/>
      <c r="O9" s="516"/>
      <c r="P9" s="516"/>
      <c r="Q9" s="516"/>
      <c r="R9" s="516"/>
      <c r="S9" s="540" t="s">
        <v>154</v>
      </c>
      <c r="T9" s="540"/>
      <c r="U9" s="540"/>
      <c r="V9" s="560"/>
      <c r="W9" s="560"/>
      <c r="X9" s="560"/>
      <c r="Y9" s="560"/>
      <c r="Z9" s="560"/>
      <c r="AA9" s="560"/>
      <c r="AB9" s="540" t="s">
        <v>155</v>
      </c>
      <c r="AC9" s="540"/>
      <c r="AD9" s="560"/>
      <c r="AE9" s="560"/>
      <c r="AF9" s="560"/>
      <c r="AG9" s="560"/>
      <c r="AH9" s="560"/>
      <c r="AI9" s="560"/>
      <c r="AJ9" s="585" t="s">
        <v>156</v>
      </c>
      <c r="AK9" s="585"/>
      <c r="AL9" s="585"/>
      <c r="AM9" s="585"/>
      <c r="AN9" s="585"/>
      <c r="AO9" s="586"/>
    </row>
    <row r="10" spans="1:41" ht="12.75" customHeight="1" x14ac:dyDescent="0.25">
      <c r="A10" s="534"/>
      <c r="B10" s="535"/>
      <c r="C10" s="535"/>
      <c r="D10" s="535"/>
      <c r="E10" s="535"/>
      <c r="F10" s="535"/>
      <c r="G10" s="535"/>
      <c r="H10" s="535"/>
      <c r="I10" s="535"/>
      <c r="J10" s="535"/>
      <c r="K10" s="740">
        <f>Draft!AS3</f>
        <v>0</v>
      </c>
      <c r="L10" s="741"/>
      <c r="M10" s="741"/>
      <c r="N10" s="741"/>
      <c r="O10" s="741"/>
      <c r="P10" s="741"/>
      <c r="Q10" s="741"/>
      <c r="R10" s="741"/>
      <c r="S10" s="740">
        <f>Draft!AS4</f>
        <v>0</v>
      </c>
      <c r="T10" s="741"/>
      <c r="U10" s="741"/>
      <c r="V10" s="741"/>
      <c r="W10" s="741"/>
      <c r="X10" s="741"/>
      <c r="Y10" s="741"/>
      <c r="Z10" s="741"/>
      <c r="AA10" s="741"/>
      <c r="AB10" s="742">
        <f>+Draft!AS2</f>
        <v>0</v>
      </c>
      <c r="AC10" s="742"/>
      <c r="AD10" s="742"/>
      <c r="AE10" s="742"/>
      <c r="AF10" s="742"/>
      <c r="AG10" s="742"/>
      <c r="AH10" s="742"/>
      <c r="AI10" s="742"/>
      <c r="AJ10" s="743">
        <f>+Draft!AD13</f>
        <v>0</v>
      </c>
      <c r="AK10" s="743"/>
      <c r="AL10" s="743"/>
      <c r="AM10" s="743"/>
      <c r="AN10" s="744" t="s">
        <v>157</v>
      </c>
      <c r="AO10" s="745"/>
    </row>
    <row r="11" spans="1:41" ht="12.75" customHeight="1" x14ac:dyDescent="0.25">
      <c r="A11" s="684"/>
      <c r="B11" s="516"/>
      <c r="C11" s="516"/>
      <c r="D11" s="516"/>
      <c r="E11" s="516"/>
      <c r="F11" s="516"/>
      <c r="G11" s="516"/>
      <c r="H11" s="671"/>
      <c r="I11" s="737"/>
      <c r="J11" s="738"/>
      <c r="K11" s="738"/>
      <c r="L11" s="738"/>
      <c r="M11" s="739"/>
      <c r="N11" s="737"/>
      <c r="O11" s="738"/>
      <c r="P11" s="738"/>
      <c r="Q11" s="738"/>
      <c r="R11" s="739"/>
      <c r="S11" s="737" t="s">
        <v>158</v>
      </c>
      <c r="T11" s="738"/>
      <c r="U11" s="738"/>
      <c r="V11" s="738"/>
      <c r="W11" s="739"/>
      <c r="X11" s="737" t="s">
        <v>159</v>
      </c>
      <c r="Y11" s="738"/>
      <c r="Z11" s="738"/>
      <c r="AA11" s="738"/>
      <c r="AB11" s="738"/>
      <c r="AC11" s="739"/>
      <c r="AD11" s="737"/>
      <c r="AE11" s="738"/>
      <c r="AF11" s="738"/>
      <c r="AG11" s="738"/>
      <c r="AH11" s="738"/>
      <c r="AI11" s="739"/>
      <c r="AJ11" s="737"/>
      <c r="AK11" s="738"/>
      <c r="AL11" s="738"/>
      <c r="AM11" s="738"/>
      <c r="AN11" s="738"/>
      <c r="AO11" s="739"/>
    </row>
    <row r="12" spans="1:41" ht="12.75" customHeight="1" x14ac:dyDescent="0.25">
      <c r="A12" s="358" t="s">
        <v>160</v>
      </c>
      <c r="B12" s="279"/>
      <c r="C12" s="279"/>
      <c r="D12" s="279"/>
      <c r="E12" s="279"/>
      <c r="F12" s="279"/>
      <c r="G12" s="279"/>
      <c r="H12" s="678"/>
      <c r="I12" s="733" t="s">
        <v>161</v>
      </c>
      <c r="J12" s="734"/>
      <c r="K12" s="734"/>
      <c r="L12" s="734"/>
      <c r="M12" s="735"/>
      <c r="N12" s="733" t="s">
        <v>158</v>
      </c>
      <c r="O12" s="734"/>
      <c r="P12" s="734"/>
      <c r="Q12" s="734"/>
      <c r="R12" s="735"/>
      <c r="S12" s="736" t="s">
        <v>162</v>
      </c>
      <c r="T12" s="734"/>
      <c r="U12" s="734"/>
      <c r="V12" s="734"/>
      <c r="W12" s="735"/>
      <c r="X12" s="551" t="s">
        <v>163</v>
      </c>
      <c r="Y12" s="552"/>
      <c r="Z12" s="552"/>
      <c r="AA12" s="552"/>
      <c r="AB12" s="552"/>
      <c r="AC12" s="553"/>
      <c r="AD12" s="551" t="s">
        <v>164</v>
      </c>
      <c r="AE12" s="552"/>
      <c r="AF12" s="552"/>
      <c r="AG12" s="552"/>
      <c r="AH12" s="552"/>
      <c r="AI12" s="553"/>
      <c r="AJ12" s="551" t="s">
        <v>165</v>
      </c>
      <c r="AK12" s="552"/>
      <c r="AL12" s="552"/>
      <c r="AM12" s="552"/>
      <c r="AN12" s="552"/>
      <c r="AO12" s="553"/>
    </row>
    <row r="13" spans="1:41" ht="12.75" customHeight="1" x14ac:dyDescent="0.25">
      <c r="A13" s="65"/>
      <c r="B13" s="273" t="s">
        <v>166</v>
      </c>
      <c r="C13" s="273"/>
      <c r="D13" s="273"/>
      <c r="E13" s="273"/>
      <c r="F13" s="273"/>
      <c r="G13" s="273"/>
      <c r="H13" s="590"/>
      <c r="I13" s="736" t="s">
        <v>167</v>
      </c>
      <c r="J13" s="734"/>
      <c r="K13" s="734"/>
      <c r="L13" s="734"/>
      <c r="M13" s="735"/>
      <c r="N13" s="736" t="s">
        <v>162</v>
      </c>
      <c r="O13" s="734"/>
      <c r="P13" s="734"/>
      <c r="Q13" s="734"/>
      <c r="R13" s="735"/>
      <c r="S13" s="736" t="s">
        <v>168</v>
      </c>
      <c r="T13" s="734"/>
      <c r="U13" s="734"/>
      <c r="V13" s="734"/>
      <c r="W13" s="735"/>
      <c r="X13" s="551" t="s">
        <v>169</v>
      </c>
      <c r="Y13" s="552"/>
      <c r="Z13" s="552"/>
      <c r="AA13" s="552"/>
      <c r="AB13" s="552"/>
      <c r="AC13" s="553"/>
      <c r="AD13" s="551" t="s">
        <v>170</v>
      </c>
      <c r="AE13" s="552"/>
      <c r="AF13" s="552"/>
      <c r="AG13" s="552"/>
      <c r="AH13" s="552"/>
      <c r="AI13" s="553"/>
      <c r="AJ13" s="551" t="s">
        <v>171</v>
      </c>
      <c r="AK13" s="552"/>
      <c r="AL13" s="552"/>
      <c r="AM13" s="552"/>
      <c r="AN13" s="552"/>
      <c r="AO13" s="553"/>
    </row>
    <row r="14" spans="1:41" ht="12.75" customHeight="1" x14ac:dyDescent="0.25">
      <c r="A14" s="65"/>
      <c r="B14" s="273" t="s">
        <v>172</v>
      </c>
      <c r="C14" s="273"/>
      <c r="D14" s="273"/>
      <c r="E14" s="273"/>
      <c r="F14" s="273"/>
      <c r="G14" s="273"/>
      <c r="H14" s="590"/>
      <c r="I14" s="733" t="s">
        <v>173</v>
      </c>
      <c r="J14" s="734"/>
      <c r="K14" s="734"/>
      <c r="L14" s="734"/>
      <c r="M14" s="735"/>
      <c r="N14" s="733" t="s">
        <v>75</v>
      </c>
      <c r="O14" s="734"/>
      <c r="P14" s="734"/>
      <c r="Q14" s="734"/>
      <c r="R14" s="735"/>
      <c r="S14" s="736" t="s">
        <v>174</v>
      </c>
      <c r="T14" s="734"/>
      <c r="U14" s="734"/>
      <c r="V14" s="734"/>
      <c r="W14" s="735"/>
      <c r="X14" s="551" t="s">
        <v>175</v>
      </c>
      <c r="Y14" s="552"/>
      <c r="Z14" s="552"/>
      <c r="AA14" s="552"/>
      <c r="AB14" s="552"/>
      <c r="AC14" s="553"/>
      <c r="AD14" s="551" t="s">
        <v>176</v>
      </c>
      <c r="AE14" s="552"/>
      <c r="AF14" s="552"/>
      <c r="AG14" s="552"/>
      <c r="AH14" s="552"/>
      <c r="AI14" s="553"/>
      <c r="AJ14" s="551" t="s">
        <v>177</v>
      </c>
      <c r="AK14" s="552"/>
      <c r="AL14" s="552"/>
      <c r="AM14" s="552"/>
      <c r="AN14" s="552"/>
      <c r="AO14" s="553"/>
    </row>
    <row r="15" spans="1:41" ht="12.75" customHeight="1" x14ac:dyDescent="0.25">
      <c r="A15" s="66"/>
      <c r="B15" s="728" t="s">
        <v>178</v>
      </c>
      <c r="C15" s="728"/>
      <c r="D15" s="728"/>
      <c r="E15" s="728"/>
      <c r="F15" s="728"/>
      <c r="G15" s="728"/>
      <c r="H15" s="729"/>
      <c r="I15" s="730" t="s">
        <v>75</v>
      </c>
      <c r="J15" s="731"/>
      <c r="K15" s="731"/>
      <c r="L15" s="731"/>
      <c r="M15" s="732"/>
      <c r="N15" s="730"/>
      <c r="O15" s="731"/>
      <c r="P15" s="731"/>
      <c r="Q15" s="731"/>
      <c r="R15" s="732"/>
      <c r="S15" s="730" t="s">
        <v>75</v>
      </c>
      <c r="T15" s="731"/>
      <c r="U15" s="731"/>
      <c r="V15" s="731"/>
      <c r="W15" s="732"/>
      <c r="X15" s="534" t="s">
        <v>179</v>
      </c>
      <c r="Y15" s="535"/>
      <c r="Z15" s="535"/>
      <c r="AA15" s="535"/>
      <c r="AB15" s="535"/>
      <c r="AC15" s="536"/>
      <c r="AD15" s="534" t="s">
        <v>134</v>
      </c>
      <c r="AE15" s="535"/>
      <c r="AF15" s="535"/>
      <c r="AG15" s="535"/>
      <c r="AH15" s="535"/>
      <c r="AI15" s="536"/>
      <c r="AJ15" s="534" t="s">
        <v>180</v>
      </c>
      <c r="AK15" s="535"/>
      <c r="AL15" s="535"/>
      <c r="AM15" s="535"/>
      <c r="AN15" s="535"/>
      <c r="AO15" s="536"/>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88" t="str">
        <f>+'Draught survey report'!B18:H18</f>
        <v>FPT</v>
      </c>
      <c r="C18" s="588"/>
      <c r="D18" s="588"/>
      <c r="E18" s="588"/>
      <c r="F18" s="588"/>
      <c r="G18" s="588"/>
      <c r="H18" s="589"/>
      <c r="I18" s="753">
        <f>+'Draught survey report'!I18:M18</f>
        <v>0</v>
      </c>
      <c r="J18" s="754"/>
      <c r="K18" s="754"/>
      <c r="L18" s="754"/>
      <c r="M18" s="755"/>
      <c r="N18" s="753">
        <f>+Deductions!Z11</f>
        <v>0</v>
      </c>
      <c r="O18" s="754"/>
      <c r="P18" s="754"/>
      <c r="Q18" s="754"/>
      <c r="R18" s="755"/>
      <c r="S18" s="753"/>
      <c r="T18" s="754"/>
      <c r="U18" s="754"/>
      <c r="V18" s="754"/>
      <c r="W18" s="755"/>
      <c r="X18" s="722">
        <f>+Deductions!AC11</f>
        <v>0</v>
      </c>
      <c r="Y18" s="723"/>
      <c r="Z18" s="723"/>
      <c r="AA18" s="723"/>
      <c r="AB18" s="723"/>
      <c r="AC18" s="724"/>
      <c r="AD18" s="725">
        <f>+Deductions!AF11</f>
        <v>0</v>
      </c>
      <c r="AE18" s="726"/>
      <c r="AF18" s="726"/>
      <c r="AG18" s="726"/>
      <c r="AH18" s="726"/>
      <c r="AI18" s="727"/>
      <c r="AJ18" s="722">
        <f>+Deductions!AI11</f>
        <v>0</v>
      </c>
      <c r="AK18" s="723"/>
      <c r="AL18" s="723"/>
      <c r="AM18" s="723"/>
      <c r="AN18" s="723"/>
      <c r="AO18" s="724"/>
    </row>
    <row r="19" spans="1:41" ht="12.75" customHeight="1" x14ac:dyDescent="0.25">
      <c r="A19" s="65"/>
      <c r="B19" s="532" t="str">
        <f>+'Draught survey report'!B19:H19</f>
        <v>WBT 1P</v>
      </c>
      <c r="C19" s="532"/>
      <c r="D19" s="532"/>
      <c r="E19" s="532"/>
      <c r="F19" s="532"/>
      <c r="G19" s="532"/>
      <c r="H19" s="533"/>
      <c r="I19" s="750">
        <f>+'Draught survey report'!I19:M19</f>
        <v>0</v>
      </c>
      <c r="J19" s="751"/>
      <c r="K19" s="751"/>
      <c r="L19" s="751"/>
      <c r="M19" s="752"/>
      <c r="N19" s="750">
        <f>+Deductions!Z12</f>
        <v>0</v>
      </c>
      <c r="O19" s="751"/>
      <c r="P19" s="751"/>
      <c r="Q19" s="751"/>
      <c r="R19" s="752"/>
      <c r="S19" s="750"/>
      <c r="T19" s="751"/>
      <c r="U19" s="751"/>
      <c r="V19" s="751"/>
      <c r="W19" s="752"/>
      <c r="X19" s="710">
        <f>+Deductions!AC12</f>
        <v>0</v>
      </c>
      <c r="Y19" s="711"/>
      <c r="Z19" s="711"/>
      <c r="AA19" s="711"/>
      <c r="AB19" s="711"/>
      <c r="AC19" s="712"/>
      <c r="AD19" s="716">
        <f>+Deductions!AF12</f>
        <v>0</v>
      </c>
      <c r="AE19" s="717"/>
      <c r="AF19" s="717"/>
      <c r="AG19" s="717"/>
      <c r="AH19" s="717"/>
      <c r="AI19" s="718"/>
      <c r="AJ19" s="710">
        <f>+Deductions!AI12</f>
        <v>0</v>
      </c>
      <c r="AK19" s="711"/>
      <c r="AL19" s="711"/>
      <c r="AM19" s="711"/>
      <c r="AN19" s="711"/>
      <c r="AO19" s="712"/>
    </row>
    <row r="20" spans="1:41" ht="12.75" customHeight="1" x14ac:dyDescent="0.25">
      <c r="A20" s="65"/>
      <c r="B20" s="532" t="str">
        <f>+'Draught survey report'!B20:H20</f>
        <v>WBT 1S</v>
      </c>
      <c r="C20" s="532"/>
      <c r="D20" s="532"/>
      <c r="E20" s="532"/>
      <c r="F20" s="532"/>
      <c r="G20" s="532"/>
      <c r="H20" s="533"/>
      <c r="I20" s="750">
        <f>+'Draught survey report'!I20:M20</f>
        <v>0</v>
      </c>
      <c r="J20" s="751"/>
      <c r="K20" s="751"/>
      <c r="L20" s="751"/>
      <c r="M20" s="752"/>
      <c r="N20" s="750">
        <f>+Deductions!Z13</f>
        <v>0</v>
      </c>
      <c r="O20" s="751"/>
      <c r="P20" s="751"/>
      <c r="Q20" s="751"/>
      <c r="R20" s="752"/>
      <c r="S20" s="750"/>
      <c r="T20" s="751"/>
      <c r="U20" s="751"/>
      <c r="V20" s="751"/>
      <c r="W20" s="752"/>
      <c r="X20" s="710">
        <f>+Deductions!AC13</f>
        <v>0</v>
      </c>
      <c r="Y20" s="711"/>
      <c r="Z20" s="711"/>
      <c r="AA20" s="711"/>
      <c r="AB20" s="711"/>
      <c r="AC20" s="712"/>
      <c r="AD20" s="716">
        <f>+Deductions!AF13</f>
        <v>0</v>
      </c>
      <c r="AE20" s="717"/>
      <c r="AF20" s="717"/>
      <c r="AG20" s="717"/>
      <c r="AH20" s="717"/>
      <c r="AI20" s="718"/>
      <c r="AJ20" s="710">
        <f>+Deductions!AI13</f>
        <v>0</v>
      </c>
      <c r="AK20" s="711"/>
      <c r="AL20" s="711"/>
      <c r="AM20" s="711"/>
      <c r="AN20" s="711"/>
      <c r="AO20" s="712"/>
    </row>
    <row r="21" spans="1:41" ht="12.75" customHeight="1" x14ac:dyDescent="0.25">
      <c r="A21" s="65"/>
      <c r="B21" s="532" t="str">
        <f>+'Draught survey report'!B21:H21</f>
        <v>WBT 2P</v>
      </c>
      <c r="C21" s="532"/>
      <c r="D21" s="532"/>
      <c r="E21" s="532"/>
      <c r="F21" s="532"/>
      <c r="G21" s="532"/>
      <c r="H21" s="533"/>
      <c r="I21" s="750">
        <f>+'Draught survey report'!I21:M21</f>
        <v>0</v>
      </c>
      <c r="J21" s="751"/>
      <c r="K21" s="751"/>
      <c r="L21" s="751"/>
      <c r="M21" s="752"/>
      <c r="N21" s="750">
        <f>+Deductions!Z14</f>
        <v>0</v>
      </c>
      <c r="O21" s="751"/>
      <c r="P21" s="751"/>
      <c r="Q21" s="751"/>
      <c r="R21" s="752"/>
      <c r="S21" s="750"/>
      <c r="T21" s="751"/>
      <c r="U21" s="751"/>
      <c r="V21" s="751"/>
      <c r="W21" s="752"/>
      <c r="X21" s="710">
        <f>+Deductions!AC14</f>
        <v>0</v>
      </c>
      <c r="Y21" s="711"/>
      <c r="Z21" s="711"/>
      <c r="AA21" s="711"/>
      <c r="AB21" s="711"/>
      <c r="AC21" s="712"/>
      <c r="AD21" s="716">
        <f>+Deductions!AF14</f>
        <v>0</v>
      </c>
      <c r="AE21" s="717"/>
      <c r="AF21" s="717"/>
      <c r="AG21" s="717"/>
      <c r="AH21" s="717"/>
      <c r="AI21" s="718"/>
      <c r="AJ21" s="710">
        <f>+Deductions!AI14</f>
        <v>0</v>
      </c>
      <c r="AK21" s="711"/>
      <c r="AL21" s="711"/>
      <c r="AM21" s="711"/>
      <c r="AN21" s="711"/>
      <c r="AO21" s="712"/>
    </row>
    <row r="22" spans="1:41" ht="12.75" customHeight="1" x14ac:dyDescent="0.25">
      <c r="A22" s="65"/>
      <c r="B22" s="532" t="str">
        <f>+'Draught survey report'!B22:H22</f>
        <v>WBT 2S</v>
      </c>
      <c r="C22" s="532"/>
      <c r="D22" s="532"/>
      <c r="E22" s="532"/>
      <c r="F22" s="532"/>
      <c r="G22" s="532"/>
      <c r="H22" s="533"/>
      <c r="I22" s="750">
        <f>+'Draught survey report'!I22:M22</f>
        <v>0</v>
      </c>
      <c r="J22" s="751"/>
      <c r="K22" s="751"/>
      <c r="L22" s="751"/>
      <c r="M22" s="752"/>
      <c r="N22" s="750">
        <f>+Deductions!Z15</f>
        <v>0</v>
      </c>
      <c r="O22" s="751"/>
      <c r="P22" s="751"/>
      <c r="Q22" s="751"/>
      <c r="R22" s="752"/>
      <c r="S22" s="750"/>
      <c r="T22" s="751"/>
      <c r="U22" s="751"/>
      <c r="V22" s="751"/>
      <c r="W22" s="752"/>
      <c r="X22" s="710">
        <f>+Deductions!AC15</f>
        <v>0</v>
      </c>
      <c r="Y22" s="711"/>
      <c r="Z22" s="711"/>
      <c r="AA22" s="711"/>
      <c r="AB22" s="711"/>
      <c r="AC22" s="712"/>
      <c r="AD22" s="716">
        <f>+Deductions!AF15</f>
        <v>0</v>
      </c>
      <c r="AE22" s="717"/>
      <c r="AF22" s="717"/>
      <c r="AG22" s="717"/>
      <c r="AH22" s="717"/>
      <c r="AI22" s="718"/>
      <c r="AJ22" s="710">
        <f>+Deductions!AI15</f>
        <v>0</v>
      </c>
      <c r="AK22" s="711"/>
      <c r="AL22" s="711"/>
      <c r="AM22" s="711"/>
      <c r="AN22" s="711"/>
      <c r="AO22" s="712"/>
    </row>
    <row r="23" spans="1:41" ht="12.75" customHeight="1" x14ac:dyDescent="0.25">
      <c r="A23" s="65"/>
      <c r="B23" s="532" t="str">
        <f>+'Draught survey report'!B23:H23</f>
        <v>WBT 3P</v>
      </c>
      <c r="C23" s="532"/>
      <c r="D23" s="532"/>
      <c r="E23" s="532"/>
      <c r="F23" s="532"/>
      <c r="G23" s="532"/>
      <c r="H23" s="533"/>
      <c r="I23" s="750">
        <f>+'Draught survey report'!I23:M23</f>
        <v>0</v>
      </c>
      <c r="J23" s="751"/>
      <c r="K23" s="751"/>
      <c r="L23" s="751"/>
      <c r="M23" s="752"/>
      <c r="N23" s="750">
        <f>+Deductions!Z16</f>
        <v>0</v>
      </c>
      <c r="O23" s="751"/>
      <c r="P23" s="751"/>
      <c r="Q23" s="751"/>
      <c r="R23" s="752"/>
      <c r="S23" s="750"/>
      <c r="T23" s="751"/>
      <c r="U23" s="751"/>
      <c r="V23" s="751"/>
      <c r="W23" s="752"/>
      <c r="X23" s="710">
        <f>+Deductions!AC16</f>
        <v>0</v>
      </c>
      <c r="Y23" s="711"/>
      <c r="Z23" s="711"/>
      <c r="AA23" s="711"/>
      <c r="AB23" s="711"/>
      <c r="AC23" s="712"/>
      <c r="AD23" s="716">
        <f>+Deductions!AF16</f>
        <v>0</v>
      </c>
      <c r="AE23" s="717"/>
      <c r="AF23" s="717"/>
      <c r="AG23" s="717"/>
      <c r="AH23" s="717"/>
      <c r="AI23" s="718"/>
      <c r="AJ23" s="710">
        <f>+Deductions!AI16</f>
        <v>0</v>
      </c>
      <c r="AK23" s="711"/>
      <c r="AL23" s="711"/>
      <c r="AM23" s="711"/>
      <c r="AN23" s="711"/>
      <c r="AO23" s="712"/>
    </row>
    <row r="24" spans="1:41" ht="12.75" customHeight="1" x14ac:dyDescent="0.25">
      <c r="A24" s="65"/>
      <c r="B24" s="532" t="str">
        <f>+'Draught survey report'!B24:H24</f>
        <v>WBT 3S</v>
      </c>
      <c r="C24" s="532"/>
      <c r="D24" s="532"/>
      <c r="E24" s="532"/>
      <c r="F24" s="532"/>
      <c r="G24" s="532"/>
      <c r="H24" s="533"/>
      <c r="I24" s="750">
        <f>+'Draught survey report'!I24:M24</f>
        <v>0</v>
      </c>
      <c r="J24" s="751"/>
      <c r="K24" s="751"/>
      <c r="L24" s="751"/>
      <c r="M24" s="752"/>
      <c r="N24" s="750">
        <f>+Deductions!Z17</f>
        <v>0</v>
      </c>
      <c r="O24" s="751"/>
      <c r="P24" s="751"/>
      <c r="Q24" s="751"/>
      <c r="R24" s="752"/>
      <c r="S24" s="750"/>
      <c r="T24" s="751"/>
      <c r="U24" s="751"/>
      <c r="V24" s="751"/>
      <c r="W24" s="752"/>
      <c r="X24" s="710">
        <f>+Deductions!AC17</f>
        <v>0</v>
      </c>
      <c r="Y24" s="711"/>
      <c r="Z24" s="711"/>
      <c r="AA24" s="711"/>
      <c r="AB24" s="711"/>
      <c r="AC24" s="712"/>
      <c r="AD24" s="716">
        <f>+Deductions!AF17</f>
        <v>0</v>
      </c>
      <c r="AE24" s="717"/>
      <c r="AF24" s="717"/>
      <c r="AG24" s="717"/>
      <c r="AH24" s="717"/>
      <c r="AI24" s="718"/>
      <c r="AJ24" s="710">
        <f>+Deductions!AI17</f>
        <v>0</v>
      </c>
      <c r="AK24" s="711"/>
      <c r="AL24" s="711"/>
      <c r="AM24" s="711"/>
      <c r="AN24" s="711"/>
      <c r="AO24" s="712"/>
    </row>
    <row r="25" spans="1:41" ht="12.75" customHeight="1" x14ac:dyDescent="0.25">
      <c r="A25" s="65"/>
      <c r="B25" s="532" t="str">
        <f>+'Draught survey report'!B25:H25</f>
        <v>WBT 4P</v>
      </c>
      <c r="C25" s="532"/>
      <c r="D25" s="532"/>
      <c r="E25" s="532"/>
      <c r="F25" s="532"/>
      <c r="G25" s="532"/>
      <c r="H25" s="533"/>
      <c r="I25" s="750">
        <f>+'Draught survey report'!I25:M25</f>
        <v>0</v>
      </c>
      <c r="J25" s="751"/>
      <c r="K25" s="751"/>
      <c r="L25" s="751"/>
      <c r="M25" s="752"/>
      <c r="N25" s="750">
        <f>+Deductions!Z18</f>
        <v>0</v>
      </c>
      <c r="O25" s="751"/>
      <c r="P25" s="751"/>
      <c r="Q25" s="751"/>
      <c r="R25" s="752"/>
      <c r="S25" s="750"/>
      <c r="T25" s="751"/>
      <c r="U25" s="751"/>
      <c r="V25" s="751"/>
      <c r="W25" s="752"/>
      <c r="X25" s="710">
        <f>+Deductions!AC18</f>
        <v>0</v>
      </c>
      <c r="Y25" s="711"/>
      <c r="Z25" s="711"/>
      <c r="AA25" s="711"/>
      <c r="AB25" s="711"/>
      <c r="AC25" s="712"/>
      <c r="AD25" s="716">
        <f>+Deductions!AF18</f>
        <v>0</v>
      </c>
      <c r="AE25" s="717"/>
      <c r="AF25" s="717"/>
      <c r="AG25" s="717"/>
      <c r="AH25" s="717"/>
      <c r="AI25" s="718"/>
      <c r="AJ25" s="710">
        <f>+Deductions!AI18</f>
        <v>0</v>
      </c>
      <c r="AK25" s="711"/>
      <c r="AL25" s="711"/>
      <c r="AM25" s="711"/>
      <c r="AN25" s="711"/>
      <c r="AO25" s="712"/>
    </row>
    <row r="26" spans="1:41" ht="12.75" customHeight="1" x14ac:dyDescent="0.25">
      <c r="A26" s="65"/>
      <c r="B26" s="532" t="str">
        <f>+'Draught survey report'!B26:H26</f>
        <v>WBT 4S</v>
      </c>
      <c r="C26" s="532"/>
      <c r="D26" s="532"/>
      <c r="E26" s="532"/>
      <c r="F26" s="532"/>
      <c r="G26" s="532"/>
      <c r="H26" s="533"/>
      <c r="I26" s="750">
        <f>+'Draught survey report'!I26:M26</f>
        <v>0</v>
      </c>
      <c r="J26" s="751"/>
      <c r="K26" s="751"/>
      <c r="L26" s="751"/>
      <c r="M26" s="752"/>
      <c r="N26" s="750">
        <f>+Deductions!Z19</f>
        <v>0</v>
      </c>
      <c r="O26" s="751"/>
      <c r="P26" s="751"/>
      <c r="Q26" s="751"/>
      <c r="R26" s="752"/>
      <c r="S26" s="750"/>
      <c r="T26" s="751"/>
      <c r="U26" s="751"/>
      <c r="V26" s="751"/>
      <c r="W26" s="752"/>
      <c r="X26" s="710">
        <f>+Deductions!AC19</f>
        <v>0</v>
      </c>
      <c r="Y26" s="711"/>
      <c r="Z26" s="711"/>
      <c r="AA26" s="711"/>
      <c r="AB26" s="711"/>
      <c r="AC26" s="712"/>
      <c r="AD26" s="716">
        <f>+Deductions!AF19</f>
        <v>0</v>
      </c>
      <c r="AE26" s="717"/>
      <c r="AF26" s="717"/>
      <c r="AG26" s="717"/>
      <c r="AH26" s="717"/>
      <c r="AI26" s="718"/>
      <c r="AJ26" s="710">
        <f>+Deductions!AI19</f>
        <v>0</v>
      </c>
      <c r="AK26" s="711"/>
      <c r="AL26" s="711"/>
      <c r="AM26" s="711"/>
      <c r="AN26" s="711"/>
      <c r="AO26" s="712"/>
    </row>
    <row r="27" spans="1:41" ht="12.75" customHeight="1" x14ac:dyDescent="0.25">
      <c r="A27" s="65"/>
      <c r="B27" s="532" t="str">
        <f>+'Draught survey report'!B27:H27</f>
        <v>WBT 5P</v>
      </c>
      <c r="C27" s="532"/>
      <c r="D27" s="532"/>
      <c r="E27" s="532"/>
      <c r="F27" s="532"/>
      <c r="G27" s="532"/>
      <c r="H27" s="533"/>
      <c r="I27" s="750">
        <f>+'Draught survey report'!I27:M27</f>
        <v>0</v>
      </c>
      <c r="J27" s="751"/>
      <c r="K27" s="751"/>
      <c r="L27" s="751"/>
      <c r="M27" s="752"/>
      <c r="N27" s="750">
        <f>+Deductions!Z20</f>
        <v>0</v>
      </c>
      <c r="O27" s="751"/>
      <c r="P27" s="751"/>
      <c r="Q27" s="751"/>
      <c r="R27" s="752"/>
      <c r="S27" s="750"/>
      <c r="T27" s="751"/>
      <c r="U27" s="751"/>
      <c r="V27" s="751"/>
      <c r="W27" s="752"/>
      <c r="X27" s="710">
        <f>+Deductions!AC20</f>
        <v>0</v>
      </c>
      <c r="Y27" s="711"/>
      <c r="Z27" s="711"/>
      <c r="AA27" s="711"/>
      <c r="AB27" s="711"/>
      <c r="AC27" s="712"/>
      <c r="AD27" s="716">
        <f>+Deductions!AF20</f>
        <v>0</v>
      </c>
      <c r="AE27" s="717"/>
      <c r="AF27" s="717"/>
      <c r="AG27" s="717"/>
      <c r="AH27" s="717"/>
      <c r="AI27" s="718"/>
      <c r="AJ27" s="710">
        <f>+Deductions!AI20</f>
        <v>0</v>
      </c>
      <c r="AK27" s="711"/>
      <c r="AL27" s="711"/>
      <c r="AM27" s="711"/>
      <c r="AN27" s="711"/>
      <c r="AO27" s="712"/>
    </row>
    <row r="28" spans="1:41" ht="12.75" customHeight="1" x14ac:dyDescent="0.25">
      <c r="A28" s="65"/>
      <c r="B28" s="532" t="str">
        <f>+'Draught survey report'!B28:H28</f>
        <v>WBT 5S</v>
      </c>
      <c r="C28" s="532"/>
      <c r="D28" s="532"/>
      <c r="E28" s="532"/>
      <c r="F28" s="532"/>
      <c r="G28" s="532"/>
      <c r="H28" s="533"/>
      <c r="I28" s="750">
        <f>+'Draught survey report'!I28:M28</f>
        <v>0</v>
      </c>
      <c r="J28" s="751"/>
      <c r="K28" s="751"/>
      <c r="L28" s="751"/>
      <c r="M28" s="752"/>
      <c r="N28" s="750">
        <f>+Deductions!Z21</f>
        <v>0</v>
      </c>
      <c r="O28" s="751"/>
      <c r="P28" s="751"/>
      <c r="Q28" s="751"/>
      <c r="R28" s="752"/>
      <c r="S28" s="750"/>
      <c r="T28" s="751"/>
      <c r="U28" s="751"/>
      <c r="V28" s="751"/>
      <c r="W28" s="752"/>
      <c r="X28" s="710">
        <f>+Deductions!AC21</f>
        <v>0</v>
      </c>
      <c r="Y28" s="711"/>
      <c r="Z28" s="711"/>
      <c r="AA28" s="711"/>
      <c r="AB28" s="711"/>
      <c r="AC28" s="712"/>
      <c r="AD28" s="716">
        <f>+Deductions!AF21</f>
        <v>0</v>
      </c>
      <c r="AE28" s="717"/>
      <c r="AF28" s="717"/>
      <c r="AG28" s="717"/>
      <c r="AH28" s="717"/>
      <c r="AI28" s="718"/>
      <c r="AJ28" s="710">
        <f>+Deductions!AI21</f>
        <v>0</v>
      </c>
      <c r="AK28" s="711"/>
      <c r="AL28" s="711"/>
      <c r="AM28" s="711"/>
      <c r="AN28" s="711"/>
      <c r="AO28" s="712"/>
    </row>
    <row r="29" spans="1:41" ht="12.75" customHeight="1" x14ac:dyDescent="0.25">
      <c r="A29" s="65"/>
      <c r="B29" s="532" t="str">
        <f>+'Draught survey report'!B29:H29</f>
        <v>APT</v>
      </c>
      <c r="C29" s="532"/>
      <c r="D29" s="532"/>
      <c r="E29" s="532"/>
      <c r="F29" s="532"/>
      <c r="G29" s="532"/>
      <c r="H29" s="533"/>
      <c r="I29" s="750">
        <f>+'Draught survey report'!I29:M29</f>
        <v>0</v>
      </c>
      <c r="J29" s="751"/>
      <c r="K29" s="751"/>
      <c r="L29" s="751"/>
      <c r="M29" s="752"/>
      <c r="N29" s="750">
        <f>+Deductions!Z22</f>
        <v>0</v>
      </c>
      <c r="O29" s="751"/>
      <c r="P29" s="751"/>
      <c r="Q29" s="751"/>
      <c r="R29" s="752"/>
      <c r="S29" s="750"/>
      <c r="T29" s="751"/>
      <c r="U29" s="751"/>
      <c r="V29" s="751"/>
      <c r="W29" s="752"/>
      <c r="X29" s="710">
        <f>+Deductions!AC22</f>
        <v>0</v>
      </c>
      <c r="Y29" s="711"/>
      <c r="Z29" s="711"/>
      <c r="AA29" s="711"/>
      <c r="AB29" s="711"/>
      <c r="AC29" s="712"/>
      <c r="AD29" s="716">
        <f>+Deductions!AF22</f>
        <v>0</v>
      </c>
      <c r="AE29" s="717"/>
      <c r="AF29" s="717"/>
      <c r="AG29" s="717"/>
      <c r="AH29" s="717"/>
      <c r="AI29" s="718"/>
      <c r="AJ29" s="710">
        <f>+Deductions!AI22</f>
        <v>0</v>
      </c>
      <c r="AK29" s="711"/>
      <c r="AL29" s="711"/>
      <c r="AM29" s="711"/>
      <c r="AN29" s="711"/>
      <c r="AO29" s="712"/>
    </row>
    <row r="30" spans="1:41" ht="12.75" customHeight="1" x14ac:dyDescent="0.25">
      <c r="A30" s="65"/>
      <c r="B30" s="532" t="str">
        <f>+'Draught survey report'!B30:H30</f>
        <v>SLOP TANK</v>
      </c>
      <c r="C30" s="532"/>
      <c r="D30" s="532"/>
      <c r="E30" s="532"/>
      <c r="F30" s="532"/>
      <c r="G30" s="532"/>
      <c r="H30" s="533"/>
      <c r="I30" s="750">
        <f>+'Draught survey report'!I30:M30</f>
        <v>0</v>
      </c>
      <c r="J30" s="751"/>
      <c r="K30" s="751"/>
      <c r="L30" s="751"/>
      <c r="M30" s="752"/>
      <c r="N30" s="750">
        <f>+Deductions!Z23</f>
        <v>0</v>
      </c>
      <c r="O30" s="751"/>
      <c r="P30" s="751"/>
      <c r="Q30" s="751"/>
      <c r="R30" s="752"/>
      <c r="S30" s="750"/>
      <c r="T30" s="751"/>
      <c r="U30" s="751"/>
      <c r="V30" s="751"/>
      <c r="W30" s="752"/>
      <c r="X30" s="710">
        <f>+Deductions!AC23</f>
        <v>0</v>
      </c>
      <c r="Y30" s="711"/>
      <c r="Z30" s="711"/>
      <c r="AA30" s="711"/>
      <c r="AB30" s="711"/>
      <c r="AC30" s="712"/>
      <c r="AD30" s="716">
        <f>+Deductions!AF23</f>
        <v>0</v>
      </c>
      <c r="AE30" s="717"/>
      <c r="AF30" s="717"/>
      <c r="AG30" s="717"/>
      <c r="AH30" s="717"/>
      <c r="AI30" s="718"/>
      <c r="AJ30" s="710">
        <f>+Deductions!AI23</f>
        <v>0</v>
      </c>
      <c r="AK30" s="711"/>
      <c r="AL30" s="711"/>
      <c r="AM30" s="711"/>
      <c r="AN30" s="711"/>
      <c r="AO30" s="712"/>
    </row>
    <row r="31" spans="1:41" ht="12.75" customHeight="1" x14ac:dyDescent="0.25">
      <c r="A31" s="65"/>
      <c r="B31" s="532" t="str">
        <f>+'Draught survey report'!B31:H31</f>
        <v>FW WASH</v>
      </c>
      <c r="C31" s="532"/>
      <c r="D31" s="532"/>
      <c r="E31" s="532"/>
      <c r="F31" s="532"/>
      <c r="G31" s="532"/>
      <c r="H31" s="533"/>
      <c r="I31" s="750">
        <f>+'Draught survey report'!I31:M31</f>
        <v>0</v>
      </c>
      <c r="J31" s="751"/>
      <c r="K31" s="751"/>
      <c r="L31" s="751"/>
      <c r="M31" s="752"/>
      <c r="N31" s="750">
        <f>+Deductions!Z24</f>
        <v>0</v>
      </c>
      <c r="O31" s="751"/>
      <c r="P31" s="751"/>
      <c r="Q31" s="751"/>
      <c r="R31" s="752"/>
      <c r="S31" s="750"/>
      <c r="T31" s="751"/>
      <c r="U31" s="751"/>
      <c r="V31" s="751"/>
      <c r="W31" s="752"/>
      <c r="X31" s="710">
        <f>+Deductions!AC24</f>
        <v>0</v>
      </c>
      <c r="Y31" s="711"/>
      <c r="Z31" s="711"/>
      <c r="AA31" s="711"/>
      <c r="AB31" s="711"/>
      <c r="AC31" s="712"/>
      <c r="AD31" s="716">
        <f>+Deductions!AF24</f>
        <v>0</v>
      </c>
      <c r="AE31" s="717"/>
      <c r="AF31" s="717"/>
      <c r="AG31" s="717"/>
      <c r="AH31" s="717"/>
      <c r="AI31" s="718"/>
      <c r="AJ31" s="710">
        <f>+Deductions!AI24</f>
        <v>0</v>
      </c>
      <c r="AK31" s="711"/>
      <c r="AL31" s="711"/>
      <c r="AM31" s="711"/>
      <c r="AN31" s="711"/>
      <c r="AO31" s="712"/>
    </row>
    <row r="32" spans="1:41" ht="12.75" customHeight="1" x14ac:dyDescent="0.25">
      <c r="A32" s="65"/>
      <c r="B32" s="532">
        <f>+'Draught survey report'!B32:H32</f>
        <v>0</v>
      </c>
      <c r="C32" s="532"/>
      <c r="D32" s="532"/>
      <c r="E32" s="532"/>
      <c r="F32" s="532"/>
      <c r="G32" s="532"/>
      <c r="H32" s="533"/>
      <c r="I32" s="750">
        <f>+'Draught survey report'!I32:M32</f>
        <v>0</v>
      </c>
      <c r="J32" s="751"/>
      <c r="K32" s="751"/>
      <c r="L32" s="751"/>
      <c r="M32" s="752"/>
      <c r="N32" s="750">
        <f>+Deductions!Z25</f>
        <v>0</v>
      </c>
      <c r="O32" s="751"/>
      <c r="P32" s="751"/>
      <c r="Q32" s="751"/>
      <c r="R32" s="752"/>
      <c r="S32" s="750"/>
      <c r="T32" s="751"/>
      <c r="U32" s="751"/>
      <c r="V32" s="751"/>
      <c r="W32" s="752"/>
      <c r="X32" s="710">
        <f>+Deductions!AC25</f>
        <v>0</v>
      </c>
      <c r="Y32" s="711"/>
      <c r="Z32" s="711"/>
      <c r="AA32" s="711"/>
      <c r="AB32" s="711"/>
      <c r="AC32" s="712"/>
      <c r="AD32" s="716">
        <f>+Deductions!AF25</f>
        <v>0</v>
      </c>
      <c r="AE32" s="717"/>
      <c r="AF32" s="717"/>
      <c r="AG32" s="717"/>
      <c r="AH32" s="717"/>
      <c r="AI32" s="718"/>
      <c r="AJ32" s="710">
        <f>+Deductions!AI25</f>
        <v>0</v>
      </c>
      <c r="AK32" s="711"/>
      <c r="AL32" s="711"/>
      <c r="AM32" s="711"/>
      <c r="AN32" s="711"/>
      <c r="AO32" s="712"/>
    </row>
    <row r="33" spans="1:41" ht="12.75" customHeight="1" x14ac:dyDescent="0.25">
      <c r="A33" s="65"/>
      <c r="B33" s="756">
        <f>+'Draught survey report'!B33:H33</f>
        <v>0</v>
      </c>
      <c r="C33" s="756"/>
      <c r="D33" s="756"/>
      <c r="E33" s="756"/>
      <c r="F33" s="756"/>
      <c r="G33" s="756"/>
      <c r="H33" s="757"/>
      <c r="I33" s="750">
        <f>+'Draught survey report'!I33:M33</f>
        <v>0</v>
      </c>
      <c r="J33" s="751"/>
      <c r="K33" s="751"/>
      <c r="L33" s="751"/>
      <c r="M33" s="752"/>
      <c r="N33" s="750">
        <f>+Deductions!Z26</f>
        <v>0</v>
      </c>
      <c r="O33" s="751"/>
      <c r="P33" s="751"/>
      <c r="Q33" s="751"/>
      <c r="R33" s="752"/>
      <c r="S33" s="750"/>
      <c r="T33" s="751"/>
      <c r="U33" s="751"/>
      <c r="V33" s="751"/>
      <c r="W33" s="752"/>
      <c r="X33" s="710">
        <f>+Deductions!AC26</f>
        <v>0</v>
      </c>
      <c r="Y33" s="711"/>
      <c r="Z33" s="711"/>
      <c r="AA33" s="711"/>
      <c r="AB33" s="711"/>
      <c r="AC33" s="712"/>
      <c r="AD33" s="716">
        <f>+Deductions!AF26</f>
        <v>0</v>
      </c>
      <c r="AE33" s="717"/>
      <c r="AF33" s="717"/>
      <c r="AG33" s="717"/>
      <c r="AH33" s="717"/>
      <c r="AI33" s="718"/>
      <c r="AJ33" s="710">
        <f>+Deductions!AI26</f>
        <v>0</v>
      </c>
      <c r="AK33" s="711"/>
      <c r="AL33" s="711"/>
      <c r="AM33" s="711"/>
      <c r="AN33" s="711"/>
      <c r="AO33" s="712"/>
    </row>
    <row r="34" spans="1:41" ht="12.75" customHeight="1" x14ac:dyDescent="0.25">
      <c r="A34" s="65"/>
      <c r="B34" s="532">
        <f>+'Draught survey report'!B34:H34</f>
        <v>0</v>
      </c>
      <c r="C34" s="532"/>
      <c r="D34" s="532"/>
      <c r="E34" s="532"/>
      <c r="F34" s="532"/>
      <c r="G34" s="532"/>
      <c r="H34" s="533"/>
      <c r="I34" s="750">
        <f>+'Draught survey report'!I34:M34</f>
        <v>0</v>
      </c>
      <c r="J34" s="751"/>
      <c r="K34" s="751"/>
      <c r="L34" s="751"/>
      <c r="M34" s="752"/>
      <c r="N34" s="750">
        <f>+Deductions!Z27</f>
        <v>0</v>
      </c>
      <c r="O34" s="751"/>
      <c r="P34" s="751"/>
      <c r="Q34" s="751"/>
      <c r="R34" s="752"/>
      <c r="S34" s="750"/>
      <c r="T34" s="751"/>
      <c r="U34" s="751"/>
      <c r="V34" s="751"/>
      <c r="W34" s="752"/>
      <c r="X34" s="710">
        <f>+Deductions!AC27</f>
        <v>0</v>
      </c>
      <c r="Y34" s="711"/>
      <c r="Z34" s="711"/>
      <c r="AA34" s="711"/>
      <c r="AB34" s="711"/>
      <c r="AC34" s="712"/>
      <c r="AD34" s="716">
        <f>+Deductions!AF27</f>
        <v>0</v>
      </c>
      <c r="AE34" s="717"/>
      <c r="AF34" s="717"/>
      <c r="AG34" s="717"/>
      <c r="AH34" s="717"/>
      <c r="AI34" s="718"/>
      <c r="AJ34" s="710">
        <f>+Deductions!AI27</f>
        <v>0</v>
      </c>
      <c r="AK34" s="711"/>
      <c r="AL34" s="711"/>
      <c r="AM34" s="711"/>
      <c r="AN34" s="711"/>
      <c r="AO34" s="712"/>
    </row>
    <row r="35" spans="1:41" ht="12.75" customHeight="1" x14ac:dyDescent="0.25">
      <c r="A35" s="65"/>
      <c r="B35" s="532">
        <f>+'Draught survey report'!B35:H35</f>
        <v>0</v>
      </c>
      <c r="C35" s="532"/>
      <c r="D35" s="532"/>
      <c r="E35" s="532"/>
      <c r="F35" s="532"/>
      <c r="G35" s="532"/>
      <c r="H35" s="533"/>
      <c r="I35" s="750">
        <f>+'Draught survey report'!I35:M35</f>
        <v>0</v>
      </c>
      <c r="J35" s="751"/>
      <c r="K35" s="751"/>
      <c r="L35" s="751"/>
      <c r="M35" s="752"/>
      <c r="N35" s="750">
        <f>+Deductions!Z28</f>
        <v>0</v>
      </c>
      <c r="O35" s="751"/>
      <c r="P35" s="751"/>
      <c r="Q35" s="751"/>
      <c r="R35" s="752"/>
      <c r="S35" s="750"/>
      <c r="T35" s="751"/>
      <c r="U35" s="751"/>
      <c r="V35" s="751"/>
      <c r="W35" s="752"/>
      <c r="X35" s="710">
        <f>+Deductions!AC28</f>
        <v>0</v>
      </c>
      <c r="Y35" s="711"/>
      <c r="Z35" s="711"/>
      <c r="AA35" s="711"/>
      <c r="AB35" s="711"/>
      <c r="AC35" s="712"/>
      <c r="AD35" s="716">
        <f>+Deductions!AF28</f>
        <v>0</v>
      </c>
      <c r="AE35" s="717"/>
      <c r="AF35" s="717"/>
      <c r="AG35" s="717"/>
      <c r="AH35" s="717"/>
      <c r="AI35" s="718"/>
      <c r="AJ35" s="710">
        <f>+Deductions!AI28</f>
        <v>0</v>
      </c>
      <c r="AK35" s="711"/>
      <c r="AL35" s="711"/>
      <c r="AM35" s="711"/>
      <c r="AN35" s="711"/>
      <c r="AO35" s="712"/>
    </row>
    <row r="36" spans="1:41" ht="12.75" customHeight="1" x14ac:dyDescent="0.25">
      <c r="A36" s="65"/>
      <c r="B36" s="532">
        <f>+'Draught survey report'!B36:H36</f>
        <v>0</v>
      </c>
      <c r="C36" s="532"/>
      <c r="D36" s="532"/>
      <c r="E36" s="532"/>
      <c r="F36" s="532"/>
      <c r="G36" s="532"/>
      <c r="H36" s="533"/>
      <c r="I36" s="750">
        <f>+'Draught survey report'!I36:M36</f>
        <v>0</v>
      </c>
      <c r="J36" s="751"/>
      <c r="K36" s="751"/>
      <c r="L36" s="751"/>
      <c r="M36" s="752"/>
      <c r="N36" s="750">
        <f>+Deductions!Z29</f>
        <v>0</v>
      </c>
      <c r="O36" s="751"/>
      <c r="P36" s="751"/>
      <c r="Q36" s="751"/>
      <c r="R36" s="752"/>
      <c r="S36" s="750"/>
      <c r="T36" s="751"/>
      <c r="U36" s="751"/>
      <c r="V36" s="751"/>
      <c r="W36" s="752"/>
      <c r="X36" s="710">
        <f>+Deductions!AC29</f>
        <v>0</v>
      </c>
      <c r="Y36" s="711"/>
      <c r="Z36" s="711"/>
      <c r="AA36" s="711"/>
      <c r="AB36" s="711"/>
      <c r="AC36" s="712"/>
      <c r="AD36" s="716">
        <f>+Deductions!AF29</f>
        <v>0</v>
      </c>
      <c r="AE36" s="717"/>
      <c r="AF36" s="717"/>
      <c r="AG36" s="717"/>
      <c r="AH36" s="717"/>
      <c r="AI36" s="718"/>
      <c r="AJ36" s="710">
        <f>+Deductions!AI29</f>
        <v>0</v>
      </c>
      <c r="AK36" s="711"/>
      <c r="AL36" s="711"/>
      <c r="AM36" s="711"/>
      <c r="AN36" s="711"/>
      <c r="AO36" s="712"/>
    </row>
    <row r="37" spans="1:41" ht="12.75" customHeight="1" x14ac:dyDescent="0.25">
      <c r="A37" s="65"/>
      <c r="B37" s="532">
        <f>+'Draught survey report'!B37:H37</f>
        <v>0</v>
      </c>
      <c r="C37" s="532"/>
      <c r="D37" s="532"/>
      <c r="E37" s="532"/>
      <c r="F37" s="532"/>
      <c r="G37" s="532"/>
      <c r="H37" s="533"/>
      <c r="I37" s="750">
        <f>+'Draught survey report'!I37:M37</f>
        <v>0</v>
      </c>
      <c r="J37" s="751"/>
      <c r="K37" s="751"/>
      <c r="L37" s="751"/>
      <c r="M37" s="752"/>
      <c r="N37" s="750">
        <f>+Deductions!Z30</f>
        <v>0</v>
      </c>
      <c r="O37" s="751"/>
      <c r="P37" s="751"/>
      <c r="Q37" s="751"/>
      <c r="R37" s="752"/>
      <c r="S37" s="750"/>
      <c r="T37" s="751"/>
      <c r="U37" s="751"/>
      <c r="V37" s="751"/>
      <c r="W37" s="752"/>
      <c r="X37" s="710">
        <f>+Deductions!AC30</f>
        <v>0</v>
      </c>
      <c r="Y37" s="711"/>
      <c r="Z37" s="711"/>
      <c r="AA37" s="711"/>
      <c r="AB37" s="711"/>
      <c r="AC37" s="712"/>
      <c r="AD37" s="716">
        <f>+Deductions!AF30</f>
        <v>0</v>
      </c>
      <c r="AE37" s="717"/>
      <c r="AF37" s="717"/>
      <c r="AG37" s="717"/>
      <c r="AH37" s="717"/>
      <c r="AI37" s="718"/>
      <c r="AJ37" s="710">
        <f>+Deductions!AI30</f>
        <v>0</v>
      </c>
      <c r="AK37" s="711"/>
      <c r="AL37" s="711"/>
      <c r="AM37" s="711"/>
      <c r="AN37" s="711"/>
      <c r="AO37" s="712"/>
    </row>
    <row r="38" spans="1:41" ht="12.75" customHeight="1" x14ac:dyDescent="0.25">
      <c r="A38" s="65"/>
      <c r="B38" s="532">
        <f>+'Draught survey report'!B38:H38</f>
        <v>0</v>
      </c>
      <c r="C38" s="532"/>
      <c r="D38" s="532"/>
      <c r="E38" s="532"/>
      <c r="F38" s="532"/>
      <c r="G38" s="532"/>
      <c r="H38" s="533"/>
      <c r="I38" s="750">
        <f>+'Draught survey report'!I38:M38</f>
        <v>0</v>
      </c>
      <c r="J38" s="751"/>
      <c r="K38" s="751"/>
      <c r="L38" s="751"/>
      <c r="M38" s="752"/>
      <c r="N38" s="750">
        <f>+Deductions!Z31</f>
        <v>0</v>
      </c>
      <c r="O38" s="751"/>
      <c r="P38" s="751"/>
      <c r="Q38" s="751"/>
      <c r="R38" s="752"/>
      <c r="S38" s="750"/>
      <c r="T38" s="751"/>
      <c r="U38" s="751"/>
      <c r="V38" s="751"/>
      <c r="W38" s="752"/>
      <c r="X38" s="710">
        <f>+Deductions!AC31</f>
        <v>0</v>
      </c>
      <c r="Y38" s="711"/>
      <c r="Z38" s="711"/>
      <c r="AA38" s="711"/>
      <c r="AB38" s="711"/>
      <c r="AC38" s="712"/>
      <c r="AD38" s="716">
        <f>+Deductions!AF31</f>
        <v>0</v>
      </c>
      <c r="AE38" s="717"/>
      <c r="AF38" s="717"/>
      <c r="AG38" s="717"/>
      <c r="AH38" s="717"/>
      <c r="AI38" s="718"/>
      <c r="AJ38" s="710">
        <f>+Deductions!AI31</f>
        <v>0</v>
      </c>
      <c r="AK38" s="711"/>
      <c r="AL38" s="711"/>
      <c r="AM38" s="711"/>
      <c r="AN38" s="711"/>
      <c r="AO38" s="712"/>
    </row>
    <row r="39" spans="1:41" ht="12.75" customHeight="1" x14ac:dyDescent="0.25">
      <c r="A39" s="65"/>
      <c r="B39" s="532">
        <f>+'Draught survey report'!B39:H39</f>
        <v>0</v>
      </c>
      <c r="C39" s="532"/>
      <c r="D39" s="532"/>
      <c r="E39" s="532"/>
      <c r="F39" s="532"/>
      <c r="G39" s="532"/>
      <c r="H39" s="533"/>
      <c r="I39" s="750">
        <f>+'Draught survey report'!I39:M39</f>
        <v>0</v>
      </c>
      <c r="J39" s="751"/>
      <c r="K39" s="751"/>
      <c r="L39" s="751"/>
      <c r="M39" s="752"/>
      <c r="N39" s="750">
        <f>+Deductions!Z32</f>
        <v>0</v>
      </c>
      <c r="O39" s="751"/>
      <c r="P39" s="751"/>
      <c r="Q39" s="751"/>
      <c r="R39" s="752"/>
      <c r="S39" s="750"/>
      <c r="T39" s="751"/>
      <c r="U39" s="751"/>
      <c r="V39" s="751"/>
      <c r="W39" s="752"/>
      <c r="X39" s="710">
        <f>+Deductions!AC32</f>
        <v>0</v>
      </c>
      <c r="Y39" s="711"/>
      <c r="Z39" s="711"/>
      <c r="AA39" s="711"/>
      <c r="AB39" s="711"/>
      <c r="AC39" s="712"/>
      <c r="AD39" s="716">
        <f>+Deductions!AF32</f>
        <v>0</v>
      </c>
      <c r="AE39" s="717"/>
      <c r="AF39" s="717"/>
      <c r="AG39" s="717"/>
      <c r="AH39" s="717"/>
      <c r="AI39" s="718"/>
      <c r="AJ39" s="710">
        <f>+Deductions!AI32</f>
        <v>0</v>
      </c>
      <c r="AK39" s="711"/>
      <c r="AL39" s="711"/>
      <c r="AM39" s="711"/>
      <c r="AN39" s="711"/>
      <c r="AO39" s="712"/>
    </row>
    <row r="40" spans="1:41" ht="12.75" customHeight="1" x14ac:dyDescent="0.25">
      <c r="A40" s="65"/>
      <c r="B40" s="532">
        <f>+'Draught survey report'!B40:H40</f>
        <v>0</v>
      </c>
      <c r="C40" s="532"/>
      <c r="D40" s="532"/>
      <c r="E40" s="532"/>
      <c r="F40" s="532"/>
      <c r="G40" s="532"/>
      <c r="H40" s="533"/>
      <c r="I40" s="750">
        <f>+'Draught survey report'!I40:M40</f>
        <v>0</v>
      </c>
      <c r="J40" s="751"/>
      <c r="K40" s="751"/>
      <c r="L40" s="751"/>
      <c r="M40" s="752"/>
      <c r="N40" s="750">
        <f>+Deductions!Z33</f>
        <v>0</v>
      </c>
      <c r="O40" s="751"/>
      <c r="P40" s="751"/>
      <c r="Q40" s="751"/>
      <c r="R40" s="752"/>
      <c r="S40" s="750"/>
      <c r="T40" s="751"/>
      <c r="U40" s="751"/>
      <c r="V40" s="751"/>
      <c r="W40" s="752"/>
      <c r="X40" s="710">
        <f>+Deductions!AC33</f>
        <v>0</v>
      </c>
      <c r="Y40" s="711"/>
      <c r="Z40" s="711"/>
      <c r="AA40" s="711"/>
      <c r="AB40" s="711"/>
      <c r="AC40" s="712"/>
      <c r="AD40" s="716">
        <f>+Deductions!AF33</f>
        <v>0</v>
      </c>
      <c r="AE40" s="717"/>
      <c r="AF40" s="717"/>
      <c r="AG40" s="717"/>
      <c r="AH40" s="717"/>
      <c r="AI40" s="718"/>
      <c r="AJ40" s="710">
        <f>+Deductions!AI33</f>
        <v>0</v>
      </c>
      <c r="AK40" s="711"/>
      <c r="AL40" s="711"/>
      <c r="AM40" s="711"/>
      <c r="AN40" s="711"/>
      <c r="AO40" s="712"/>
    </row>
    <row r="41" spans="1:41" ht="12.75" customHeight="1" x14ac:dyDescent="0.25">
      <c r="A41" s="65"/>
      <c r="B41" s="532">
        <f>+'Draught survey report'!B41:H41</f>
        <v>0</v>
      </c>
      <c r="C41" s="532"/>
      <c r="D41" s="532"/>
      <c r="E41" s="532"/>
      <c r="F41" s="532"/>
      <c r="G41" s="532"/>
      <c r="H41" s="533"/>
      <c r="I41" s="750">
        <f>+'Draught survey report'!I41:M41</f>
        <v>0</v>
      </c>
      <c r="J41" s="751"/>
      <c r="K41" s="751"/>
      <c r="L41" s="751"/>
      <c r="M41" s="752"/>
      <c r="N41" s="750">
        <f>+Deductions!Z34</f>
        <v>0</v>
      </c>
      <c r="O41" s="751"/>
      <c r="P41" s="751"/>
      <c r="Q41" s="751"/>
      <c r="R41" s="752"/>
      <c r="S41" s="750"/>
      <c r="T41" s="751"/>
      <c r="U41" s="751"/>
      <c r="V41" s="751"/>
      <c r="W41" s="752"/>
      <c r="X41" s="710">
        <f>+Deductions!AC34</f>
        <v>0</v>
      </c>
      <c r="Y41" s="711"/>
      <c r="Z41" s="711"/>
      <c r="AA41" s="711"/>
      <c r="AB41" s="711"/>
      <c r="AC41" s="712"/>
      <c r="AD41" s="716">
        <f>+Deductions!AF34</f>
        <v>0</v>
      </c>
      <c r="AE41" s="717"/>
      <c r="AF41" s="717"/>
      <c r="AG41" s="717"/>
      <c r="AH41" s="717"/>
      <c r="AI41" s="718"/>
      <c r="AJ41" s="710">
        <f>+Deductions!AI34</f>
        <v>0</v>
      </c>
      <c r="AK41" s="711"/>
      <c r="AL41" s="711"/>
      <c r="AM41" s="711"/>
      <c r="AN41" s="711"/>
      <c r="AO41" s="712"/>
    </row>
    <row r="42" spans="1:41" ht="12.75" customHeight="1" x14ac:dyDescent="0.25">
      <c r="A42" s="65"/>
      <c r="B42" s="532">
        <f>+'Draught survey report'!B42:H42</f>
        <v>0</v>
      </c>
      <c r="C42" s="532"/>
      <c r="D42" s="532"/>
      <c r="E42" s="532"/>
      <c r="F42" s="532"/>
      <c r="G42" s="532"/>
      <c r="H42" s="533"/>
      <c r="I42" s="750">
        <f>+'Draught survey report'!I42:M42</f>
        <v>0</v>
      </c>
      <c r="J42" s="751"/>
      <c r="K42" s="751"/>
      <c r="L42" s="751"/>
      <c r="M42" s="752"/>
      <c r="N42" s="750">
        <f>+Deductions!Z35</f>
        <v>0</v>
      </c>
      <c r="O42" s="751"/>
      <c r="P42" s="751"/>
      <c r="Q42" s="751"/>
      <c r="R42" s="752"/>
      <c r="S42" s="750"/>
      <c r="T42" s="751"/>
      <c r="U42" s="751"/>
      <c r="V42" s="751"/>
      <c r="W42" s="752"/>
      <c r="X42" s="710">
        <f>+Deductions!AC35</f>
        <v>0</v>
      </c>
      <c r="Y42" s="711"/>
      <c r="Z42" s="711"/>
      <c r="AA42" s="711"/>
      <c r="AB42" s="711"/>
      <c r="AC42" s="712"/>
      <c r="AD42" s="716">
        <f>+Deductions!AF35</f>
        <v>0</v>
      </c>
      <c r="AE42" s="717"/>
      <c r="AF42" s="717"/>
      <c r="AG42" s="717"/>
      <c r="AH42" s="717"/>
      <c r="AI42" s="718"/>
      <c r="AJ42" s="710">
        <f>+Deductions!AI35</f>
        <v>0</v>
      </c>
      <c r="AK42" s="711"/>
      <c r="AL42" s="711"/>
      <c r="AM42" s="711"/>
      <c r="AN42" s="711"/>
      <c r="AO42" s="712"/>
    </row>
    <row r="43" spans="1:41" ht="12.75" customHeight="1" x14ac:dyDescent="0.25">
      <c r="A43" s="65"/>
      <c r="B43" s="532">
        <f>+'Draught survey report'!B43:H43</f>
        <v>0</v>
      </c>
      <c r="C43" s="532"/>
      <c r="D43" s="532"/>
      <c r="E43" s="532"/>
      <c r="F43" s="532"/>
      <c r="G43" s="532"/>
      <c r="H43" s="533"/>
      <c r="I43" s="750">
        <f>+'Draught survey report'!I43:M43</f>
        <v>0</v>
      </c>
      <c r="J43" s="751"/>
      <c r="K43" s="751"/>
      <c r="L43" s="751"/>
      <c r="M43" s="752"/>
      <c r="N43" s="750">
        <f>+Deductions!Z36</f>
        <v>0</v>
      </c>
      <c r="O43" s="751"/>
      <c r="P43" s="751"/>
      <c r="Q43" s="751"/>
      <c r="R43" s="752"/>
      <c r="S43" s="750"/>
      <c r="T43" s="751"/>
      <c r="U43" s="751"/>
      <c r="V43" s="751"/>
      <c r="W43" s="752"/>
      <c r="X43" s="710">
        <f>+Deductions!AC36</f>
        <v>0</v>
      </c>
      <c r="Y43" s="711"/>
      <c r="Z43" s="711"/>
      <c r="AA43" s="711"/>
      <c r="AB43" s="711"/>
      <c r="AC43" s="712"/>
      <c r="AD43" s="716">
        <f>+Deductions!AF36</f>
        <v>0</v>
      </c>
      <c r="AE43" s="717"/>
      <c r="AF43" s="717"/>
      <c r="AG43" s="717"/>
      <c r="AH43" s="717"/>
      <c r="AI43" s="718"/>
      <c r="AJ43" s="710">
        <f>+Deductions!AI36</f>
        <v>0</v>
      </c>
      <c r="AK43" s="711"/>
      <c r="AL43" s="711"/>
      <c r="AM43" s="711"/>
      <c r="AN43" s="711"/>
      <c r="AO43" s="712"/>
    </row>
    <row r="44" spans="1:41" ht="12.75" customHeight="1" x14ac:dyDescent="0.25">
      <c r="A44" s="66"/>
      <c r="B44" s="538">
        <f>+'Draught survey report'!B44:H44</f>
        <v>0</v>
      </c>
      <c r="C44" s="538"/>
      <c r="D44" s="538"/>
      <c r="E44" s="538"/>
      <c r="F44" s="538"/>
      <c r="G44" s="538"/>
      <c r="H44" s="539"/>
      <c r="I44" s="747">
        <f>+'Draught survey report'!I44:M44</f>
        <v>0</v>
      </c>
      <c r="J44" s="748"/>
      <c r="K44" s="748"/>
      <c r="L44" s="748"/>
      <c r="M44" s="749"/>
      <c r="N44" s="747">
        <f>+Deductions!Z37</f>
        <v>0</v>
      </c>
      <c r="O44" s="748"/>
      <c r="P44" s="748"/>
      <c r="Q44" s="748"/>
      <c r="R44" s="749"/>
      <c r="S44" s="747"/>
      <c r="T44" s="748"/>
      <c r="U44" s="748"/>
      <c r="V44" s="748"/>
      <c r="W44" s="749"/>
      <c r="X44" s="695">
        <f>+Deductions!AC37</f>
        <v>0</v>
      </c>
      <c r="Y44" s="696"/>
      <c r="Z44" s="696"/>
      <c r="AA44" s="696"/>
      <c r="AB44" s="696"/>
      <c r="AC44" s="697"/>
      <c r="AD44" s="707">
        <f>+Deductions!AF37</f>
        <v>0</v>
      </c>
      <c r="AE44" s="708"/>
      <c r="AF44" s="708"/>
      <c r="AG44" s="708"/>
      <c r="AH44" s="708"/>
      <c r="AI44" s="709"/>
      <c r="AJ44" s="695">
        <f>+Deductions!AI37</f>
        <v>0</v>
      </c>
      <c r="AK44" s="696"/>
      <c r="AL44" s="696"/>
      <c r="AM44" s="696"/>
      <c r="AN44" s="696"/>
      <c r="AO44" s="697"/>
    </row>
    <row r="45" spans="1:41" ht="12.75" customHeight="1" x14ac:dyDescent="0.25">
      <c r="A45" s="35"/>
      <c r="B45" s="499" t="s">
        <v>182</v>
      </c>
      <c r="C45" s="499"/>
      <c r="D45" s="499"/>
      <c r="E45" s="499"/>
      <c r="F45" s="499"/>
      <c r="G45" s="499"/>
      <c r="H45" s="499"/>
      <c r="I45" s="499"/>
      <c r="J45" s="499"/>
      <c r="K45" s="499"/>
      <c r="L45" s="499"/>
      <c r="M45" s="499"/>
      <c r="N45" s="499"/>
      <c r="O45" s="499"/>
      <c r="P45" s="499"/>
      <c r="Q45" s="499"/>
      <c r="R45" s="499"/>
      <c r="S45" s="499"/>
      <c r="T45" s="499"/>
      <c r="U45" s="499"/>
      <c r="V45" s="499"/>
      <c r="W45" s="499"/>
      <c r="X45" s="499"/>
      <c r="Y45" s="499"/>
      <c r="Z45" s="499"/>
      <c r="AA45" s="499"/>
      <c r="AB45" s="499"/>
      <c r="AC45" s="499"/>
      <c r="AD45" s="499"/>
      <c r="AE45" s="499"/>
      <c r="AF45" s="499"/>
      <c r="AG45" s="499"/>
      <c r="AH45" s="499"/>
      <c r="AI45" s="499"/>
      <c r="AJ45" s="698">
        <f>+Deductions!AI42</f>
        <v>0</v>
      </c>
      <c r="AK45" s="698"/>
      <c r="AL45" s="698"/>
      <c r="AM45" s="698"/>
      <c r="AN45" s="698"/>
      <c r="AO45" s="699"/>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88" t="str">
        <f>+'Draught survey report'!B48:H48</f>
        <v>FWT P</v>
      </c>
      <c r="C48" s="588"/>
      <c r="D48" s="588"/>
      <c r="E48" s="588"/>
      <c r="F48" s="588"/>
      <c r="G48" s="588"/>
      <c r="H48" s="589"/>
      <c r="I48" s="753">
        <f>+'Draught survey report'!I48:M48</f>
        <v>0</v>
      </c>
      <c r="J48" s="754"/>
      <c r="K48" s="754"/>
      <c r="L48" s="754"/>
      <c r="M48" s="755"/>
      <c r="N48" s="753" t="str">
        <f>+Deductions!Z47</f>
        <v>GAUGE</v>
      </c>
      <c r="O48" s="754"/>
      <c r="P48" s="754"/>
      <c r="Q48" s="754"/>
      <c r="R48" s="755"/>
      <c r="S48" s="753"/>
      <c r="T48" s="754"/>
      <c r="U48" s="754"/>
      <c r="V48" s="754"/>
      <c r="W48" s="755"/>
      <c r="X48" s="722">
        <f>+Deductions!AC47</f>
        <v>0</v>
      </c>
      <c r="Y48" s="723"/>
      <c r="Z48" s="723"/>
      <c r="AA48" s="723"/>
      <c r="AB48" s="723"/>
      <c r="AC48" s="724"/>
      <c r="AD48" s="725">
        <f>+Deductions!AF47</f>
        <v>1</v>
      </c>
      <c r="AE48" s="726"/>
      <c r="AF48" s="726"/>
      <c r="AG48" s="726"/>
      <c r="AH48" s="726"/>
      <c r="AI48" s="727"/>
      <c r="AJ48" s="722">
        <f>+Deductions!AI47</f>
        <v>0</v>
      </c>
      <c r="AK48" s="723"/>
      <c r="AL48" s="723"/>
      <c r="AM48" s="723"/>
      <c r="AN48" s="723"/>
      <c r="AO48" s="724"/>
    </row>
    <row r="49" spans="1:48" ht="12.75" customHeight="1" x14ac:dyDescent="0.25">
      <c r="A49" s="65"/>
      <c r="B49" s="532" t="str">
        <f>+'Draught survey report'!B49:H49</f>
        <v>FWT S</v>
      </c>
      <c r="C49" s="532"/>
      <c r="D49" s="532"/>
      <c r="E49" s="532"/>
      <c r="F49" s="532"/>
      <c r="G49" s="532"/>
      <c r="H49" s="533"/>
      <c r="I49" s="750">
        <f>+'Draught survey report'!I49:M49</f>
        <v>0</v>
      </c>
      <c r="J49" s="751"/>
      <c r="K49" s="751"/>
      <c r="L49" s="751"/>
      <c r="M49" s="752"/>
      <c r="N49" s="750" t="str">
        <f>+Deductions!Z48</f>
        <v>GAUGE</v>
      </c>
      <c r="O49" s="751"/>
      <c r="P49" s="751"/>
      <c r="Q49" s="751"/>
      <c r="R49" s="752"/>
      <c r="S49" s="750"/>
      <c r="T49" s="751"/>
      <c r="U49" s="751"/>
      <c r="V49" s="751"/>
      <c r="W49" s="752"/>
      <c r="X49" s="710">
        <f>+Deductions!AC48</f>
        <v>0</v>
      </c>
      <c r="Y49" s="711"/>
      <c r="Z49" s="711"/>
      <c r="AA49" s="711"/>
      <c r="AB49" s="711"/>
      <c r="AC49" s="712"/>
      <c r="AD49" s="716">
        <f>+Deductions!AF48</f>
        <v>1</v>
      </c>
      <c r="AE49" s="717"/>
      <c r="AF49" s="717"/>
      <c r="AG49" s="717"/>
      <c r="AH49" s="717"/>
      <c r="AI49" s="718"/>
      <c r="AJ49" s="710">
        <f>+Deductions!AI48</f>
        <v>0</v>
      </c>
      <c r="AK49" s="711"/>
      <c r="AL49" s="711"/>
      <c r="AM49" s="711"/>
      <c r="AN49" s="711"/>
      <c r="AO49" s="712"/>
    </row>
    <row r="50" spans="1:48" ht="12.75" customHeight="1" x14ac:dyDescent="0.25">
      <c r="A50" s="65"/>
      <c r="B50" s="532" t="str">
        <f>+'Draught survey report'!B50:H50</f>
        <v>FW DIST</v>
      </c>
      <c r="C50" s="532"/>
      <c r="D50" s="532"/>
      <c r="E50" s="532"/>
      <c r="F50" s="532"/>
      <c r="G50" s="532"/>
      <c r="H50" s="533"/>
      <c r="I50" s="750">
        <f>+'Draught survey report'!I50:M50</f>
        <v>0</v>
      </c>
      <c r="J50" s="751"/>
      <c r="K50" s="751"/>
      <c r="L50" s="751"/>
      <c r="M50" s="752"/>
      <c r="N50" s="750" t="str">
        <f>+Deductions!Z49</f>
        <v>GAUGE</v>
      </c>
      <c r="O50" s="751"/>
      <c r="P50" s="751"/>
      <c r="Q50" s="751"/>
      <c r="R50" s="752"/>
      <c r="S50" s="750"/>
      <c r="T50" s="751"/>
      <c r="U50" s="751"/>
      <c r="V50" s="751"/>
      <c r="W50" s="752"/>
      <c r="X50" s="710">
        <f>+Deductions!AC49</f>
        <v>0</v>
      </c>
      <c r="Y50" s="711"/>
      <c r="Z50" s="711"/>
      <c r="AA50" s="711"/>
      <c r="AB50" s="711"/>
      <c r="AC50" s="712"/>
      <c r="AD50" s="716">
        <f>+Deductions!AF49</f>
        <v>1</v>
      </c>
      <c r="AE50" s="717"/>
      <c r="AF50" s="717"/>
      <c r="AG50" s="717"/>
      <c r="AH50" s="717"/>
      <c r="AI50" s="718"/>
      <c r="AJ50" s="710">
        <f>+Deductions!AI49</f>
        <v>0</v>
      </c>
      <c r="AK50" s="711"/>
      <c r="AL50" s="711"/>
      <c r="AM50" s="711"/>
      <c r="AN50" s="711"/>
      <c r="AO50" s="712"/>
    </row>
    <row r="51" spans="1:48" ht="12.75" customHeight="1" x14ac:dyDescent="0.25">
      <c r="A51" s="65"/>
      <c r="B51" s="532">
        <f>+'Draught survey report'!B51:H51</f>
        <v>0</v>
      </c>
      <c r="C51" s="532"/>
      <c r="D51" s="532"/>
      <c r="E51" s="532"/>
      <c r="F51" s="532"/>
      <c r="G51" s="532"/>
      <c r="H51" s="533"/>
      <c r="I51" s="750">
        <f>+'Draught survey report'!I51:M51</f>
        <v>0</v>
      </c>
      <c r="J51" s="751"/>
      <c r="K51" s="751"/>
      <c r="L51" s="751"/>
      <c r="M51" s="752"/>
      <c r="N51" s="750">
        <f>+Deductions!Z50</f>
        <v>0</v>
      </c>
      <c r="O51" s="751"/>
      <c r="P51" s="751"/>
      <c r="Q51" s="751"/>
      <c r="R51" s="752"/>
      <c r="S51" s="750"/>
      <c r="T51" s="751"/>
      <c r="U51" s="751"/>
      <c r="V51" s="751"/>
      <c r="W51" s="752"/>
      <c r="X51" s="710">
        <f>+Deductions!AC50</f>
        <v>0</v>
      </c>
      <c r="Y51" s="711"/>
      <c r="Z51" s="711"/>
      <c r="AA51" s="711"/>
      <c r="AB51" s="711"/>
      <c r="AC51" s="712"/>
      <c r="AD51" s="716">
        <f>+Deductions!AF50</f>
        <v>0</v>
      </c>
      <c r="AE51" s="717"/>
      <c r="AF51" s="717"/>
      <c r="AG51" s="717"/>
      <c r="AH51" s="717"/>
      <c r="AI51" s="718"/>
      <c r="AJ51" s="710">
        <f>+Deductions!AI50</f>
        <v>0</v>
      </c>
      <c r="AK51" s="711"/>
      <c r="AL51" s="711"/>
      <c r="AM51" s="711"/>
      <c r="AN51" s="711"/>
      <c r="AO51" s="712"/>
    </row>
    <row r="52" spans="1:48" ht="12.75" customHeight="1" x14ac:dyDescent="0.25">
      <c r="A52" s="65"/>
      <c r="B52" s="532">
        <f>+'Draught survey report'!B52:H52</f>
        <v>0</v>
      </c>
      <c r="C52" s="532"/>
      <c r="D52" s="532"/>
      <c r="E52" s="532"/>
      <c r="F52" s="532"/>
      <c r="G52" s="532"/>
      <c r="H52" s="533"/>
      <c r="I52" s="750">
        <f>+'Draught survey report'!I52:M52</f>
        <v>0</v>
      </c>
      <c r="J52" s="751"/>
      <c r="K52" s="751"/>
      <c r="L52" s="751"/>
      <c r="M52" s="752"/>
      <c r="N52" s="750">
        <f>+Deductions!Z51</f>
        <v>0</v>
      </c>
      <c r="O52" s="751"/>
      <c r="P52" s="751"/>
      <c r="Q52" s="751"/>
      <c r="R52" s="752"/>
      <c r="S52" s="750"/>
      <c r="T52" s="751"/>
      <c r="U52" s="751"/>
      <c r="V52" s="751"/>
      <c r="W52" s="752"/>
      <c r="X52" s="710">
        <f>+Deductions!AC51</f>
        <v>0</v>
      </c>
      <c r="Y52" s="711"/>
      <c r="Z52" s="711"/>
      <c r="AA52" s="711"/>
      <c r="AB52" s="711"/>
      <c r="AC52" s="712"/>
      <c r="AD52" s="716">
        <f>+Deductions!AF51</f>
        <v>0</v>
      </c>
      <c r="AE52" s="717"/>
      <c r="AF52" s="717"/>
      <c r="AG52" s="717"/>
      <c r="AH52" s="717"/>
      <c r="AI52" s="718"/>
      <c r="AJ52" s="710">
        <f>+Deductions!AI51</f>
        <v>0</v>
      </c>
      <c r="AK52" s="711"/>
      <c r="AL52" s="711"/>
      <c r="AM52" s="711"/>
      <c r="AN52" s="711"/>
      <c r="AO52" s="712"/>
    </row>
    <row r="53" spans="1:48" ht="12.75" customHeight="1" x14ac:dyDescent="0.25">
      <c r="A53" s="66"/>
      <c r="B53" s="538">
        <f>+'Draught survey report'!B53:H53</f>
        <v>0</v>
      </c>
      <c r="C53" s="538"/>
      <c r="D53" s="538"/>
      <c r="E53" s="538"/>
      <c r="F53" s="538"/>
      <c r="G53" s="538"/>
      <c r="H53" s="539"/>
      <c r="I53" s="747">
        <f>+'Draught survey report'!I53:M53</f>
        <v>0</v>
      </c>
      <c r="J53" s="748"/>
      <c r="K53" s="748"/>
      <c r="L53" s="748"/>
      <c r="M53" s="749"/>
      <c r="N53" s="747">
        <f>+Deductions!Z52</f>
        <v>0</v>
      </c>
      <c r="O53" s="748"/>
      <c r="P53" s="748"/>
      <c r="Q53" s="748"/>
      <c r="R53" s="749"/>
      <c r="S53" s="747"/>
      <c r="T53" s="748"/>
      <c r="U53" s="748"/>
      <c r="V53" s="748"/>
      <c r="W53" s="749"/>
      <c r="X53" s="695">
        <f>+Deductions!AC52</f>
        <v>0</v>
      </c>
      <c r="Y53" s="696"/>
      <c r="Z53" s="696"/>
      <c r="AA53" s="696"/>
      <c r="AB53" s="696"/>
      <c r="AC53" s="697"/>
      <c r="AD53" s="707">
        <f>+Deductions!AF52</f>
        <v>0</v>
      </c>
      <c r="AE53" s="708"/>
      <c r="AF53" s="708"/>
      <c r="AG53" s="708"/>
      <c r="AH53" s="708"/>
      <c r="AI53" s="709"/>
      <c r="AJ53" s="695">
        <f>+Deductions!AI52</f>
        <v>0</v>
      </c>
      <c r="AK53" s="696"/>
      <c r="AL53" s="696"/>
      <c r="AM53" s="696"/>
      <c r="AN53" s="696"/>
      <c r="AO53" s="697"/>
    </row>
    <row r="54" spans="1:48" ht="12.75" customHeight="1" x14ac:dyDescent="0.25">
      <c r="A54" s="35"/>
      <c r="B54" s="499" t="s">
        <v>184</v>
      </c>
      <c r="C54" s="499"/>
      <c r="D54" s="499"/>
      <c r="E54" s="499"/>
      <c r="F54" s="499"/>
      <c r="G54" s="499"/>
      <c r="H54" s="499"/>
      <c r="I54" s="499"/>
      <c r="J54" s="499"/>
      <c r="K54" s="499"/>
      <c r="L54" s="499"/>
      <c r="M54" s="499"/>
      <c r="N54" s="499"/>
      <c r="O54" s="499"/>
      <c r="P54" s="499"/>
      <c r="Q54" s="499"/>
      <c r="R54" s="499"/>
      <c r="S54" s="499"/>
      <c r="T54" s="499"/>
      <c r="U54" s="499"/>
      <c r="V54" s="499"/>
      <c r="W54" s="499"/>
      <c r="X54" s="499"/>
      <c r="Y54" s="499"/>
      <c r="Z54" s="499"/>
      <c r="AA54" s="499"/>
      <c r="AB54" s="499"/>
      <c r="AC54" s="499"/>
      <c r="AD54" s="499"/>
      <c r="AE54" s="499"/>
      <c r="AF54" s="499"/>
      <c r="AG54" s="499"/>
      <c r="AH54" s="499"/>
      <c r="AI54" s="499"/>
      <c r="AJ54" s="698">
        <f>+Deductions!AI54</f>
        <v>0</v>
      </c>
      <c r="AK54" s="698"/>
      <c r="AL54" s="698"/>
      <c r="AM54" s="698"/>
      <c r="AN54" s="698"/>
      <c r="AO54" s="699">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498"/>
      <c r="B57" s="498"/>
      <c r="C57" s="498"/>
      <c r="D57" s="498"/>
      <c r="E57" s="498"/>
      <c r="F57" s="498"/>
      <c r="G57" s="498"/>
      <c r="H57" s="498"/>
      <c r="I57" s="498"/>
      <c r="J57" s="498"/>
      <c r="K57" s="498"/>
      <c r="L57" s="498"/>
      <c r="M57" s="498"/>
      <c r="N57" s="498"/>
      <c r="O57" s="498"/>
      <c r="P57" s="498"/>
      <c r="Q57" s="498"/>
      <c r="R57" s="498"/>
      <c r="S57" s="498"/>
      <c r="T57" s="498"/>
      <c r="U57" s="498"/>
      <c r="V57" s="498"/>
      <c r="W57" s="498"/>
      <c r="X57" s="498"/>
      <c r="Y57" s="498"/>
      <c r="Z57" s="498"/>
      <c r="AA57" s="498"/>
      <c r="AB57" s="498"/>
      <c r="AC57" s="498"/>
      <c r="AD57" s="498"/>
      <c r="AE57" s="498"/>
      <c r="AF57" s="498"/>
      <c r="AG57" s="498"/>
      <c r="AH57" s="498"/>
      <c r="AI57" s="498"/>
      <c r="AJ57" s="498"/>
      <c r="AK57" s="498"/>
      <c r="AL57" s="498"/>
      <c r="AM57" s="498"/>
      <c r="AN57" s="498"/>
      <c r="AO57" s="498"/>
    </row>
    <row r="58" spans="1:48" ht="24" customHeight="1" x14ac:dyDescent="0.25">
      <c r="A58" s="308"/>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row>
  </sheetData>
  <mergeCells count="30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4" t="s">
        <v>0</v>
      </c>
      <c r="B1" s="514"/>
      <c r="C1" s="514"/>
      <c r="D1" s="514"/>
      <c r="E1" s="514"/>
      <c r="F1" s="514"/>
      <c r="G1" s="514"/>
      <c r="H1" s="514"/>
      <c r="I1" s="514"/>
      <c r="J1" s="514"/>
      <c r="K1" s="514"/>
      <c r="L1" s="514"/>
      <c r="M1" s="514"/>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row>
    <row r="2" spans="1:41" ht="12.75" customHeight="1" x14ac:dyDescent="0.25">
      <c r="A2" s="515"/>
      <c r="B2" s="516"/>
      <c r="C2" s="516"/>
      <c r="D2" s="516"/>
      <c r="E2" s="516"/>
      <c r="F2" s="516"/>
      <c r="G2" s="516"/>
      <c r="H2" s="516"/>
      <c r="I2" s="516"/>
      <c r="J2" s="516"/>
      <c r="K2" s="516"/>
      <c r="L2" s="516"/>
      <c r="M2" s="516"/>
      <c r="N2" s="516"/>
      <c r="O2" s="516"/>
      <c r="P2" s="516"/>
      <c r="Q2" s="516"/>
      <c r="R2" s="516"/>
      <c r="S2" s="516"/>
      <c r="T2" s="516"/>
      <c r="U2" s="516"/>
      <c r="V2" s="516"/>
      <c r="W2" s="516"/>
      <c r="X2" s="516"/>
      <c r="Y2" s="517"/>
      <c r="Z2" s="517"/>
      <c r="AA2" s="517"/>
      <c r="AB2" s="517"/>
      <c r="AC2" s="517"/>
      <c r="AD2" s="517"/>
      <c r="AE2" s="517"/>
      <c r="AF2" s="517"/>
      <c r="AG2" s="517"/>
      <c r="AH2" s="518"/>
      <c r="AI2" s="592" t="s">
        <v>188</v>
      </c>
      <c r="AJ2" s="520"/>
      <c r="AK2" s="520"/>
      <c r="AL2" s="520"/>
      <c r="AM2" s="520"/>
      <c r="AN2" s="520"/>
      <c r="AO2" s="521"/>
    </row>
    <row r="3" spans="1:41" ht="12.75" customHeight="1" x14ac:dyDescent="0.25">
      <c r="A3" s="528" t="s">
        <v>2</v>
      </c>
      <c r="B3" s="529"/>
      <c r="C3" s="529"/>
      <c r="D3" s="529"/>
      <c r="E3" s="529"/>
      <c r="F3" s="529"/>
      <c r="G3" s="529"/>
      <c r="H3" s="529"/>
      <c r="I3" s="529"/>
      <c r="J3" s="529"/>
      <c r="K3" s="529"/>
      <c r="L3" s="529"/>
      <c r="M3" s="529"/>
      <c r="N3" s="529"/>
      <c r="O3" s="529"/>
      <c r="P3" s="529"/>
      <c r="Q3" s="529"/>
      <c r="R3" s="529"/>
      <c r="S3" s="529"/>
      <c r="T3" s="529"/>
      <c r="U3" s="529"/>
      <c r="V3" s="529"/>
      <c r="W3" s="529"/>
      <c r="X3" s="529"/>
      <c r="Y3" s="530"/>
      <c r="Z3" s="2">
        <f>+A!Z3</f>
        <v>0</v>
      </c>
      <c r="AA3" s="531" t="s">
        <v>3</v>
      </c>
      <c r="AB3" s="532"/>
      <c r="AC3" s="532"/>
      <c r="AD3" s="532"/>
      <c r="AE3" s="532"/>
      <c r="AF3" s="532"/>
      <c r="AG3" s="532"/>
      <c r="AH3" s="533"/>
      <c r="AI3" s="522"/>
      <c r="AJ3" s="523"/>
      <c r="AK3" s="523"/>
      <c r="AL3" s="523"/>
      <c r="AM3" s="523"/>
      <c r="AN3" s="523"/>
      <c r="AO3" s="524"/>
    </row>
    <row r="4" spans="1:41" ht="12.75" customHeight="1" x14ac:dyDescent="0.25">
      <c r="A4" s="534"/>
      <c r="B4" s="535"/>
      <c r="C4" s="535"/>
      <c r="D4" s="535"/>
      <c r="E4" s="535"/>
      <c r="F4" s="535"/>
      <c r="G4" s="535"/>
      <c r="H4" s="535"/>
      <c r="I4" s="535"/>
      <c r="J4" s="535"/>
      <c r="K4" s="535"/>
      <c r="L4" s="535"/>
      <c r="M4" s="535"/>
      <c r="N4" s="535"/>
      <c r="O4" s="535"/>
      <c r="P4" s="535"/>
      <c r="Q4" s="535"/>
      <c r="R4" s="535"/>
      <c r="S4" s="535"/>
      <c r="T4" s="535"/>
      <c r="U4" s="535"/>
      <c r="V4" s="535"/>
      <c r="W4" s="535"/>
      <c r="X4" s="535"/>
      <c r="Y4" s="536"/>
      <c r="Z4" s="2" t="str">
        <f>+A!Z4</f>
        <v>X</v>
      </c>
      <c r="AA4" s="537" t="s">
        <v>4</v>
      </c>
      <c r="AB4" s="538"/>
      <c r="AC4" s="538"/>
      <c r="AD4" s="538"/>
      <c r="AE4" s="538"/>
      <c r="AF4" s="538"/>
      <c r="AG4" s="538"/>
      <c r="AH4" s="539"/>
      <c r="AI4" s="525"/>
      <c r="AJ4" s="526"/>
      <c r="AK4" s="526"/>
      <c r="AL4" s="526"/>
      <c r="AM4" s="526"/>
      <c r="AN4" s="526"/>
      <c r="AO4" s="527"/>
    </row>
    <row r="5" spans="1:41" ht="12.75" customHeight="1" x14ac:dyDescent="0.25">
      <c r="A5" s="6"/>
      <c r="B5" s="540" t="s">
        <v>5</v>
      </c>
      <c r="C5" s="540"/>
      <c r="D5" s="540"/>
      <c r="E5" s="540"/>
      <c r="F5" s="540"/>
      <c r="G5" s="540"/>
      <c r="H5" s="540"/>
      <c r="I5" s="540"/>
      <c r="J5" s="540"/>
      <c r="K5" s="540"/>
      <c r="L5" s="540"/>
      <c r="M5" s="540"/>
      <c r="N5" s="540"/>
      <c r="O5" s="540"/>
      <c r="P5" s="540"/>
      <c r="Q5" s="540"/>
      <c r="R5" s="540"/>
      <c r="S5" s="540"/>
      <c r="T5" s="540"/>
      <c r="U5" s="540"/>
      <c r="V5" s="540"/>
      <c r="W5" s="540"/>
      <c r="X5" s="540"/>
      <c r="Y5" s="540"/>
      <c r="Z5" s="540"/>
      <c r="AA5" s="540"/>
      <c r="AB5" s="540"/>
      <c r="AC5" s="540"/>
      <c r="AD5" s="540"/>
      <c r="AE5" s="540"/>
      <c r="AF5" s="540"/>
      <c r="AG5" s="540"/>
      <c r="AH5" s="540"/>
      <c r="AI5" s="540"/>
      <c r="AJ5" s="540"/>
      <c r="AK5" s="540"/>
      <c r="AL5" s="540"/>
      <c r="AM5" s="540"/>
      <c r="AN5" s="540"/>
      <c r="AO5" s="541"/>
    </row>
    <row r="6" spans="1:41" ht="12.75" customHeight="1" x14ac:dyDescent="0.25">
      <c r="A6" s="534" t="str">
        <f>A!B6</f>
        <v>MSL Marine Surveyors And Logistics</v>
      </c>
      <c r="B6" s="535"/>
      <c r="C6" s="535"/>
      <c r="D6" s="535"/>
      <c r="E6" s="535"/>
      <c r="F6" s="535"/>
      <c r="G6" s="535"/>
      <c r="H6" s="535"/>
      <c r="I6" s="535"/>
      <c r="J6" s="535"/>
      <c r="K6" s="535"/>
      <c r="L6" s="535"/>
      <c r="M6" s="535"/>
      <c r="N6" s="535"/>
      <c r="O6" s="535"/>
      <c r="P6" s="535"/>
      <c r="Q6" s="535"/>
      <c r="R6" s="535"/>
      <c r="S6" s="535"/>
      <c r="T6" s="535"/>
      <c r="U6" s="535"/>
      <c r="V6" s="535"/>
      <c r="W6" s="535"/>
      <c r="X6" s="535"/>
      <c r="Y6" s="535"/>
      <c r="Z6" s="535"/>
      <c r="AA6" s="535"/>
      <c r="AB6" s="535"/>
      <c r="AC6" s="535"/>
      <c r="AD6" s="535"/>
      <c r="AE6" s="535"/>
      <c r="AF6" s="535"/>
      <c r="AG6" s="535"/>
      <c r="AH6" s="535"/>
      <c r="AI6" s="535"/>
      <c r="AJ6" s="535"/>
      <c r="AK6" s="535"/>
      <c r="AL6" s="535"/>
      <c r="AM6" s="535"/>
      <c r="AN6" s="535"/>
      <c r="AO6" s="536"/>
    </row>
    <row r="7" spans="1:41" ht="12.75" customHeight="1" x14ac:dyDescent="0.25">
      <c r="A7" s="6"/>
      <c r="B7" s="540" t="s">
        <v>11</v>
      </c>
      <c r="C7" s="540"/>
      <c r="D7" s="540"/>
      <c r="E7" s="540"/>
      <c r="F7" s="540"/>
      <c r="G7" s="540"/>
      <c r="H7" s="540"/>
      <c r="I7" s="540"/>
      <c r="J7" s="540"/>
      <c r="K7" s="540"/>
      <c r="L7" s="540"/>
      <c r="M7" s="540"/>
      <c r="N7" s="540"/>
      <c r="O7" s="540"/>
      <c r="P7" s="540"/>
      <c r="Q7" s="540"/>
      <c r="R7" s="540"/>
      <c r="S7" s="540"/>
      <c r="T7" s="540"/>
      <c r="U7" s="540"/>
      <c r="V7" s="540"/>
      <c r="W7" s="540"/>
      <c r="X7" s="540"/>
      <c r="Y7" s="540"/>
      <c r="Z7" s="540" t="s">
        <v>13</v>
      </c>
      <c r="AA7" s="540"/>
      <c r="AB7" s="540"/>
      <c r="AC7" s="540"/>
      <c r="AD7" s="540"/>
      <c r="AE7" s="540"/>
      <c r="AF7" s="540"/>
      <c r="AG7" s="540"/>
      <c r="AH7" s="540"/>
      <c r="AI7" s="540"/>
      <c r="AJ7" s="540"/>
      <c r="AK7" s="540"/>
      <c r="AL7" s="540"/>
      <c r="AM7" s="540"/>
      <c r="AN7" s="540"/>
      <c r="AO7" s="541"/>
    </row>
    <row r="8" spans="1:41" ht="12.75" customHeight="1" x14ac:dyDescent="0.25">
      <c r="A8" s="534"/>
      <c r="B8" s="535"/>
      <c r="C8" s="535"/>
      <c r="D8" s="535"/>
      <c r="E8" s="535"/>
      <c r="F8" s="591">
        <f>+A!G12</f>
        <v>0</v>
      </c>
      <c r="G8" s="591"/>
      <c r="H8" s="591"/>
      <c r="I8" s="591"/>
      <c r="J8" s="591"/>
      <c r="K8" s="591"/>
      <c r="L8" s="591"/>
      <c r="M8" s="591"/>
      <c r="N8" s="591"/>
      <c r="O8" s="591"/>
      <c r="P8" s="591"/>
      <c r="Q8" s="591"/>
      <c r="R8" s="591"/>
      <c r="S8" s="591"/>
      <c r="T8" s="591"/>
      <c r="U8" s="591"/>
      <c r="V8" s="591"/>
      <c r="W8" s="591"/>
      <c r="X8" s="591"/>
      <c r="Y8" s="591"/>
      <c r="Z8" s="591"/>
      <c r="AA8" s="591"/>
      <c r="AB8" s="591"/>
      <c r="AC8" s="544">
        <f>+A!AG12</f>
        <v>0</v>
      </c>
      <c r="AD8" s="544"/>
      <c r="AE8" s="544"/>
      <c r="AF8" s="544"/>
      <c r="AG8" s="544"/>
      <c r="AH8" s="544"/>
      <c r="AI8" s="544"/>
      <c r="AJ8" s="544"/>
      <c r="AK8" s="544"/>
      <c r="AL8" s="544"/>
      <c r="AM8" s="544"/>
      <c r="AN8" s="544"/>
      <c r="AO8" s="545"/>
    </row>
    <row r="9" spans="1:41" ht="12.75" customHeight="1" x14ac:dyDescent="0.25">
      <c r="A9" s="504" t="s">
        <v>189</v>
      </c>
      <c r="B9" s="498"/>
      <c r="C9" s="498"/>
      <c r="D9" s="498"/>
      <c r="E9" s="498"/>
      <c r="F9" s="498"/>
      <c r="G9" s="498"/>
      <c r="H9" s="498"/>
      <c r="I9" s="498"/>
      <c r="J9" s="498"/>
      <c r="K9" s="498"/>
      <c r="L9" s="498"/>
      <c r="M9" s="498"/>
      <c r="N9" s="498"/>
      <c r="O9" s="498"/>
      <c r="P9" s="498"/>
      <c r="Q9" s="498"/>
      <c r="R9" s="498"/>
      <c r="S9" s="498"/>
      <c r="T9" s="498"/>
      <c r="U9" s="498"/>
      <c r="V9" s="498"/>
      <c r="W9" s="498"/>
      <c r="X9" s="498"/>
      <c r="Y9" s="498"/>
      <c r="Z9" s="498"/>
      <c r="AA9" s="498"/>
      <c r="AB9" s="498"/>
      <c r="AC9" s="498"/>
      <c r="AD9" s="498"/>
      <c r="AE9" s="498"/>
      <c r="AF9" s="498"/>
      <c r="AG9" s="498"/>
      <c r="AH9" s="498"/>
      <c r="AI9" s="498"/>
      <c r="AJ9" s="498"/>
      <c r="AK9" s="498"/>
      <c r="AL9" s="498"/>
      <c r="AM9" s="498"/>
      <c r="AN9" s="498"/>
      <c r="AO9" s="505"/>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684" t="s">
        <v>190</v>
      </c>
      <c r="B11" s="516"/>
      <c r="C11" s="516"/>
      <c r="D11" s="516"/>
      <c r="E11" s="671"/>
      <c r="F11" s="77"/>
      <c r="G11" s="78"/>
      <c r="H11" s="78"/>
      <c r="I11" s="79"/>
      <c r="J11" s="794" t="s">
        <v>31</v>
      </c>
      <c r="K11" s="795"/>
      <c r="L11" s="795"/>
      <c r="M11" s="795"/>
      <c r="N11" s="795"/>
      <c r="O11" s="795"/>
      <c r="P11" s="795"/>
      <c r="Q11" s="795"/>
      <c r="R11" s="795"/>
      <c r="S11" s="795"/>
      <c r="T11" s="795"/>
      <c r="U11" s="795"/>
      <c r="V11" s="795"/>
      <c r="W11" s="795"/>
      <c r="X11" s="795"/>
      <c r="Y11" s="796"/>
      <c r="Z11" s="794" t="s">
        <v>32</v>
      </c>
      <c r="AA11" s="795"/>
      <c r="AB11" s="795"/>
      <c r="AC11" s="795"/>
      <c r="AD11" s="795"/>
      <c r="AE11" s="795"/>
      <c r="AF11" s="795"/>
      <c r="AG11" s="795"/>
      <c r="AH11" s="795"/>
      <c r="AI11" s="795"/>
      <c r="AJ11" s="795"/>
      <c r="AK11" s="795"/>
      <c r="AL11" s="795"/>
      <c r="AM11" s="795"/>
      <c r="AN11" s="795"/>
      <c r="AO11" s="796"/>
    </row>
    <row r="12" spans="1:41" ht="12.75" customHeight="1" x14ac:dyDescent="0.25">
      <c r="A12" s="358" t="s">
        <v>191</v>
      </c>
      <c r="B12" s="279"/>
      <c r="C12" s="279"/>
      <c r="D12" s="279"/>
      <c r="E12" s="678"/>
      <c r="F12" s="551" t="s">
        <v>165</v>
      </c>
      <c r="G12" s="552"/>
      <c r="H12" s="552"/>
      <c r="I12" s="553"/>
      <c r="J12" s="684" t="s">
        <v>158</v>
      </c>
      <c r="K12" s="516"/>
      <c r="L12" s="671"/>
      <c r="M12" s="684" t="s">
        <v>192</v>
      </c>
      <c r="N12" s="671"/>
      <c r="O12" s="684" t="s">
        <v>193</v>
      </c>
      <c r="P12" s="516"/>
      <c r="Q12" s="671"/>
      <c r="R12" s="684" t="s">
        <v>193</v>
      </c>
      <c r="S12" s="516"/>
      <c r="T12" s="516"/>
      <c r="U12" s="671"/>
      <c r="V12" s="684" t="s">
        <v>194</v>
      </c>
      <c r="W12" s="516"/>
      <c r="X12" s="516"/>
      <c r="Y12" s="671"/>
      <c r="Z12" s="684" t="s">
        <v>158</v>
      </c>
      <c r="AA12" s="516"/>
      <c r="AB12" s="671"/>
      <c r="AC12" s="684" t="s">
        <v>192</v>
      </c>
      <c r="AD12" s="671"/>
      <c r="AE12" s="684" t="s">
        <v>193</v>
      </c>
      <c r="AF12" s="516"/>
      <c r="AG12" s="671"/>
      <c r="AH12" s="684" t="s">
        <v>193</v>
      </c>
      <c r="AI12" s="516"/>
      <c r="AJ12" s="516"/>
      <c r="AK12" s="671"/>
      <c r="AL12" s="684" t="s">
        <v>194</v>
      </c>
      <c r="AM12" s="516"/>
      <c r="AN12" s="516"/>
      <c r="AO12" s="671"/>
    </row>
    <row r="13" spans="1:41" ht="12.75" customHeight="1" x14ac:dyDescent="0.25">
      <c r="A13" s="358" t="s">
        <v>195</v>
      </c>
      <c r="B13" s="279"/>
      <c r="C13" s="279"/>
      <c r="D13" s="279"/>
      <c r="E13" s="678"/>
      <c r="F13" s="551" t="s">
        <v>196</v>
      </c>
      <c r="G13" s="552"/>
      <c r="H13" s="552"/>
      <c r="I13" s="553"/>
      <c r="J13" s="358" t="s">
        <v>197</v>
      </c>
      <c r="K13" s="279"/>
      <c r="L13" s="678"/>
      <c r="M13" s="65"/>
      <c r="N13" s="27"/>
      <c r="O13" s="358" t="s">
        <v>198</v>
      </c>
      <c r="P13" s="279"/>
      <c r="Q13" s="678"/>
      <c r="R13" s="358" t="s">
        <v>163</v>
      </c>
      <c r="S13" s="279"/>
      <c r="T13" s="279"/>
      <c r="U13" s="678"/>
      <c r="V13" s="358" t="s">
        <v>177</v>
      </c>
      <c r="W13" s="279"/>
      <c r="X13" s="279"/>
      <c r="Y13" s="678"/>
      <c r="Z13" s="358" t="s">
        <v>197</v>
      </c>
      <c r="AA13" s="279"/>
      <c r="AB13" s="678"/>
      <c r="AC13" s="65"/>
      <c r="AD13" s="27"/>
      <c r="AE13" s="358" t="s">
        <v>198</v>
      </c>
      <c r="AF13" s="279"/>
      <c r="AG13" s="678"/>
      <c r="AH13" s="358" t="s">
        <v>163</v>
      </c>
      <c r="AI13" s="279"/>
      <c r="AJ13" s="279"/>
      <c r="AK13" s="678"/>
      <c r="AL13" s="358" t="s">
        <v>177</v>
      </c>
      <c r="AM13" s="279"/>
      <c r="AN13" s="279"/>
      <c r="AO13" s="678"/>
    </row>
    <row r="14" spans="1:41" ht="12.75" customHeight="1" x14ac:dyDescent="0.25">
      <c r="A14" s="682" t="s">
        <v>199</v>
      </c>
      <c r="B14" s="679"/>
      <c r="C14" s="679"/>
      <c r="D14" s="679"/>
      <c r="E14" s="683"/>
      <c r="F14" s="534" t="s">
        <v>200</v>
      </c>
      <c r="G14" s="535"/>
      <c r="H14" s="535"/>
      <c r="I14" s="536"/>
      <c r="J14" s="682" t="s">
        <v>75</v>
      </c>
      <c r="K14" s="679"/>
      <c r="L14" s="683"/>
      <c r="M14" s="682" t="s">
        <v>201</v>
      </c>
      <c r="N14" s="683"/>
      <c r="O14" s="682" t="s">
        <v>134</v>
      </c>
      <c r="P14" s="679"/>
      <c r="Q14" s="683"/>
      <c r="R14" s="682" t="s">
        <v>179</v>
      </c>
      <c r="S14" s="679"/>
      <c r="T14" s="679"/>
      <c r="U14" s="683"/>
      <c r="V14" s="682" t="s">
        <v>202</v>
      </c>
      <c r="W14" s="679"/>
      <c r="X14" s="679"/>
      <c r="Y14" s="683"/>
      <c r="Z14" s="682" t="s">
        <v>75</v>
      </c>
      <c r="AA14" s="679"/>
      <c r="AB14" s="683"/>
      <c r="AC14" s="682" t="s">
        <v>201</v>
      </c>
      <c r="AD14" s="683"/>
      <c r="AE14" s="682" t="s">
        <v>134</v>
      </c>
      <c r="AF14" s="679"/>
      <c r="AG14" s="683"/>
      <c r="AH14" s="682" t="s">
        <v>179</v>
      </c>
      <c r="AI14" s="679"/>
      <c r="AJ14" s="679"/>
      <c r="AK14" s="683"/>
      <c r="AL14" s="682" t="s">
        <v>202</v>
      </c>
      <c r="AM14" s="679"/>
      <c r="AN14" s="679"/>
      <c r="AO14" s="683"/>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50"/>
      <c r="K16" s="792"/>
      <c r="L16" s="792"/>
      <c r="M16" s="792"/>
      <c r="N16" s="792"/>
      <c r="O16" s="792"/>
      <c r="P16" s="792"/>
      <c r="Q16" s="792"/>
      <c r="R16" s="792"/>
      <c r="S16" s="792"/>
      <c r="T16" s="792"/>
      <c r="U16" s="792"/>
      <c r="V16" s="792"/>
      <c r="W16" s="792"/>
      <c r="X16" s="792"/>
      <c r="Y16" s="793"/>
      <c r="Z16" s="550"/>
      <c r="AA16" s="792"/>
      <c r="AB16" s="792"/>
      <c r="AC16" s="792"/>
      <c r="AD16" s="792"/>
      <c r="AE16" s="792"/>
      <c r="AF16" s="792"/>
      <c r="AG16" s="792"/>
      <c r="AH16" s="792"/>
      <c r="AI16" s="792"/>
      <c r="AJ16" s="792"/>
      <c r="AK16" s="792"/>
      <c r="AL16" s="792"/>
      <c r="AM16" s="792"/>
      <c r="AN16" s="792"/>
      <c r="AO16" s="793"/>
    </row>
    <row r="17" spans="1:41" ht="12.75" customHeight="1" x14ac:dyDescent="0.25">
      <c r="A17" s="791"/>
      <c r="B17" s="540"/>
      <c r="C17" s="540"/>
      <c r="D17" s="540"/>
      <c r="E17" s="541"/>
      <c r="F17" s="785"/>
      <c r="G17" s="786"/>
      <c r="H17" s="786"/>
      <c r="I17" s="787"/>
      <c r="J17" s="788"/>
      <c r="K17" s="789"/>
      <c r="L17" s="790"/>
      <c r="M17" s="580"/>
      <c r="N17" s="561"/>
      <c r="O17" s="580"/>
      <c r="P17" s="560"/>
      <c r="Q17" s="561"/>
      <c r="R17" s="785"/>
      <c r="S17" s="786"/>
      <c r="T17" s="786"/>
      <c r="U17" s="787"/>
      <c r="V17" s="785">
        <f>ROUND(R17*(O17-(0.00063*(M17-15))),2)</f>
        <v>0</v>
      </c>
      <c r="W17" s="786"/>
      <c r="X17" s="786"/>
      <c r="Y17" s="787"/>
      <c r="Z17" s="788"/>
      <c r="AA17" s="789"/>
      <c r="AB17" s="790"/>
      <c r="AC17" s="580"/>
      <c r="AD17" s="561"/>
      <c r="AE17" s="580"/>
      <c r="AF17" s="560"/>
      <c r="AG17" s="561"/>
      <c r="AH17" s="785"/>
      <c r="AI17" s="786"/>
      <c r="AJ17" s="786"/>
      <c r="AK17" s="787"/>
      <c r="AL17" s="785">
        <f>ROUND(AH17*(AE17-(0.00063*(AC17-15))),2)</f>
        <v>0</v>
      </c>
      <c r="AM17" s="786"/>
      <c r="AN17" s="786"/>
      <c r="AO17" s="787"/>
    </row>
    <row r="18" spans="1:41" ht="12.75" customHeight="1" x14ac:dyDescent="0.25">
      <c r="A18" s="782"/>
      <c r="B18" s="783"/>
      <c r="C18" s="783"/>
      <c r="D18" s="783"/>
      <c r="E18" s="784"/>
      <c r="F18" s="776"/>
      <c r="G18" s="777"/>
      <c r="H18" s="777"/>
      <c r="I18" s="778"/>
      <c r="J18" s="773"/>
      <c r="K18" s="774"/>
      <c r="L18" s="775"/>
      <c r="M18" s="567"/>
      <c r="N18" s="562"/>
      <c r="O18" s="567"/>
      <c r="P18" s="367"/>
      <c r="Q18" s="562"/>
      <c r="R18" s="776"/>
      <c r="S18" s="777"/>
      <c r="T18" s="777"/>
      <c r="U18" s="778"/>
      <c r="V18" s="776">
        <f t="shared" ref="V18:V30" si="0">ROUND(R18*(O18-(0.00063*(M18-15))),2)</f>
        <v>0</v>
      </c>
      <c r="W18" s="777"/>
      <c r="X18" s="777"/>
      <c r="Y18" s="778"/>
      <c r="Z18" s="773"/>
      <c r="AA18" s="774"/>
      <c r="AB18" s="775"/>
      <c r="AC18" s="567"/>
      <c r="AD18" s="562"/>
      <c r="AE18" s="567"/>
      <c r="AF18" s="367"/>
      <c r="AG18" s="562"/>
      <c r="AH18" s="776"/>
      <c r="AI18" s="777"/>
      <c r="AJ18" s="777"/>
      <c r="AK18" s="778"/>
      <c r="AL18" s="776">
        <f t="shared" ref="AL18:AL30" si="1">ROUND(AH18*(AE18-(0.00063*(AC18-15))),2)</f>
        <v>0</v>
      </c>
      <c r="AM18" s="777"/>
      <c r="AN18" s="777"/>
      <c r="AO18" s="778"/>
    </row>
    <row r="19" spans="1:41" ht="12.75" customHeight="1" x14ac:dyDescent="0.25">
      <c r="A19" s="782"/>
      <c r="B19" s="783"/>
      <c r="C19" s="783"/>
      <c r="D19" s="783"/>
      <c r="E19" s="784"/>
      <c r="F19" s="776"/>
      <c r="G19" s="777"/>
      <c r="H19" s="777"/>
      <c r="I19" s="778"/>
      <c r="J19" s="773"/>
      <c r="K19" s="774"/>
      <c r="L19" s="775"/>
      <c r="M19" s="567"/>
      <c r="N19" s="562"/>
      <c r="O19" s="567"/>
      <c r="P19" s="367"/>
      <c r="Q19" s="562"/>
      <c r="R19" s="776"/>
      <c r="S19" s="777"/>
      <c r="T19" s="777"/>
      <c r="U19" s="778"/>
      <c r="V19" s="776">
        <f t="shared" si="0"/>
        <v>0</v>
      </c>
      <c r="W19" s="777"/>
      <c r="X19" s="777"/>
      <c r="Y19" s="778"/>
      <c r="Z19" s="773"/>
      <c r="AA19" s="774"/>
      <c r="AB19" s="775"/>
      <c r="AC19" s="567"/>
      <c r="AD19" s="562"/>
      <c r="AE19" s="567"/>
      <c r="AF19" s="367"/>
      <c r="AG19" s="562"/>
      <c r="AH19" s="776"/>
      <c r="AI19" s="777"/>
      <c r="AJ19" s="777"/>
      <c r="AK19" s="778"/>
      <c r="AL19" s="776">
        <f t="shared" si="1"/>
        <v>0</v>
      </c>
      <c r="AM19" s="777"/>
      <c r="AN19" s="777"/>
      <c r="AO19" s="778"/>
    </row>
    <row r="20" spans="1:41" ht="12.75" customHeight="1" x14ac:dyDescent="0.25">
      <c r="A20" s="782"/>
      <c r="B20" s="783"/>
      <c r="C20" s="783"/>
      <c r="D20" s="783"/>
      <c r="E20" s="784"/>
      <c r="F20" s="776"/>
      <c r="G20" s="777"/>
      <c r="H20" s="777"/>
      <c r="I20" s="778"/>
      <c r="J20" s="773"/>
      <c r="K20" s="774"/>
      <c r="L20" s="775"/>
      <c r="M20" s="567"/>
      <c r="N20" s="562"/>
      <c r="O20" s="567"/>
      <c r="P20" s="367"/>
      <c r="Q20" s="562"/>
      <c r="R20" s="776"/>
      <c r="S20" s="777"/>
      <c r="T20" s="777"/>
      <c r="U20" s="778"/>
      <c r="V20" s="776">
        <f t="shared" si="0"/>
        <v>0</v>
      </c>
      <c r="W20" s="777"/>
      <c r="X20" s="777"/>
      <c r="Y20" s="778"/>
      <c r="Z20" s="773"/>
      <c r="AA20" s="774"/>
      <c r="AB20" s="775"/>
      <c r="AC20" s="567"/>
      <c r="AD20" s="562"/>
      <c r="AE20" s="567"/>
      <c r="AF20" s="367"/>
      <c r="AG20" s="562"/>
      <c r="AH20" s="776"/>
      <c r="AI20" s="777"/>
      <c r="AJ20" s="777"/>
      <c r="AK20" s="778"/>
      <c r="AL20" s="776">
        <f t="shared" si="1"/>
        <v>0</v>
      </c>
      <c r="AM20" s="777"/>
      <c r="AN20" s="777"/>
      <c r="AO20" s="778"/>
    </row>
    <row r="21" spans="1:41" ht="12.75" customHeight="1" x14ac:dyDescent="0.25">
      <c r="A21" s="782"/>
      <c r="B21" s="783"/>
      <c r="C21" s="783"/>
      <c r="D21" s="783"/>
      <c r="E21" s="784"/>
      <c r="F21" s="776"/>
      <c r="G21" s="777"/>
      <c r="H21" s="777"/>
      <c r="I21" s="778"/>
      <c r="J21" s="773"/>
      <c r="K21" s="774"/>
      <c r="L21" s="775"/>
      <c r="M21" s="567"/>
      <c r="N21" s="562"/>
      <c r="O21" s="567"/>
      <c r="P21" s="367"/>
      <c r="Q21" s="562"/>
      <c r="R21" s="776"/>
      <c r="S21" s="777"/>
      <c r="T21" s="777"/>
      <c r="U21" s="778"/>
      <c r="V21" s="776">
        <f t="shared" si="0"/>
        <v>0</v>
      </c>
      <c r="W21" s="777"/>
      <c r="X21" s="777"/>
      <c r="Y21" s="778"/>
      <c r="Z21" s="773"/>
      <c r="AA21" s="774"/>
      <c r="AB21" s="775"/>
      <c r="AC21" s="567"/>
      <c r="AD21" s="562"/>
      <c r="AE21" s="567"/>
      <c r="AF21" s="367"/>
      <c r="AG21" s="562"/>
      <c r="AH21" s="776"/>
      <c r="AI21" s="777"/>
      <c r="AJ21" s="777"/>
      <c r="AK21" s="778"/>
      <c r="AL21" s="776">
        <f t="shared" si="1"/>
        <v>0</v>
      </c>
      <c r="AM21" s="777"/>
      <c r="AN21" s="777"/>
      <c r="AO21" s="778"/>
    </row>
    <row r="22" spans="1:41" ht="12.75" customHeight="1" x14ac:dyDescent="0.25">
      <c r="A22" s="782"/>
      <c r="B22" s="783"/>
      <c r="C22" s="783"/>
      <c r="D22" s="783"/>
      <c r="E22" s="784"/>
      <c r="F22" s="776"/>
      <c r="G22" s="777"/>
      <c r="H22" s="777"/>
      <c r="I22" s="778"/>
      <c r="J22" s="773"/>
      <c r="K22" s="774"/>
      <c r="L22" s="775"/>
      <c r="M22" s="567"/>
      <c r="N22" s="562"/>
      <c r="O22" s="567"/>
      <c r="P22" s="367"/>
      <c r="Q22" s="562"/>
      <c r="R22" s="776"/>
      <c r="S22" s="777"/>
      <c r="T22" s="777"/>
      <c r="U22" s="778"/>
      <c r="V22" s="776">
        <f t="shared" si="0"/>
        <v>0</v>
      </c>
      <c r="W22" s="777"/>
      <c r="X22" s="777"/>
      <c r="Y22" s="778"/>
      <c r="Z22" s="773"/>
      <c r="AA22" s="774"/>
      <c r="AB22" s="775"/>
      <c r="AC22" s="567"/>
      <c r="AD22" s="562"/>
      <c r="AE22" s="567"/>
      <c r="AF22" s="367"/>
      <c r="AG22" s="562"/>
      <c r="AH22" s="776"/>
      <c r="AI22" s="777"/>
      <c r="AJ22" s="777"/>
      <c r="AK22" s="778"/>
      <c r="AL22" s="776">
        <f t="shared" si="1"/>
        <v>0</v>
      </c>
      <c r="AM22" s="777"/>
      <c r="AN22" s="777"/>
      <c r="AO22" s="778"/>
    </row>
    <row r="23" spans="1:41" ht="12.75" customHeight="1" x14ac:dyDescent="0.25">
      <c r="A23" s="782"/>
      <c r="B23" s="783"/>
      <c r="C23" s="783"/>
      <c r="D23" s="783"/>
      <c r="E23" s="784"/>
      <c r="F23" s="776"/>
      <c r="G23" s="777"/>
      <c r="H23" s="777"/>
      <c r="I23" s="778"/>
      <c r="J23" s="773"/>
      <c r="K23" s="774"/>
      <c r="L23" s="775"/>
      <c r="M23" s="567"/>
      <c r="N23" s="562"/>
      <c r="O23" s="567"/>
      <c r="P23" s="367"/>
      <c r="Q23" s="562"/>
      <c r="R23" s="776"/>
      <c r="S23" s="777"/>
      <c r="T23" s="777"/>
      <c r="U23" s="778"/>
      <c r="V23" s="776">
        <f t="shared" si="0"/>
        <v>0</v>
      </c>
      <c r="W23" s="777"/>
      <c r="X23" s="777"/>
      <c r="Y23" s="778"/>
      <c r="Z23" s="773"/>
      <c r="AA23" s="774"/>
      <c r="AB23" s="775"/>
      <c r="AC23" s="567"/>
      <c r="AD23" s="562"/>
      <c r="AE23" s="567"/>
      <c r="AF23" s="367"/>
      <c r="AG23" s="562"/>
      <c r="AH23" s="776"/>
      <c r="AI23" s="777"/>
      <c r="AJ23" s="777"/>
      <c r="AK23" s="778"/>
      <c r="AL23" s="776">
        <f t="shared" si="1"/>
        <v>0</v>
      </c>
      <c r="AM23" s="777"/>
      <c r="AN23" s="777"/>
      <c r="AO23" s="778"/>
    </row>
    <row r="24" spans="1:41" ht="12.75" customHeight="1" x14ac:dyDescent="0.25">
      <c r="A24" s="782"/>
      <c r="B24" s="783"/>
      <c r="C24" s="783"/>
      <c r="D24" s="783"/>
      <c r="E24" s="784"/>
      <c r="F24" s="776"/>
      <c r="G24" s="777"/>
      <c r="H24" s="777"/>
      <c r="I24" s="778"/>
      <c r="J24" s="773"/>
      <c r="K24" s="774"/>
      <c r="L24" s="775"/>
      <c r="M24" s="567"/>
      <c r="N24" s="562"/>
      <c r="O24" s="567"/>
      <c r="P24" s="367"/>
      <c r="Q24" s="562"/>
      <c r="R24" s="776"/>
      <c r="S24" s="777"/>
      <c r="T24" s="777"/>
      <c r="U24" s="778"/>
      <c r="V24" s="776">
        <f t="shared" si="0"/>
        <v>0</v>
      </c>
      <c r="W24" s="777"/>
      <c r="X24" s="777"/>
      <c r="Y24" s="778"/>
      <c r="Z24" s="773"/>
      <c r="AA24" s="774"/>
      <c r="AB24" s="775"/>
      <c r="AC24" s="567"/>
      <c r="AD24" s="562"/>
      <c r="AE24" s="567"/>
      <c r="AF24" s="367"/>
      <c r="AG24" s="562"/>
      <c r="AH24" s="776"/>
      <c r="AI24" s="777"/>
      <c r="AJ24" s="777"/>
      <c r="AK24" s="778"/>
      <c r="AL24" s="776">
        <f t="shared" si="1"/>
        <v>0</v>
      </c>
      <c r="AM24" s="777"/>
      <c r="AN24" s="777"/>
      <c r="AO24" s="778"/>
    </row>
    <row r="25" spans="1:41" ht="12.75" customHeight="1" x14ac:dyDescent="0.25">
      <c r="A25" s="782"/>
      <c r="B25" s="783"/>
      <c r="C25" s="783"/>
      <c r="D25" s="783"/>
      <c r="E25" s="784"/>
      <c r="F25" s="776"/>
      <c r="G25" s="777"/>
      <c r="H25" s="777"/>
      <c r="I25" s="778"/>
      <c r="J25" s="773"/>
      <c r="K25" s="774"/>
      <c r="L25" s="775"/>
      <c r="M25" s="567"/>
      <c r="N25" s="562"/>
      <c r="O25" s="567"/>
      <c r="P25" s="367"/>
      <c r="Q25" s="562"/>
      <c r="R25" s="776"/>
      <c r="S25" s="777"/>
      <c r="T25" s="777"/>
      <c r="U25" s="778"/>
      <c r="V25" s="776">
        <f t="shared" si="0"/>
        <v>0</v>
      </c>
      <c r="W25" s="777"/>
      <c r="X25" s="777"/>
      <c r="Y25" s="778"/>
      <c r="Z25" s="773"/>
      <c r="AA25" s="774"/>
      <c r="AB25" s="775"/>
      <c r="AC25" s="567"/>
      <c r="AD25" s="562"/>
      <c r="AE25" s="567"/>
      <c r="AF25" s="367"/>
      <c r="AG25" s="562"/>
      <c r="AH25" s="776"/>
      <c r="AI25" s="777"/>
      <c r="AJ25" s="777"/>
      <c r="AK25" s="778"/>
      <c r="AL25" s="776">
        <f t="shared" si="1"/>
        <v>0</v>
      </c>
      <c r="AM25" s="777"/>
      <c r="AN25" s="777"/>
      <c r="AO25" s="778"/>
    </row>
    <row r="26" spans="1:41" ht="12.75" customHeight="1" x14ac:dyDescent="0.25">
      <c r="A26" s="782"/>
      <c r="B26" s="783"/>
      <c r="C26" s="783"/>
      <c r="D26" s="783"/>
      <c r="E26" s="784"/>
      <c r="F26" s="776"/>
      <c r="G26" s="777"/>
      <c r="H26" s="777"/>
      <c r="I26" s="778"/>
      <c r="J26" s="773"/>
      <c r="K26" s="774"/>
      <c r="L26" s="775"/>
      <c r="M26" s="567"/>
      <c r="N26" s="562"/>
      <c r="O26" s="567"/>
      <c r="P26" s="367"/>
      <c r="Q26" s="562"/>
      <c r="R26" s="776"/>
      <c r="S26" s="777"/>
      <c r="T26" s="777"/>
      <c r="U26" s="778"/>
      <c r="V26" s="776">
        <f t="shared" si="0"/>
        <v>0</v>
      </c>
      <c r="W26" s="777"/>
      <c r="X26" s="777"/>
      <c r="Y26" s="778"/>
      <c r="Z26" s="773"/>
      <c r="AA26" s="774"/>
      <c r="AB26" s="775"/>
      <c r="AC26" s="567"/>
      <c r="AD26" s="562"/>
      <c r="AE26" s="567"/>
      <c r="AF26" s="367"/>
      <c r="AG26" s="562"/>
      <c r="AH26" s="776"/>
      <c r="AI26" s="777"/>
      <c r="AJ26" s="777"/>
      <c r="AK26" s="778"/>
      <c r="AL26" s="776">
        <f t="shared" si="1"/>
        <v>0</v>
      </c>
      <c r="AM26" s="777"/>
      <c r="AN26" s="777"/>
      <c r="AO26" s="778"/>
    </row>
    <row r="27" spans="1:41" ht="12.75" customHeight="1" x14ac:dyDescent="0.25">
      <c r="A27" s="782"/>
      <c r="B27" s="783"/>
      <c r="C27" s="783"/>
      <c r="D27" s="783"/>
      <c r="E27" s="784"/>
      <c r="F27" s="776"/>
      <c r="G27" s="777"/>
      <c r="H27" s="777"/>
      <c r="I27" s="778"/>
      <c r="J27" s="773"/>
      <c r="K27" s="774"/>
      <c r="L27" s="775"/>
      <c r="M27" s="567"/>
      <c r="N27" s="562"/>
      <c r="O27" s="567"/>
      <c r="P27" s="367"/>
      <c r="Q27" s="562"/>
      <c r="R27" s="776"/>
      <c r="S27" s="777"/>
      <c r="T27" s="777"/>
      <c r="U27" s="778"/>
      <c r="V27" s="776">
        <f t="shared" si="0"/>
        <v>0</v>
      </c>
      <c r="W27" s="777"/>
      <c r="X27" s="777"/>
      <c r="Y27" s="778"/>
      <c r="Z27" s="773"/>
      <c r="AA27" s="774"/>
      <c r="AB27" s="775"/>
      <c r="AC27" s="567"/>
      <c r="AD27" s="562"/>
      <c r="AE27" s="567"/>
      <c r="AF27" s="367"/>
      <c r="AG27" s="562"/>
      <c r="AH27" s="776"/>
      <c r="AI27" s="777"/>
      <c r="AJ27" s="777"/>
      <c r="AK27" s="778"/>
      <c r="AL27" s="776">
        <f t="shared" si="1"/>
        <v>0</v>
      </c>
      <c r="AM27" s="777"/>
      <c r="AN27" s="777"/>
      <c r="AO27" s="778"/>
    </row>
    <row r="28" spans="1:41" ht="12.75" customHeight="1" x14ac:dyDescent="0.25">
      <c r="A28" s="782"/>
      <c r="B28" s="783"/>
      <c r="C28" s="783"/>
      <c r="D28" s="783"/>
      <c r="E28" s="784"/>
      <c r="F28" s="776"/>
      <c r="G28" s="777"/>
      <c r="H28" s="777"/>
      <c r="I28" s="778"/>
      <c r="J28" s="773"/>
      <c r="K28" s="774"/>
      <c r="L28" s="775"/>
      <c r="M28" s="567"/>
      <c r="N28" s="562"/>
      <c r="O28" s="567"/>
      <c r="P28" s="367"/>
      <c r="Q28" s="562"/>
      <c r="R28" s="776"/>
      <c r="S28" s="777"/>
      <c r="T28" s="777"/>
      <c r="U28" s="778"/>
      <c r="V28" s="776">
        <f t="shared" si="0"/>
        <v>0</v>
      </c>
      <c r="W28" s="777"/>
      <c r="X28" s="777"/>
      <c r="Y28" s="778"/>
      <c r="Z28" s="773"/>
      <c r="AA28" s="774"/>
      <c r="AB28" s="775"/>
      <c r="AC28" s="567"/>
      <c r="AD28" s="562"/>
      <c r="AE28" s="567"/>
      <c r="AF28" s="367"/>
      <c r="AG28" s="562"/>
      <c r="AH28" s="776"/>
      <c r="AI28" s="777"/>
      <c r="AJ28" s="777"/>
      <c r="AK28" s="778"/>
      <c r="AL28" s="776">
        <f t="shared" si="1"/>
        <v>0</v>
      </c>
      <c r="AM28" s="777"/>
      <c r="AN28" s="777"/>
      <c r="AO28" s="778"/>
    </row>
    <row r="29" spans="1:41" ht="12.75" customHeight="1" x14ac:dyDescent="0.25">
      <c r="A29" s="782"/>
      <c r="B29" s="783"/>
      <c r="C29" s="783"/>
      <c r="D29" s="783"/>
      <c r="E29" s="784"/>
      <c r="F29" s="776"/>
      <c r="G29" s="777"/>
      <c r="H29" s="777"/>
      <c r="I29" s="778"/>
      <c r="J29" s="773"/>
      <c r="K29" s="774"/>
      <c r="L29" s="775"/>
      <c r="M29" s="567"/>
      <c r="N29" s="562"/>
      <c r="O29" s="567"/>
      <c r="P29" s="367"/>
      <c r="Q29" s="562"/>
      <c r="R29" s="776"/>
      <c r="S29" s="777"/>
      <c r="T29" s="777"/>
      <c r="U29" s="778"/>
      <c r="V29" s="776">
        <f t="shared" si="0"/>
        <v>0</v>
      </c>
      <c r="W29" s="777"/>
      <c r="X29" s="777"/>
      <c r="Y29" s="778"/>
      <c r="Z29" s="773"/>
      <c r="AA29" s="774"/>
      <c r="AB29" s="775"/>
      <c r="AC29" s="567"/>
      <c r="AD29" s="562"/>
      <c r="AE29" s="567"/>
      <c r="AF29" s="367"/>
      <c r="AG29" s="562"/>
      <c r="AH29" s="776"/>
      <c r="AI29" s="777"/>
      <c r="AJ29" s="777"/>
      <c r="AK29" s="778"/>
      <c r="AL29" s="776">
        <f t="shared" si="1"/>
        <v>0</v>
      </c>
      <c r="AM29" s="777"/>
      <c r="AN29" s="777"/>
      <c r="AO29" s="778"/>
    </row>
    <row r="30" spans="1:41" ht="12.75" customHeight="1" x14ac:dyDescent="0.25">
      <c r="A30" s="779"/>
      <c r="B30" s="780"/>
      <c r="C30" s="780"/>
      <c r="D30" s="780"/>
      <c r="E30" s="781"/>
      <c r="F30" s="770"/>
      <c r="G30" s="771"/>
      <c r="H30" s="771"/>
      <c r="I30" s="772"/>
      <c r="J30" s="773"/>
      <c r="K30" s="774"/>
      <c r="L30" s="775"/>
      <c r="M30" s="571"/>
      <c r="N30" s="572"/>
      <c r="O30" s="571"/>
      <c r="P30" s="550"/>
      <c r="Q30" s="572"/>
      <c r="R30" s="770"/>
      <c r="S30" s="771"/>
      <c r="T30" s="771"/>
      <c r="U30" s="772"/>
      <c r="V30" s="770">
        <f t="shared" si="0"/>
        <v>0</v>
      </c>
      <c r="W30" s="771"/>
      <c r="X30" s="771"/>
      <c r="Y30" s="772"/>
      <c r="Z30" s="773"/>
      <c r="AA30" s="774"/>
      <c r="AB30" s="775"/>
      <c r="AC30" s="571"/>
      <c r="AD30" s="572"/>
      <c r="AE30" s="571"/>
      <c r="AF30" s="550"/>
      <c r="AG30" s="572"/>
      <c r="AH30" s="770"/>
      <c r="AI30" s="771"/>
      <c r="AJ30" s="771"/>
      <c r="AK30" s="772"/>
      <c r="AL30" s="770">
        <f t="shared" si="1"/>
        <v>0</v>
      </c>
      <c r="AM30" s="771"/>
      <c r="AN30" s="771"/>
      <c r="AO30" s="772"/>
    </row>
    <row r="31" spans="1:41" ht="12.75" customHeight="1" x14ac:dyDescent="0.25">
      <c r="A31" s="761" t="s">
        <v>204</v>
      </c>
      <c r="B31" s="499"/>
      <c r="C31" s="499"/>
      <c r="D31" s="499"/>
      <c r="E31" s="762"/>
      <c r="F31" s="763"/>
      <c r="G31" s="501"/>
      <c r="H31" s="501"/>
      <c r="I31" s="502"/>
      <c r="J31" s="764"/>
      <c r="K31" s="765"/>
      <c r="L31" s="765"/>
      <c r="M31" s="765"/>
      <c r="N31" s="765"/>
      <c r="O31" s="765"/>
      <c r="P31" s="765"/>
      <c r="Q31" s="765"/>
      <c r="R31" s="765"/>
      <c r="S31" s="765"/>
      <c r="T31" s="765"/>
      <c r="U31" s="766"/>
      <c r="V31" s="767">
        <f>IF(Draft!G20=0,SUM(V17:Y30),Draft!G20)</f>
        <v>0</v>
      </c>
      <c r="W31" s="768"/>
      <c r="X31" s="768"/>
      <c r="Y31" s="769"/>
      <c r="Z31" s="764"/>
      <c r="AA31" s="765"/>
      <c r="AB31" s="765"/>
      <c r="AC31" s="765"/>
      <c r="AD31" s="765"/>
      <c r="AE31" s="765"/>
      <c r="AF31" s="765"/>
      <c r="AG31" s="765"/>
      <c r="AH31" s="765"/>
      <c r="AI31" s="765"/>
      <c r="AJ31" s="765"/>
      <c r="AK31" s="766"/>
      <c r="AL31" s="767">
        <f>IF(Draft!AS20=0,SUM(AL17:AO30),Draft!AS20)</f>
        <v>0</v>
      </c>
      <c r="AM31" s="768"/>
      <c r="AN31" s="768"/>
      <c r="AO31" s="769"/>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791"/>
      <c r="B34" s="540"/>
      <c r="C34" s="540"/>
      <c r="D34" s="540"/>
      <c r="E34" s="541"/>
      <c r="F34" s="785"/>
      <c r="G34" s="786"/>
      <c r="H34" s="786"/>
      <c r="I34" s="787"/>
      <c r="J34" s="788"/>
      <c r="K34" s="789"/>
      <c r="L34" s="790"/>
      <c r="M34" s="580"/>
      <c r="N34" s="561"/>
      <c r="O34" s="580"/>
      <c r="P34" s="560"/>
      <c r="Q34" s="561"/>
      <c r="R34" s="785"/>
      <c r="S34" s="786"/>
      <c r="T34" s="786"/>
      <c r="U34" s="787"/>
      <c r="V34" s="785">
        <f t="shared" ref="V34:V39" si="2">ROUND(R34*(O34-(0.00065*(M34-15))),2)</f>
        <v>0</v>
      </c>
      <c r="W34" s="786"/>
      <c r="X34" s="786"/>
      <c r="Y34" s="787"/>
      <c r="Z34" s="788"/>
      <c r="AA34" s="789"/>
      <c r="AB34" s="790"/>
      <c r="AC34" s="580"/>
      <c r="AD34" s="561"/>
      <c r="AE34" s="580"/>
      <c r="AF34" s="560"/>
      <c r="AG34" s="561"/>
      <c r="AH34" s="785"/>
      <c r="AI34" s="786"/>
      <c r="AJ34" s="786"/>
      <c r="AK34" s="787"/>
      <c r="AL34" s="785">
        <f t="shared" ref="AL34:AL39" si="3">ROUND(AH34*(AE34-(0.00065*(AC34-15))),2)</f>
        <v>0</v>
      </c>
      <c r="AM34" s="786"/>
      <c r="AN34" s="786"/>
      <c r="AO34" s="787"/>
    </row>
    <row r="35" spans="1:41" ht="12.75" customHeight="1" x14ac:dyDescent="0.25">
      <c r="A35" s="782"/>
      <c r="B35" s="783"/>
      <c r="C35" s="783"/>
      <c r="D35" s="783"/>
      <c r="E35" s="784"/>
      <c r="F35" s="776"/>
      <c r="G35" s="777"/>
      <c r="H35" s="777"/>
      <c r="I35" s="778"/>
      <c r="J35" s="773"/>
      <c r="K35" s="774"/>
      <c r="L35" s="775"/>
      <c r="M35" s="567"/>
      <c r="N35" s="562"/>
      <c r="O35" s="567"/>
      <c r="P35" s="367"/>
      <c r="Q35" s="562"/>
      <c r="R35" s="776"/>
      <c r="S35" s="777"/>
      <c r="T35" s="777"/>
      <c r="U35" s="778"/>
      <c r="V35" s="776">
        <f t="shared" si="2"/>
        <v>0</v>
      </c>
      <c r="W35" s="777"/>
      <c r="X35" s="777"/>
      <c r="Y35" s="778"/>
      <c r="Z35" s="773"/>
      <c r="AA35" s="774"/>
      <c r="AB35" s="775"/>
      <c r="AC35" s="567"/>
      <c r="AD35" s="562"/>
      <c r="AE35" s="567"/>
      <c r="AF35" s="367"/>
      <c r="AG35" s="562"/>
      <c r="AH35" s="776"/>
      <c r="AI35" s="777"/>
      <c r="AJ35" s="777"/>
      <c r="AK35" s="778"/>
      <c r="AL35" s="776">
        <f t="shared" si="3"/>
        <v>0</v>
      </c>
      <c r="AM35" s="777"/>
      <c r="AN35" s="777"/>
      <c r="AO35" s="778"/>
    </row>
    <row r="36" spans="1:41" ht="12.75" customHeight="1" x14ac:dyDescent="0.25">
      <c r="A36" s="782"/>
      <c r="B36" s="783"/>
      <c r="C36" s="783"/>
      <c r="D36" s="783"/>
      <c r="E36" s="784"/>
      <c r="F36" s="776"/>
      <c r="G36" s="777"/>
      <c r="H36" s="777"/>
      <c r="I36" s="778"/>
      <c r="J36" s="773"/>
      <c r="K36" s="774"/>
      <c r="L36" s="775"/>
      <c r="M36" s="567"/>
      <c r="N36" s="562"/>
      <c r="O36" s="567"/>
      <c r="P36" s="367"/>
      <c r="Q36" s="562"/>
      <c r="R36" s="776"/>
      <c r="S36" s="777"/>
      <c r="T36" s="777"/>
      <c r="U36" s="778"/>
      <c r="V36" s="776">
        <f t="shared" si="2"/>
        <v>0</v>
      </c>
      <c r="W36" s="777"/>
      <c r="X36" s="777"/>
      <c r="Y36" s="778"/>
      <c r="Z36" s="773"/>
      <c r="AA36" s="774"/>
      <c r="AB36" s="775"/>
      <c r="AC36" s="567"/>
      <c r="AD36" s="562"/>
      <c r="AE36" s="567"/>
      <c r="AF36" s="367"/>
      <c r="AG36" s="562"/>
      <c r="AH36" s="776"/>
      <c r="AI36" s="777"/>
      <c r="AJ36" s="777"/>
      <c r="AK36" s="778"/>
      <c r="AL36" s="776">
        <f t="shared" si="3"/>
        <v>0</v>
      </c>
      <c r="AM36" s="777"/>
      <c r="AN36" s="777"/>
      <c r="AO36" s="778"/>
    </row>
    <row r="37" spans="1:41" ht="12.75" customHeight="1" x14ac:dyDescent="0.25">
      <c r="A37" s="782"/>
      <c r="B37" s="783"/>
      <c r="C37" s="783"/>
      <c r="D37" s="783"/>
      <c r="E37" s="784"/>
      <c r="F37" s="776"/>
      <c r="G37" s="777"/>
      <c r="H37" s="777"/>
      <c r="I37" s="778"/>
      <c r="J37" s="773"/>
      <c r="K37" s="774"/>
      <c r="L37" s="775"/>
      <c r="M37" s="567"/>
      <c r="N37" s="562"/>
      <c r="O37" s="567"/>
      <c r="P37" s="367"/>
      <c r="Q37" s="562"/>
      <c r="R37" s="776"/>
      <c r="S37" s="777"/>
      <c r="T37" s="777"/>
      <c r="U37" s="778"/>
      <c r="V37" s="776">
        <f t="shared" si="2"/>
        <v>0</v>
      </c>
      <c r="W37" s="777"/>
      <c r="X37" s="777"/>
      <c r="Y37" s="778"/>
      <c r="Z37" s="773"/>
      <c r="AA37" s="774"/>
      <c r="AB37" s="775"/>
      <c r="AC37" s="567"/>
      <c r="AD37" s="562"/>
      <c r="AE37" s="567"/>
      <c r="AF37" s="367"/>
      <c r="AG37" s="562"/>
      <c r="AH37" s="776"/>
      <c r="AI37" s="777"/>
      <c r="AJ37" s="777"/>
      <c r="AK37" s="778"/>
      <c r="AL37" s="776">
        <f t="shared" si="3"/>
        <v>0</v>
      </c>
      <c r="AM37" s="777"/>
      <c r="AN37" s="777"/>
      <c r="AO37" s="778"/>
    </row>
    <row r="38" spans="1:41" ht="12.75" customHeight="1" x14ac:dyDescent="0.25">
      <c r="A38" s="782"/>
      <c r="B38" s="783"/>
      <c r="C38" s="783"/>
      <c r="D38" s="783"/>
      <c r="E38" s="784"/>
      <c r="F38" s="776"/>
      <c r="G38" s="777"/>
      <c r="H38" s="777"/>
      <c r="I38" s="778"/>
      <c r="J38" s="773"/>
      <c r="K38" s="774"/>
      <c r="L38" s="775"/>
      <c r="M38" s="567"/>
      <c r="N38" s="562"/>
      <c r="O38" s="567"/>
      <c r="P38" s="367"/>
      <c r="Q38" s="562"/>
      <c r="R38" s="776"/>
      <c r="S38" s="777"/>
      <c r="T38" s="777"/>
      <c r="U38" s="778"/>
      <c r="V38" s="776">
        <f t="shared" si="2"/>
        <v>0</v>
      </c>
      <c r="W38" s="777"/>
      <c r="X38" s="777"/>
      <c r="Y38" s="778"/>
      <c r="Z38" s="773"/>
      <c r="AA38" s="774"/>
      <c r="AB38" s="775"/>
      <c r="AC38" s="567"/>
      <c r="AD38" s="562"/>
      <c r="AE38" s="567"/>
      <c r="AF38" s="367"/>
      <c r="AG38" s="562"/>
      <c r="AH38" s="776"/>
      <c r="AI38" s="777"/>
      <c r="AJ38" s="777"/>
      <c r="AK38" s="778"/>
      <c r="AL38" s="776">
        <f t="shared" si="3"/>
        <v>0</v>
      </c>
      <c r="AM38" s="777"/>
      <c r="AN38" s="777"/>
      <c r="AO38" s="778"/>
    </row>
    <row r="39" spans="1:41" ht="12.75" customHeight="1" x14ac:dyDescent="0.25">
      <c r="A39" s="779"/>
      <c r="B39" s="780"/>
      <c r="C39" s="780"/>
      <c r="D39" s="780"/>
      <c r="E39" s="781"/>
      <c r="F39" s="776"/>
      <c r="G39" s="777"/>
      <c r="H39" s="777"/>
      <c r="I39" s="778"/>
      <c r="J39" s="773"/>
      <c r="K39" s="774"/>
      <c r="L39" s="775"/>
      <c r="M39" s="567"/>
      <c r="N39" s="562"/>
      <c r="O39" s="567"/>
      <c r="P39" s="367"/>
      <c r="Q39" s="562"/>
      <c r="R39" s="776"/>
      <c r="S39" s="777"/>
      <c r="T39" s="777"/>
      <c r="U39" s="778"/>
      <c r="V39" s="770">
        <f t="shared" si="2"/>
        <v>0</v>
      </c>
      <c r="W39" s="771"/>
      <c r="X39" s="771"/>
      <c r="Y39" s="772"/>
      <c r="Z39" s="773"/>
      <c r="AA39" s="774"/>
      <c r="AB39" s="775"/>
      <c r="AC39" s="567"/>
      <c r="AD39" s="562"/>
      <c r="AE39" s="567"/>
      <c r="AF39" s="367"/>
      <c r="AG39" s="562"/>
      <c r="AH39" s="776"/>
      <c r="AI39" s="777"/>
      <c r="AJ39" s="777"/>
      <c r="AK39" s="778"/>
      <c r="AL39" s="770">
        <f t="shared" si="3"/>
        <v>0</v>
      </c>
      <c r="AM39" s="771"/>
      <c r="AN39" s="771"/>
      <c r="AO39" s="772"/>
    </row>
    <row r="40" spans="1:41" ht="12.75" customHeight="1" x14ac:dyDescent="0.25">
      <c r="A40" s="761" t="s">
        <v>206</v>
      </c>
      <c r="B40" s="499"/>
      <c r="C40" s="499"/>
      <c r="D40" s="499"/>
      <c r="E40" s="762"/>
      <c r="F40" s="763"/>
      <c r="G40" s="501"/>
      <c r="H40" s="501"/>
      <c r="I40" s="502"/>
      <c r="J40" s="764"/>
      <c r="K40" s="765"/>
      <c r="L40" s="765"/>
      <c r="M40" s="765"/>
      <c r="N40" s="765"/>
      <c r="O40" s="765"/>
      <c r="P40" s="765"/>
      <c r="Q40" s="765"/>
      <c r="R40" s="765"/>
      <c r="S40" s="765"/>
      <c r="T40" s="765"/>
      <c r="U40" s="766"/>
      <c r="V40" s="767">
        <f>IF(Draft!G21=0,SUM(V34:Y39),Draft!G21)</f>
        <v>0</v>
      </c>
      <c r="W40" s="768"/>
      <c r="X40" s="768"/>
      <c r="Y40" s="769"/>
      <c r="Z40" s="764"/>
      <c r="AA40" s="765"/>
      <c r="AB40" s="765"/>
      <c r="AC40" s="765"/>
      <c r="AD40" s="765"/>
      <c r="AE40" s="765"/>
      <c r="AF40" s="765"/>
      <c r="AG40" s="765"/>
      <c r="AH40" s="765"/>
      <c r="AI40" s="765"/>
      <c r="AJ40" s="765"/>
      <c r="AK40" s="766"/>
      <c r="AL40" s="767">
        <f>IF(Draft!AS21=0,SUM(AL34:AO39),Draft!AS21)</f>
        <v>0</v>
      </c>
      <c r="AM40" s="768"/>
      <c r="AN40" s="768"/>
      <c r="AO40" s="769"/>
    </row>
    <row r="41" spans="1:41" ht="8.25" customHeight="1" x14ac:dyDescent="0.25">
      <c r="A41" s="504"/>
      <c r="B41" s="498"/>
      <c r="C41" s="498"/>
      <c r="D41" s="498"/>
      <c r="E41" s="498"/>
      <c r="F41" s="498"/>
      <c r="G41" s="498"/>
      <c r="H41" s="498"/>
      <c r="I41" s="498"/>
      <c r="J41" s="498"/>
      <c r="K41" s="498"/>
      <c r="L41" s="498"/>
      <c r="M41" s="498"/>
      <c r="N41" s="498"/>
      <c r="O41" s="498"/>
      <c r="P41" s="498"/>
      <c r="Q41" s="498"/>
      <c r="R41" s="498"/>
      <c r="S41" s="498"/>
      <c r="T41" s="498"/>
      <c r="U41" s="498"/>
      <c r="V41" s="498"/>
      <c r="W41" s="498"/>
      <c r="X41" s="498"/>
      <c r="Y41" s="498"/>
      <c r="Z41" s="498"/>
      <c r="AA41" s="498"/>
      <c r="AB41" s="498"/>
      <c r="AC41" s="498"/>
      <c r="AD41" s="498"/>
      <c r="AE41" s="498"/>
      <c r="AF41" s="498"/>
      <c r="AG41" s="498"/>
      <c r="AH41" s="498"/>
      <c r="AI41" s="498"/>
      <c r="AJ41" s="498"/>
      <c r="AK41" s="498"/>
      <c r="AL41" s="498"/>
      <c r="AM41" s="498"/>
      <c r="AN41" s="498"/>
      <c r="AO41" s="505"/>
    </row>
    <row r="42" spans="1:41" ht="12" customHeight="1" x14ac:dyDescent="0.25">
      <c r="A42" s="534" t="s">
        <v>207</v>
      </c>
      <c r="B42" s="535"/>
      <c r="C42" s="535"/>
      <c r="D42" s="535"/>
      <c r="E42" s="535"/>
      <c r="F42" s="535"/>
      <c r="G42" s="535"/>
      <c r="H42" s="535"/>
      <c r="I42" s="535"/>
      <c r="J42" s="535"/>
      <c r="K42" s="535"/>
      <c r="L42" s="535"/>
      <c r="M42" s="535"/>
      <c r="N42" s="535"/>
      <c r="O42" s="535"/>
      <c r="P42" s="535"/>
      <c r="Q42" s="535"/>
      <c r="R42" s="535"/>
      <c r="S42" s="535"/>
      <c r="T42" s="535"/>
      <c r="U42" s="535"/>
      <c r="V42" s="535"/>
      <c r="W42" s="535"/>
      <c r="X42" s="535"/>
      <c r="Y42" s="535"/>
      <c r="Z42" s="535"/>
      <c r="AA42" s="535"/>
      <c r="AB42" s="535"/>
      <c r="AC42" s="535"/>
      <c r="AD42" s="535"/>
      <c r="AE42" s="535"/>
      <c r="AF42" s="535"/>
      <c r="AG42" s="535"/>
      <c r="AH42" s="535"/>
      <c r="AI42" s="535"/>
      <c r="AJ42" s="535"/>
      <c r="AK42" s="535"/>
      <c r="AL42" s="535"/>
      <c r="AM42" s="535"/>
      <c r="AN42" s="535"/>
      <c r="AO42" s="536"/>
    </row>
    <row r="43" spans="1:41" ht="12.75" customHeight="1" x14ac:dyDescent="0.25">
      <c r="A43" s="6"/>
      <c r="B43" s="11"/>
      <c r="C43" s="13"/>
      <c r="D43" s="13"/>
      <c r="E43" s="13"/>
      <c r="F43" s="13"/>
      <c r="G43" s="13"/>
      <c r="H43" s="13"/>
      <c r="I43" s="13"/>
      <c r="J43" s="11"/>
      <c r="K43" s="12"/>
      <c r="L43" s="12"/>
      <c r="M43" s="12"/>
      <c r="N43" s="516" t="s">
        <v>31</v>
      </c>
      <c r="O43" s="516"/>
      <c r="P43" s="516"/>
      <c r="Q43" s="516"/>
      <c r="R43" s="516"/>
      <c r="S43" s="516"/>
      <c r="T43" s="516"/>
      <c r="U43" s="516"/>
      <c r="V43" s="516"/>
      <c r="W43" s="516"/>
      <c r="X43" s="516"/>
      <c r="Y43" s="516"/>
      <c r="Z43" s="516" t="s">
        <v>32</v>
      </c>
      <c r="AA43" s="516"/>
      <c r="AB43" s="516"/>
      <c r="AC43" s="516"/>
      <c r="AD43" s="516"/>
      <c r="AE43" s="516"/>
      <c r="AF43" s="516"/>
      <c r="AG43" s="516"/>
      <c r="AH43" s="516"/>
      <c r="AI43" s="516"/>
      <c r="AJ43" s="516"/>
      <c r="AK43" s="516"/>
      <c r="AL43" s="13"/>
      <c r="AM43" s="12"/>
      <c r="AN43" s="12"/>
      <c r="AO43" s="14"/>
    </row>
    <row r="44" spans="1:41" ht="12.75" customHeight="1" x14ac:dyDescent="0.25">
      <c r="A44" s="23"/>
      <c r="B44" s="24"/>
      <c r="J44" s="24"/>
      <c r="K44" s="25"/>
      <c r="L44" s="25"/>
      <c r="M44" s="25"/>
      <c r="N44" s="279" t="s">
        <v>76</v>
      </c>
      <c r="O44" s="279"/>
      <c r="P44" s="279"/>
      <c r="Q44" s="279"/>
      <c r="R44" s="279"/>
      <c r="S44" s="279"/>
      <c r="T44" s="279"/>
      <c r="U44" s="279"/>
      <c r="V44" s="279"/>
      <c r="W44" s="279"/>
      <c r="X44" s="279"/>
      <c r="Y44" s="279"/>
      <c r="Z44" s="279" t="s">
        <v>76</v>
      </c>
      <c r="AA44" s="279"/>
      <c r="AB44" s="279"/>
      <c r="AC44" s="279"/>
      <c r="AD44" s="279"/>
      <c r="AE44" s="279"/>
      <c r="AF44" s="279"/>
      <c r="AG44" s="279"/>
      <c r="AH44" s="279"/>
      <c r="AI44" s="279"/>
      <c r="AJ44" s="279"/>
      <c r="AK44" s="279"/>
      <c r="AM44" s="25"/>
      <c r="AN44" s="25"/>
      <c r="AO44" s="27"/>
    </row>
    <row r="45" spans="1:41" ht="12.75" customHeight="1" x14ac:dyDescent="0.25">
      <c r="A45" s="558" t="s">
        <v>208</v>
      </c>
      <c r="B45" s="559"/>
      <c r="C45" s="559"/>
      <c r="D45" s="559"/>
      <c r="E45" s="559"/>
      <c r="F45" s="559"/>
      <c r="G45" s="559"/>
      <c r="H45" s="559"/>
      <c r="I45" s="559"/>
      <c r="J45" s="559"/>
      <c r="K45" s="559"/>
      <c r="L45" s="559"/>
      <c r="M45" s="559"/>
      <c r="N45" s="758"/>
      <c r="O45" s="759">
        <f>+Draft!G18</f>
        <v>0</v>
      </c>
      <c r="P45" s="760"/>
      <c r="Q45" s="760"/>
      <c r="R45" s="760"/>
      <c r="S45" s="760"/>
      <c r="T45" s="760"/>
      <c r="U45" s="760"/>
      <c r="V45" s="760"/>
      <c r="W45" s="760"/>
      <c r="X45" s="82"/>
      <c r="Y45" s="567"/>
      <c r="Z45" s="562"/>
      <c r="AA45" s="759">
        <f>+Draft!AS18</f>
        <v>0</v>
      </c>
      <c r="AB45" s="760"/>
      <c r="AC45" s="760"/>
      <c r="AD45" s="760"/>
      <c r="AE45" s="760"/>
      <c r="AF45" s="760"/>
      <c r="AG45" s="760"/>
      <c r="AH45" s="760"/>
      <c r="AI45" s="760"/>
      <c r="AJ45" s="82"/>
      <c r="AK45" s="567"/>
      <c r="AL45" s="367"/>
      <c r="AM45" s="367"/>
      <c r="AN45" s="367"/>
      <c r="AO45" s="562"/>
    </row>
    <row r="46" spans="1:41" ht="12.75" customHeight="1" x14ac:dyDescent="0.25">
      <c r="A46" s="558" t="s">
        <v>209</v>
      </c>
      <c r="B46" s="559"/>
      <c r="C46" s="559"/>
      <c r="D46" s="559"/>
      <c r="E46" s="559"/>
      <c r="F46" s="559"/>
      <c r="G46" s="559"/>
      <c r="H46" s="559"/>
      <c r="I46" s="559"/>
      <c r="J46" s="559"/>
      <c r="K46" s="559"/>
      <c r="L46" s="559"/>
      <c r="M46" s="559"/>
      <c r="N46" s="758"/>
      <c r="O46" s="759">
        <f>+Draft!G19</f>
        <v>0</v>
      </c>
      <c r="P46" s="760"/>
      <c r="Q46" s="760"/>
      <c r="R46" s="760"/>
      <c r="S46" s="760"/>
      <c r="T46" s="760"/>
      <c r="U46" s="760"/>
      <c r="V46" s="760"/>
      <c r="W46" s="760"/>
      <c r="X46" s="82"/>
      <c r="Y46" s="567"/>
      <c r="Z46" s="562"/>
      <c r="AA46" s="759">
        <f>+Draft!AS19</f>
        <v>0</v>
      </c>
      <c r="AB46" s="760"/>
      <c r="AC46" s="760"/>
      <c r="AD46" s="760"/>
      <c r="AE46" s="760"/>
      <c r="AF46" s="760"/>
      <c r="AG46" s="760"/>
      <c r="AH46" s="760"/>
      <c r="AI46" s="760"/>
      <c r="AJ46" s="82"/>
      <c r="AK46" s="567"/>
      <c r="AL46" s="367"/>
      <c r="AM46" s="367"/>
      <c r="AN46" s="367"/>
      <c r="AO46" s="562"/>
    </row>
    <row r="47" spans="1:41" ht="12.75" customHeight="1" x14ac:dyDescent="0.25">
      <c r="A47" s="558" t="s">
        <v>210</v>
      </c>
      <c r="B47" s="559"/>
      <c r="C47" s="559"/>
      <c r="D47" s="559"/>
      <c r="E47" s="559"/>
      <c r="F47" s="559"/>
      <c r="G47" s="559"/>
      <c r="H47" s="559"/>
      <c r="I47" s="559"/>
      <c r="J47" s="559"/>
      <c r="K47" s="559"/>
      <c r="L47" s="559"/>
      <c r="M47" s="559"/>
      <c r="N47" s="758"/>
      <c r="O47" s="759">
        <f>+Draft!G20</f>
        <v>0</v>
      </c>
      <c r="P47" s="760"/>
      <c r="Q47" s="760"/>
      <c r="R47" s="760"/>
      <c r="S47" s="760"/>
      <c r="T47" s="760"/>
      <c r="U47" s="760"/>
      <c r="V47" s="760"/>
      <c r="W47" s="760"/>
      <c r="X47" s="82"/>
      <c r="Y47" s="567"/>
      <c r="Z47" s="562"/>
      <c r="AA47" s="759">
        <f>+Draft!AS20</f>
        <v>0</v>
      </c>
      <c r="AB47" s="760"/>
      <c r="AC47" s="760"/>
      <c r="AD47" s="760"/>
      <c r="AE47" s="760"/>
      <c r="AF47" s="760"/>
      <c r="AG47" s="760"/>
      <c r="AH47" s="760"/>
      <c r="AI47" s="760"/>
      <c r="AJ47" s="82"/>
      <c r="AK47" s="567"/>
      <c r="AL47" s="367"/>
      <c r="AM47" s="367"/>
      <c r="AN47" s="367"/>
      <c r="AO47" s="562"/>
    </row>
    <row r="48" spans="1:41" ht="12.75" customHeight="1" x14ac:dyDescent="0.25">
      <c r="A48" s="558" t="s">
        <v>211</v>
      </c>
      <c r="B48" s="559"/>
      <c r="C48" s="559"/>
      <c r="D48" s="559"/>
      <c r="E48" s="559"/>
      <c r="F48" s="559"/>
      <c r="G48" s="559"/>
      <c r="H48" s="559"/>
      <c r="I48" s="559"/>
      <c r="J48" s="559"/>
      <c r="K48" s="559"/>
      <c r="L48" s="559"/>
      <c r="M48" s="559"/>
      <c r="N48" s="758"/>
      <c r="O48" s="759">
        <f>+Draft!G21</f>
        <v>0</v>
      </c>
      <c r="P48" s="760"/>
      <c r="Q48" s="760"/>
      <c r="R48" s="760"/>
      <c r="S48" s="760"/>
      <c r="T48" s="760"/>
      <c r="U48" s="760"/>
      <c r="V48" s="760"/>
      <c r="W48" s="760"/>
      <c r="X48" s="82"/>
      <c r="Y48" s="567"/>
      <c r="Z48" s="562"/>
      <c r="AA48" s="759">
        <f>+Draft!AS21</f>
        <v>0</v>
      </c>
      <c r="AB48" s="760"/>
      <c r="AC48" s="760"/>
      <c r="AD48" s="760"/>
      <c r="AE48" s="760"/>
      <c r="AF48" s="760"/>
      <c r="AG48" s="760"/>
      <c r="AH48" s="760"/>
      <c r="AI48" s="760"/>
      <c r="AJ48" s="82"/>
      <c r="AK48" s="567"/>
      <c r="AL48" s="367"/>
      <c r="AM48" s="367"/>
      <c r="AN48" s="367"/>
      <c r="AO48" s="562"/>
    </row>
    <row r="49" spans="1:41" ht="12.75" customHeight="1" x14ac:dyDescent="0.25">
      <c r="A49" s="558" t="s">
        <v>212</v>
      </c>
      <c r="B49" s="559"/>
      <c r="C49" s="559"/>
      <c r="D49" s="559"/>
      <c r="E49" s="559"/>
      <c r="F49" s="559"/>
      <c r="G49" s="559"/>
      <c r="H49" s="559"/>
      <c r="I49" s="559"/>
      <c r="J49" s="559"/>
      <c r="K49" s="559"/>
      <c r="L49" s="559"/>
      <c r="M49" s="559"/>
      <c r="N49" s="758"/>
      <c r="O49" s="759">
        <f>+Draft!G22</f>
        <v>0</v>
      </c>
      <c r="P49" s="760"/>
      <c r="Q49" s="760"/>
      <c r="R49" s="760"/>
      <c r="S49" s="760"/>
      <c r="T49" s="760"/>
      <c r="U49" s="760"/>
      <c r="V49" s="760"/>
      <c r="W49" s="760"/>
      <c r="X49" s="82"/>
      <c r="Y49" s="567"/>
      <c r="Z49" s="562"/>
      <c r="AA49" s="759">
        <f>+Draft!AS22</f>
        <v>0</v>
      </c>
      <c r="AB49" s="760"/>
      <c r="AC49" s="760"/>
      <c r="AD49" s="760"/>
      <c r="AE49" s="760"/>
      <c r="AF49" s="760"/>
      <c r="AG49" s="760"/>
      <c r="AH49" s="760"/>
      <c r="AI49" s="760"/>
      <c r="AJ49" s="82"/>
      <c r="AK49" s="567"/>
      <c r="AL49" s="367"/>
      <c r="AM49" s="367"/>
      <c r="AN49" s="367"/>
      <c r="AO49" s="562"/>
    </row>
    <row r="50" spans="1:41" ht="12.75" customHeight="1" x14ac:dyDescent="0.25">
      <c r="A50" s="558" t="s">
        <v>213</v>
      </c>
      <c r="B50" s="559"/>
      <c r="C50" s="559"/>
      <c r="D50" s="559"/>
      <c r="E50" s="559"/>
      <c r="F50" s="559"/>
      <c r="G50" s="559"/>
      <c r="H50" s="559"/>
      <c r="I50" s="559"/>
      <c r="J50" s="559"/>
      <c r="K50" s="559"/>
      <c r="L50" s="559"/>
      <c r="M50" s="559"/>
      <c r="N50" s="758"/>
      <c r="O50" s="759">
        <f>+Draft!G23</f>
        <v>0</v>
      </c>
      <c r="P50" s="760"/>
      <c r="Q50" s="760"/>
      <c r="R50" s="760"/>
      <c r="S50" s="760"/>
      <c r="T50" s="760"/>
      <c r="U50" s="760"/>
      <c r="V50" s="760"/>
      <c r="W50" s="760"/>
      <c r="X50" s="82"/>
      <c r="Y50" s="567"/>
      <c r="Z50" s="562"/>
      <c r="AA50" s="759">
        <f>+Draft!AS23</f>
        <v>0</v>
      </c>
      <c r="AB50" s="760"/>
      <c r="AC50" s="760"/>
      <c r="AD50" s="760"/>
      <c r="AE50" s="760"/>
      <c r="AF50" s="760"/>
      <c r="AG50" s="760"/>
      <c r="AH50" s="760"/>
      <c r="AI50" s="760"/>
      <c r="AJ50" s="82"/>
      <c r="AK50" s="567"/>
      <c r="AL50" s="367"/>
      <c r="AM50" s="367"/>
      <c r="AN50" s="367"/>
      <c r="AO50" s="562"/>
    </row>
    <row r="51" spans="1:41" ht="12.75" customHeight="1" x14ac:dyDescent="0.25">
      <c r="A51" s="558" t="s">
        <v>214</v>
      </c>
      <c r="B51" s="559"/>
      <c r="C51" s="559"/>
      <c r="D51" s="559"/>
      <c r="E51" s="559"/>
      <c r="F51" s="559"/>
      <c r="G51" s="559"/>
      <c r="H51" s="559"/>
      <c r="I51" s="559"/>
      <c r="J51" s="559"/>
      <c r="K51" s="559"/>
      <c r="L51" s="559"/>
      <c r="M51" s="559"/>
      <c r="N51" s="758"/>
      <c r="O51" s="759">
        <f>+Draft!G24</f>
        <v>0</v>
      </c>
      <c r="P51" s="760"/>
      <c r="Q51" s="760"/>
      <c r="R51" s="760"/>
      <c r="S51" s="760"/>
      <c r="T51" s="760"/>
      <c r="U51" s="760"/>
      <c r="V51" s="760"/>
      <c r="W51" s="760"/>
      <c r="X51" s="82"/>
      <c r="Y51" s="567"/>
      <c r="Z51" s="562"/>
      <c r="AA51" s="759">
        <f>+Draft!AS24</f>
        <v>0</v>
      </c>
      <c r="AB51" s="760"/>
      <c r="AC51" s="760"/>
      <c r="AD51" s="760"/>
      <c r="AE51" s="760"/>
      <c r="AF51" s="760"/>
      <c r="AG51" s="760"/>
      <c r="AH51" s="760"/>
      <c r="AI51" s="760"/>
      <c r="AJ51" s="82"/>
      <c r="AK51" s="567"/>
      <c r="AL51" s="367"/>
      <c r="AM51" s="367"/>
      <c r="AN51" s="367"/>
      <c r="AO51" s="562"/>
    </row>
    <row r="52" spans="1:41" ht="12.75" customHeight="1" x14ac:dyDescent="0.25">
      <c r="A52" s="558" t="s">
        <v>215</v>
      </c>
      <c r="B52" s="559"/>
      <c r="C52" s="559"/>
      <c r="D52" s="559"/>
      <c r="E52" s="559"/>
      <c r="F52" s="559"/>
      <c r="G52" s="559"/>
      <c r="H52" s="559"/>
      <c r="I52" s="559"/>
      <c r="J52" s="559"/>
      <c r="K52" s="559"/>
      <c r="L52" s="559"/>
      <c r="M52" s="559"/>
      <c r="N52" s="758"/>
      <c r="O52" s="759">
        <f>+Draft!G25</f>
        <v>0</v>
      </c>
      <c r="P52" s="760"/>
      <c r="Q52" s="760"/>
      <c r="R52" s="760"/>
      <c r="S52" s="760"/>
      <c r="T52" s="760"/>
      <c r="U52" s="760"/>
      <c r="V52" s="760"/>
      <c r="W52" s="760"/>
      <c r="X52" s="82"/>
      <c r="Y52" s="567"/>
      <c r="Z52" s="562"/>
      <c r="AA52" s="759">
        <f>+Draft!AS25</f>
        <v>0</v>
      </c>
      <c r="AB52" s="760"/>
      <c r="AC52" s="760"/>
      <c r="AD52" s="760"/>
      <c r="AE52" s="760"/>
      <c r="AF52" s="760"/>
      <c r="AG52" s="760"/>
      <c r="AH52" s="760"/>
      <c r="AI52" s="760"/>
      <c r="AJ52" s="82"/>
      <c r="AK52" s="567"/>
      <c r="AL52" s="367"/>
      <c r="AM52" s="367"/>
      <c r="AN52" s="367"/>
      <c r="AO52" s="562"/>
    </row>
    <row r="53" spans="1:41" ht="12.75" customHeight="1" x14ac:dyDescent="0.25">
      <c r="A53" s="558" t="s">
        <v>216</v>
      </c>
      <c r="B53" s="559"/>
      <c r="C53" s="559"/>
      <c r="D53" s="559"/>
      <c r="E53" s="559"/>
      <c r="F53" s="559"/>
      <c r="G53" s="559"/>
      <c r="H53" s="559"/>
      <c r="I53" s="559"/>
      <c r="J53" s="559"/>
      <c r="K53" s="559"/>
      <c r="L53" s="559"/>
      <c r="M53" s="559"/>
      <c r="N53" s="758"/>
      <c r="O53" s="759"/>
      <c r="P53" s="760"/>
      <c r="Q53" s="760"/>
      <c r="R53" s="760"/>
      <c r="S53" s="760"/>
      <c r="T53" s="760"/>
      <c r="U53" s="760"/>
      <c r="V53" s="760"/>
      <c r="W53" s="760"/>
      <c r="X53" s="82"/>
      <c r="Y53" s="567"/>
      <c r="Z53" s="562"/>
      <c r="AA53" s="759"/>
      <c r="AB53" s="760"/>
      <c r="AC53" s="760"/>
      <c r="AD53" s="760"/>
      <c r="AE53" s="760"/>
      <c r="AF53" s="760"/>
      <c r="AG53" s="760"/>
      <c r="AH53" s="760"/>
      <c r="AI53" s="760"/>
      <c r="AJ53" s="82"/>
      <c r="AK53" s="567"/>
      <c r="AL53" s="367"/>
      <c r="AM53" s="367"/>
      <c r="AN53" s="367"/>
      <c r="AO53" s="562"/>
    </row>
    <row r="54" spans="1:41" ht="12.75" customHeight="1" x14ac:dyDescent="0.25">
      <c r="A54" s="23"/>
      <c r="B54" s="552"/>
      <c r="C54" s="552"/>
      <c r="D54" s="552"/>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3"/>
    </row>
    <row r="55" spans="1:41" ht="12.75" customHeight="1" x14ac:dyDescent="0.25">
      <c r="A55" s="558" t="s">
        <v>217</v>
      </c>
      <c r="B55" s="559"/>
      <c r="C55" s="559"/>
      <c r="D55" s="559"/>
      <c r="E55" s="559"/>
      <c r="F55" s="559"/>
      <c r="G55" s="559"/>
      <c r="H55" s="559"/>
      <c r="I55" s="559"/>
      <c r="J55" s="559"/>
      <c r="K55" s="559"/>
      <c r="L55" s="559"/>
      <c r="M55" s="559"/>
      <c r="N55" s="758"/>
      <c r="O55" s="759">
        <f>+Draft!G26</f>
        <v>0</v>
      </c>
      <c r="P55" s="760"/>
      <c r="Q55" s="760"/>
      <c r="R55" s="760"/>
      <c r="S55" s="760"/>
      <c r="T55" s="760"/>
      <c r="U55" s="760"/>
      <c r="V55" s="760"/>
      <c r="W55" s="760"/>
      <c r="X55" s="82"/>
      <c r="Y55" s="567"/>
      <c r="Z55" s="562"/>
      <c r="AA55" s="759">
        <f>+Draft!AS26</f>
        <v>0</v>
      </c>
      <c r="AB55" s="760"/>
      <c r="AC55" s="760"/>
      <c r="AD55" s="760"/>
      <c r="AE55" s="760"/>
      <c r="AF55" s="760"/>
      <c r="AG55" s="760"/>
      <c r="AH55" s="760"/>
      <c r="AI55" s="760"/>
      <c r="AJ55" s="82"/>
      <c r="AK55" s="567"/>
      <c r="AL55" s="367"/>
      <c r="AM55" s="367"/>
      <c r="AN55" s="367"/>
      <c r="AO55" s="562"/>
    </row>
    <row r="56" spans="1:41" ht="12.75" customHeight="1" x14ac:dyDescent="0.25">
      <c r="A56" s="534"/>
      <c r="B56" s="535"/>
      <c r="C56" s="535"/>
      <c r="D56" s="535"/>
      <c r="E56" s="535"/>
      <c r="F56" s="535"/>
      <c r="G56" s="535"/>
      <c r="H56" s="535"/>
      <c r="I56" s="535"/>
      <c r="J56" s="535"/>
      <c r="K56" s="535"/>
      <c r="L56" s="535"/>
      <c r="M56" s="535"/>
      <c r="N56" s="535"/>
      <c r="O56" s="535"/>
      <c r="P56" s="535"/>
      <c r="Q56" s="535"/>
      <c r="R56" s="535"/>
      <c r="S56" s="535"/>
      <c r="T56" s="535"/>
      <c r="U56" s="535"/>
      <c r="V56" s="535"/>
      <c r="W56" s="535"/>
      <c r="X56" s="535"/>
      <c r="Y56" s="535"/>
      <c r="Z56" s="535"/>
      <c r="AA56" s="535"/>
      <c r="AB56" s="535"/>
      <c r="AC56" s="535"/>
      <c r="AD56" s="535"/>
      <c r="AE56" s="535"/>
      <c r="AF56" s="535"/>
      <c r="AG56" s="535"/>
      <c r="AH56" s="535"/>
      <c r="AI56" s="535"/>
      <c r="AJ56" s="535"/>
      <c r="AK56" s="535"/>
      <c r="AL56" s="535"/>
      <c r="AM56" s="535"/>
      <c r="AN56" s="535"/>
      <c r="AO56" s="536"/>
    </row>
    <row r="57" spans="1:41" ht="12.75" customHeight="1" x14ac:dyDescent="0.25">
      <c r="A57" s="498"/>
      <c r="B57" s="498"/>
      <c r="C57" s="498"/>
      <c r="D57" s="498"/>
      <c r="E57" s="498"/>
      <c r="F57" s="498"/>
      <c r="G57" s="498"/>
      <c r="H57" s="498"/>
      <c r="I57" s="498"/>
      <c r="J57" s="498"/>
      <c r="K57" s="498"/>
      <c r="L57" s="498"/>
      <c r="M57" s="498"/>
      <c r="N57" s="498"/>
      <c r="O57" s="498"/>
      <c r="P57" s="498"/>
      <c r="Q57" s="498"/>
      <c r="R57" s="498"/>
      <c r="S57" s="498"/>
      <c r="T57" s="498"/>
      <c r="U57" s="498"/>
      <c r="V57" s="498"/>
      <c r="W57" s="498"/>
      <c r="X57" s="498"/>
      <c r="Y57" s="498"/>
      <c r="Z57" s="498"/>
      <c r="AA57" s="498"/>
      <c r="AB57" s="498"/>
      <c r="AC57" s="498"/>
      <c r="AD57" s="498"/>
      <c r="AE57" s="498"/>
      <c r="AF57" s="498"/>
      <c r="AG57" s="498"/>
      <c r="AH57" s="498"/>
      <c r="AI57" s="498"/>
      <c r="AJ57" s="498"/>
      <c r="AK57" s="498"/>
      <c r="AL57" s="498"/>
      <c r="AM57" s="498"/>
      <c r="AN57" s="498"/>
      <c r="AO57" s="498"/>
    </row>
    <row r="58" spans="1:41" ht="25.5" customHeight="1" x14ac:dyDescent="0.25">
      <c r="A58" s="308"/>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row>
  </sheetData>
  <mergeCells count="3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A17:E17"/>
    <mergeCell ref="F17:I17"/>
    <mergeCell ref="J17:L17"/>
    <mergeCell ref="M17:N17"/>
    <mergeCell ref="O17:Q17"/>
    <mergeCell ref="R17:U17"/>
    <mergeCell ref="V17:Y17"/>
    <mergeCell ref="Z17:AB17"/>
    <mergeCell ref="AH17:AK17"/>
    <mergeCell ref="V19:Y19"/>
    <mergeCell ref="Z19:AB19"/>
    <mergeCell ref="AC19:AD19"/>
    <mergeCell ref="AE19:AG19"/>
    <mergeCell ref="AH19:AK19"/>
    <mergeCell ref="AL19:AO19"/>
    <mergeCell ref="A19:E19"/>
    <mergeCell ref="F19:I19"/>
    <mergeCell ref="J19:L19"/>
    <mergeCell ref="M19:N19"/>
    <mergeCell ref="O19:Q19"/>
    <mergeCell ref="R19:U19"/>
    <mergeCell ref="A18:E18"/>
    <mergeCell ref="F18:I18"/>
    <mergeCell ref="J18:L18"/>
    <mergeCell ref="M18:N18"/>
    <mergeCell ref="O18:Q18"/>
    <mergeCell ref="R18:U18"/>
    <mergeCell ref="V18:Y18"/>
    <mergeCell ref="Z18:AB18"/>
    <mergeCell ref="AC18:AD18"/>
    <mergeCell ref="V20:Y20"/>
    <mergeCell ref="Z20:AB20"/>
    <mergeCell ref="AC20:AD20"/>
    <mergeCell ref="AE20:AG20"/>
    <mergeCell ref="AH20:AK20"/>
    <mergeCell ref="AL20:AO20"/>
    <mergeCell ref="A20:E20"/>
    <mergeCell ref="F20:I20"/>
    <mergeCell ref="J20:L20"/>
    <mergeCell ref="M20:N20"/>
    <mergeCell ref="O20:Q20"/>
    <mergeCell ref="R20:U20"/>
    <mergeCell ref="V21:Y21"/>
    <mergeCell ref="Z21:AB21"/>
    <mergeCell ref="AC21:AD21"/>
    <mergeCell ref="AE21:AG21"/>
    <mergeCell ref="AH21:AK21"/>
    <mergeCell ref="AL21:AO21"/>
    <mergeCell ref="A21:E21"/>
    <mergeCell ref="F21:I21"/>
    <mergeCell ref="J21:L21"/>
    <mergeCell ref="M21:N21"/>
    <mergeCell ref="O21:Q21"/>
    <mergeCell ref="R21:U21"/>
    <mergeCell ref="V22:Y22"/>
    <mergeCell ref="Z22:AB22"/>
    <mergeCell ref="AC22:AD22"/>
    <mergeCell ref="AE22:AG22"/>
    <mergeCell ref="AH22:AK22"/>
    <mergeCell ref="AL22:AO22"/>
    <mergeCell ref="A22:E22"/>
    <mergeCell ref="F22:I22"/>
    <mergeCell ref="J22:L22"/>
    <mergeCell ref="M22:N22"/>
    <mergeCell ref="O22:Q22"/>
    <mergeCell ref="R22:U22"/>
    <mergeCell ref="V23:Y23"/>
    <mergeCell ref="Z23:AB23"/>
    <mergeCell ref="AC23:AD23"/>
    <mergeCell ref="AE23:AG23"/>
    <mergeCell ref="AH23:AK23"/>
    <mergeCell ref="AL23:AO23"/>
    <mergeCell ref="A23:E23"/>
    <mergeCell ref="F23:I23"/>
    <mergeCell ref="J23:L23"/>
    <mergeCell ref="M23:N23"/>
    <mergeCell ref="O23:Q23"/>
    <mergeCell ref="R23:U23"/>
    <mergeCell ref="V24:Y24"/>
    <mergeCell ref="Z24:AB24"/>
    <mergeCell ref="AC24:AD24"/>
    <mergeCell ref="AE24:AG24"/>
    <mergeCell ref="AH24:AK24"/>
    <mergeCell ref="AL24:AO24"/>
    <mergeCell ref="A24:E24"/>
    <mergeCell ref="F24:I24"/>
    <mergeCell ref="J24:L24"/>
    <mergeCell ref="M24:N24"/>
    <mergeCell ref="O24:Q24"/>
    <mergeCell ref="R24:U24"/>
    <mergeCell ref="V25:Y25"/>
    <mergeCell ref="Z25:AB25"/>
    <mergeCell ref="AC25:AD25"/>
    <mergeCell ref="AE25:AG25"/>
    <mergeCell ref="AH25:AK25"/>
    <mergeCell ref="AL25:AO25"/>
    <mergeCell ref="A25:E25"/>
    <mergeCell ref="F25:I25"/>
    <mergeCell ref="J25:L25"/>
    <mergeCell ref="M25:N25"/>
    <mergeCell ref="O25:Q25"/>
    <mergeCell ref="R25:U25"/>
    <mergeCell ref="V26:Y26"/>
    <mergeCell ref="Z26:AB26"/>
    <mergeCell ref="AC26:AD26"/>
    <mergeCell ref="AE26:AG26"/>
    <mergeCell ref="AH26:AK26"/>
    <mergeCell ref="AL26:AO26"/>
    <mergeCell ref="A26:E26"/>
    <mergeCell ref="F26:I26"/>
    <mergeCell ref="J26:L26"/>
    <mergeCell ref="M26:N26"/>
    <mergeCell ref="O26:Q26"/>
    <mergeCell ref="R26:U26"/>
    <mergeCell ref="V27:Y27"/>
    <mergeCell ref="Z27:AB27"/>
    <mergeCell ref="AC27:AD27"/>
    <mergeCell ref="AE27:AG27"/>
    <mergeCell ref="AH27:AK27"/>
    <mergeCell ref="AL27:AO27"/>
    <mergeCell ref="A27:E27"/>
    <mergeCell ref="F27:I27"/>
    <mergeCell ref="J27:L27"/>
    <mergeCell ref="M27:N27"/>
    <mergeCell ref="O27:Q27"/>
    <mergeCell ref="R27:U27"/>
    <mergeCell ref="V28:Y28"/>
    <mergeCell ref="Z28:AB28"/>
    <mergeCell ref="AC28:AD28"/>
    <mergeCell ref="AE28:AG28"/>
    <mergeCell ref="AH28:AK28"/>
    <mergeCell ref="AL28:AO28"/>
    <mergeCell ref="A28:E28"/>
    <mergeCell ref="F28:I28"/>
    <mergeCell ref="J28:L28"/>
    <mergeCell ref="M28:N28"/>
    <mergeCell ref="O28:Q28"/>
    <mergeCell ref="R28:U28"/>
    <mergeCell ref="V29:Y29"/>
    <mergeCell ref="Z29:AB29"/>
    <mergeCell ref="AC29:AD29"/>
    <mergeCell ref="AE29:AG29"/>
    <mergeCell ref="AH29:AK29"/>
    <mergeCell ref="AL29:AO29"/>
    <mergeCell ref="A29:E29"/>
    <mergeCell ref="F29:I29"/>
    <mergeCell ref="J29:L29"/>
    <mergeCell ref="M29:N29"/>
    <mergeCell ref="O29:Q29"/>
    <mergeCell ref="R29:U29"/>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34:Y34"/>
    <mergeCell ref="Z34:AB34"/>
    <mergeCell ref="AC34:AD34"/>
    <mergeCell ref="AE34:AG34"/>
    <mergeCell ref="AH34:AK34"/>
    <mergeCell ref="AL34:AO34"/>
    <mergeCell ref="A34:E34"/>
    <mergeCell ref="F34:I34"/>
    <mergeCell ref="J34:L34"/>
    <mergeCell ref="M34:N34"/>
    <mergeCell ref="O34:Q34"/>
    <mergeCell ref="R34:U34"/>
    <mergeCell ref="V35:Y35"/>
    <mergeCell ref="Z35:AB35"/>
    <mergeCell ref="AC35:AD35"/>
    <mergeCell ref="AE35:AG35"/>
    <mergeCell ref="AH35:AK35"/>
    <mergeCell ref="AL35:AO35"/>
    <mergeCell ref="A35:E35"/>
    <mergeCell ref="F35:I35"/>
    <mergeCell ref="J35:L35"/>
    <mergeCell ref="M35:N35"/>
    <mergeCell ref="O35:Q35"/>
    <mergeCell ref="R35:U35"/>
    <mergeCell ref="V36:Y36"/>
    <mergeCell ref="Z36:AB36"/>
    <mergeCell ref="AC36:AD36"/>
    <mergeCell ref="AE36:AG36"/>
    <mergeCell ref="AH36:AK36"/>
    <mergeCell ref="AL36:AO36"/>
    <mergeCell ref="A36:E36"/>
    <mergeCell ref="F36:I36"/>
    <mergeCell ref="J36:L36"/>
    <mergeCell ref="M36:N36"/>
    <mergeCell ref="O36:Q36"/>
    <mergeCell ref="R36:U36"/>
    <mergeCell ref="V37:Y37"/>
    <mergeCell ref="Z37:AB37"/>
    <mergeCell ref="AC37:AD37"/>
    <mergeCell ref="AE37:AG37"/>
    <mergeCell ref="AH37:AK37"/>
    <mergeCell ref="AL37:AO37"/>
    <mergeCell ref="A37:E37"/>
    <mergeCell ref="F37:I37"/>
    <mergeCell ref="J37:L37"/>
    <mergeCell ref="M37:N37"/>
    <mergeCell ref="O37:Q37"/>
    <mergeCell ref="R37:U37"/>
    <mergeCell ref="V38:Y38"/>
    <mergeCell ref="Z38:AB38"/>
    <mergeCell ref="AC38:AD38"/>
    <mergeCell ref="AE38:AG38"/>
    <mergeCell ref="AH38:AK38"/>
    <mergeCell ref="AL38:AO38"/>
    <mergeCell ref="A38:E38"/>
    <mergeCell ref="F38:I38"/>
    <mergeCell ref="J38:L38"/>
    <mergeCell ref="M38:N38"/>
    <mergeCell ref="O38:Q38"/>
    <mergeCell ref="R38:U38"/>
    <mergeCell ref="V39:Y39"/>
    <mergeCell ref="Z39:AB39"/>
    <mergeCell ref="AC39:AD39"/>
    <mergeCell ref="AE39:AG39"/>
    <mergeCell ref="AH39:AK39"/>
    <mergeCell ref="AL39:AO39"/>
    <mergeCell ref="A39:E39"/>
    <mergeCell ref="F39:I39"/>
    <mergeCell ref="J39:L39"/>
    <mergeCell ref="M39:N39"/>
    <mergeCell ref="O39:Q39"/>
    <mergeCell ref="R39:U39"/>
    <mergeCell ref="A41:AO41"/>
    <mergeCell ref="A42:AO42"/>
    <mergeCell ref="N43:Y43"/>
    <mergeCell ref="Z43:AK43"/>
    <mergeCell ref="N44:Y44"/>
    <mergeCell ref="Z44:AK44"/>
    <mergeCell ref="A40:E40"/>
    <mergeCell ref="F40:I40"/>
    <mergeCell ref="J40:U40"/>
    <mergeCell ref="V40:Y40"/>
    <mergeCell ref="Z40:AK40"/>
    <mergeCell ref="AL40:AO40"/>
    <mergeCell ref="A45:N45"/>
    <mergeCell ref="O45:W45"/>
    <mergeCell ref="Y45:Z45"/>
    <mergeCell ref="AA45:AI45"/>
    <mergeCell ref="AK45:AO45"/>
    <mergeCell ref="A46:N46"/>
    <mergeCell ref="O46:W46"/>
    <mergeCell ref="Y46:Z46"/>
    <mergeCell ref="AA46:AI46"/>
    <mergeCell ref="AK46:AO46"/>
    <mergeCell ref="A47:N47"/>
    <mergeCell ref="O47:W47"/>
    <mergeCell ref="Y47:Z47"/>
    <mergeCell ref="AA47:AI47"/>
    <mergeCell ref="AK47:AO47"/>
    <mergeCell ref="A48:N48"/>
    <mergeCell ref="O48:W48"/>
    <mergeCell ref="Y48:Z48"/>
    <mergeCell ref="AA48:AI48"/>
    <mergeCell ref="AK48:AO48"/>
    <mergeCell ref="A49:N49"/>
    <mergeCell ref="O49:W49"/>
    <mergeCell ref="Y49:Z49"/>
    <mergeCell ref="AA49:AI49"/>
    <mergeCell ref="AK49:AO49"/>
    <mergeCell ref="A50:N50"/>
    <mergeCell ref="O50:W50"/>
    <mergeCell ref="Y50:Z50"/>
    <mergeCell ref="AA50:AI50"/>
    <mergeCell ref="AK50:AO50"/>
    <mergeCell ref="A51:N51"/>
    <mergeCell ref="O51:W51"/>
    <mergeCell ref="Y51:Z51"/>
    <mergeCell ref="AA51:AI51"/>
    <mergeCell ref="AK51:AO51"/>
    <mergeCell ref="A52:N52"/>
    <mergeCell ref="O52:W52"/>
    <mergeCell ref="Y52:Z52"/>
    <mergeCell ref="AA52:AI52"/>
    <mergeCell ref="AK52:AO52"/>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topLeftCell="A15" zoomScale="87" zoomScaleNormal="87" workbookViewId="0">
      <selection activeCell="P22" sqref="P22:R22"/>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958" t="s">
        <v>409</v>
      </c>
      <c r="B1" s="958"/>
      <c r="C1" s="958"/>
      <c r="D1" s="958"/>
      <c r="E1" s="958"/>
      <c r="F1" s="958"/>
      <c r="G1" s="958"/>
      <c r="H1" s="958"/>
      <c r="I1" s="958"/>
      <c r="J1" s="958"/>
      <c r="K1" s="958"/>
      <c r="L1" s="958"/>
      <c r="M1" s="958"/>
      <c r="N1" s="958"/>
      <c r="O1" s="958"/>
      <c r="P1" s="958"/>
      <c r="Q1" s="958"/>
      <c r="R1" s="958"/>
      <c r="S1" s="958"/>
      <c r="T1" s="958"/>
      <c r="U1" s="958"/>
      <c r="V1" s="958"/>
      <c r="W1" s="958"/>
      <c r="X1" s="958"/>
      <c r="Y1" s="958"/>
      <c r="Z1" s="958"/>
      <c r="AA1" s="958"/>
      <c r="AB1" s="958"/>
      <c r="AC1" s="958"/>
      <c r="AD1" s="958"/>
      <c r="AE1" s="958"/>
      <c r="AF1" s="958"/>
      <c r="AG1" s="958"/>
      <c r="AH1" s="958"/>
      <c r="AI1" s="958"/>
      <c r="AJ1" s="958"/>
      <c r="AK1" s="958"/>
    </row>
    <row r="2" spans="1:47" x14ac:dyDescent="0.25">
      <c r="A2" s="552" t="s">
        <v>251</v>
      </c>
      <c r="B2" s="552"/>
      <c r="C2" s="552"/>
      <c r="D2" s="959">
        <f>+Draft!T2</f>
        <v>0</v>
      </c>
      <c r="E2" s="959"/>
      <c r="F2" s="959"/>
      <c r="H2" s="552" t="s">
        <v>261</v>
      </c>
      <c r="I2" s="552"/>
      <c r="J2" s="552"/>
      <c r="K2" s="960">
        <f>Draft!T3</f>
        <v>0</v>
      </c>
      <c r="L2" s="679"/>
      <c r="M2" s="679"/>
      <c r="N2" s="552" t="s">
        <v>263</v>
      </c>
      <c r="O2" s="552"/>
      <c r="P2" s="960">
        <f>Draft!T4</f>
        <v>0</v>
      </c>
      <c r="Q2" s="679"/>
      <c r="R2" s="679"/>
      <c r="T2" s="552" t="s">
        <v>251</v>
      </c>
      <c r="U2" s="552"/>
      <c r="V2" s="552"/>
      <c r="W2" s="959">
        <f>+Draft!AS2</f>
        <v>0</v>
      </c>
      <c r="X2" s="959"/>
      <c r="Y2" s="959"/>
      <c r="AA2" s="552" t="s">
        <v>261</v>
      </c>
      <c r="AB2" s="552"/>
      <c r="AC2" s="552"/>
      <c r="AD2" s="960">
        <f>Draft!AS3</f>
        <v>0</v>
      </c>
      <c r="AE2" s="679"/>
      <c r="AF2" s="679"/>
      <c r="AG2" s="552" t="s">
        <v>263</v>
      </c>
      <c r="AH2" s="552"/>
      <c r="AI2" s="960">
        <f>Draft!AS4</f>
        <v>0</v>
      </c>
      <c r="AJ2" s="679"/>
      <c r="AK2" s="679"/>
    </row>
    <row r="3" spans="1:47" x14ac:dyDescent="0.25">
      <c r="A3" s="41"/>
      <c r="B3" s="41"/>
      <c r="C3" s="41"/>
      <c r="D3" s="174"/>
      <c r="E3" s="174"/>
      <c r="F3" s="174"/>
      <c r="H3" s="41"/>
      <c r="I3" s="41"/>
      <c r="J3" s="41"/>
      <c r="K3" s="40"/>
      <c r="L3" s="40"/>
      <c r="M3" s="40"/>
      <c r="N3" s="41"/>
      <c r="O3" s="41"/>
      <c r="P3" s="40"/>
      <c r="Q3" s="40"/>
      <c r="R3" s="40"/>
      <c r="T3" s="41"/>
      <c r="U3" s="41"/>
      <c r="V3" s="41"/>
      <c r="W3" s="174"/>
      <c r="X3" s="174"/>
      <c r="Y3" s="174"/>
      <c r="AA3" s="41"/>
      <c r="AB3" s="41"/>
      <c r="AC3" s="41"/>
      <c r="AD3" s="40"/>
      <c r="AE3" s="40"/>
      <c r="AF3" s="40"/>
      <c r="AG3" s="41"/>
      <c r="AH3" s="41"/>
      <c r="AI3" s="40"/>
      <c r="AJ3" s="40"/>
      <c r="AK3" s="40"/>
    </row>
    <row r="4" spans="1:47" x14ac:dyDescent="0.25">
      <c r="A4" s="88" t="s">
        <v>334</v>
      </c>
      <c r="B4" s="86"/>
      <c r="C4" s="86"/>
      <c r="D4" s="175"/>
      <c r="E4" s="175"/>
      <c r="F4" s="175"/>
      <c r="G4" s="176"/>
      <c r="H4" s="86"/>
      <c r="I4" s="86"/>
      <c r="J4" s="86"/>
      <c r="K4" s="86"/>
      <c r="L4" s="86"/>
      <c r="M4" s="86"/>
      <c r="N4" s="86"/>
      <c r="O4" s="86"/>
      <c r="P4" s="86"/>
      <c r="Q4" s="86"/>
      <c r="R4" s="86"/>
      <c r="S4" s="176"/>
      <c r="T4" s="86"/>
      <c r="U4" s="86"/>
      <c r="V4" s="86"/>
      <c r="W4" s="175"/>
      <c r="X4" s="175"/>
      <c r="Y4" s="175"/>
      <c r="Z4" s="176"/>
      <c r="AA4" s="86"/>
      <c r="AB4" s="86"/>
      <c r="AC4" s="177"/>
      <c r="AD4" s="178" t="s">
        <v>335</v>
      </c>
      <c r="AE4" s="40"/>
      <c r="AF4" s="40"/>
      <c r="AG4" s="41"/>
      <c r="AH4" s="41"/>
      <c r="AI4" s="40"/>
      <c r="AJ4" s="40"/>
      <c r="AK4" s="40"/>
    </row>
    <row r="5" spans="1:47" x14ac:dyDescent="0.25">
      <c r="A5" s="88" t="s">
        <v>336</v>
      </c>
      <c r="B5" s="86"/>
      <c r="C5" s="86"/>
      <c r="D5" s="175"/>
      <c r="E5" s="175"/>
      <c r="F5" s="175"/>
      <c r="G5" s="176"/>
      <c r="H5" s="86"/>
      <c r="I5" s="86"/>
      <c r="J5" s="86"/>
      <c r="K5" s="86"/>
      <c r="L5" s="86"/>
      <c r="M5" s="86"/>
      <c r="N5" s="86"/>
      <c r="O5" s="86"/>
      <c r="P5" s="86"/>
      <c r="Q5" s="86"/>
      <c r="R5" s="86"/>
      <c r="S5" s="176"/>
      <c r="T5" s="86"/>
      <c r="U5" s="86"/>
      <c r="V5" s="86"/>
      <c r="W5" s="175"/>
      <c r="X5" s="175"/>
      <c r="Y5" s="175"/>
      <c r="Z5" s="176"/>
      <c r="AA5" s="86"/>
      <c r="AB5" s="86"/>
      <c r="AC5" s="41"/>
      <c r="AD5" s="40"/>
      <c r="AE5" s="40"/>
      <c r="AF5" s="40"/>
      <c r="AG5" s="41"/>
      <c r="AH5" s="41"/>
      <c r="AI5" s="40"/>
      <c r="AJ5" s="40"/>
      <c r="AK5" s="40"/>
    </row>
    <row r="6" spans="1:47" x14ac:dyDescent="0.25">
      <c r="A6" s="179" t="s">
        <v>337</v>
      </c>
      <c r="B6" s="86"/>
      <c r="C6" s="86"/>
      <c r="D6" s="175"/>
      <c r="E6" s="175"/>
      <c r="F6" s="175"/>
      <c r="G6" s="176"/>
      <c r="H6" s="86"/>
      <c r="I6" s="86"/>
      <c r="J6" s="86"/>
      <c r="K6" s="86"/>
      <c r="L6" s="86"/>
      <c r="M6" s="86"/>
      <c r="N6" s="86"/>
      <c r="O6" s="86"/>
      <c r="P6" s="86"/>
      <c r="Q6" s="86"/>
      <c r="R6" s="86"/>
      <c r="S6" s="176"/>
      <c r="T6" s="86"/>
      <c r="U6" s="86"/>
      <c r="V6" s="86"/>
      <c r="W6" s="175"/>
      <c r="X6" s="175"/>
      <c r="Y6" s="175"/>
      <c r="Z6" s="176"/>
      <c r="AA6" s="86"/>
      <c r="AB6" s="86"/>
      <c r="AC6" s="41"/>
      <c r="AD6" s="40"/>
      <c r="AE6" s="40"/>
      <c r="AF6" s="40"/>
      <c r="AG6" s="41"/>
      <c r="AH6" s="41"/>
      <c r="AI6" s="40"/>
      <c r="AJ6" s="40"/>
      <c r="AK6" s="40"/>
    </row>
    <row r="7" spans="1:47" ht="13.8" thickBot="1" x14ac:dyDescent="0.3"/>
    <row r="8" spans="1:47" ht="12.75" customHeight="1" x14ac:dyDescent="0.25">
      <c r="A8" s="873" t="s">
        <v>338</v>
      </c>
      <c r="B8" s="874"/>
      <c r="C8" s="875"/>
      <c r="D8" s="879" t="s">
        <v>339</v>
      </c>
      <c r="E8" s="880"/>
      <c r="F8" s="881"/>
      <c r="G8" s="885" t="s">
        <v>158</v>
      </c>
      <c r="H8" s="886"/>
      <c r="I8" s="887"/>
      <c r="J8" s="879" t="s">
        <v>163</v>
      </c>
      <c r="K8" s="880"/>
      <c r="L8" s="881"/>
      <c r="M8" s="879" t="s">
        <v>198</v>
      </c>
      <c r="N8" s="880"/>
      <c r="O8" s="881"/>
      <c r="P8" s="879" t="s">
        <v>165</v>
      </c>
      <c r="Q8" s="880"/>
      <c r="R8" s="888"/>
      <c r="T8" s="873" t="s">
        <v>338</v>
      </c>
      <c r="U8" s="874"/>
      <c r="V8" s="875"/>
      <c r="W8" s="879" t="s">
        <v>339</v>
      </c>
      <c r="X8" s="880"/>
      <c r="Y8" s="881"/>
      <c r="Z8" s="885" t="s">
        <v>158</v>
      </c>
      <c r="AA8" s="886"/>
      <c r="AB8" s="887"/>
      <c r="AC8" s="879" t="s">
        <v>163</v>
      </c>
      <c r="AD8" s="880"/>
      <c r="AE8" s="881"/>
      <c r="AF8" s="879" t="s">
        <v>198</v>
      </c>
      <c r="AG8" s="880"/>
      <c r="AH8" s="881"/>
      <c r="AI8" s="879" t="s">
        <v>165</v>
      </c>
      <c r="AJ8" s="880"/>
      <c r="AK8" s="888"/>
    </row>
    <row r="9" spans="1:47" ht="12.75" customHeight="1" x14ac:dyDescent="0.25">
      <c r="A9" s="876"/>
      <c r="B9" s="877"/>
      <c r="C9" s="878"/>
      <c r="D9" s="882"/>
      <c r="E9" s="883"/>
      <c r="F9" s="884"/>
      <c r="G9" s="692"/>
      <c r="H9" s="693"/>
      <c r="I9" s="694"/>
      <c r="J9" s="882"/>
      <c r="K9" s="883"/>
      <c r="L9" s="884"/>
      <c r="M9" s="882"/>
      <c r="N9" s="883"/>
      <c r="O9" s="884"/>
      <c r="P9" s="882"/>
      <c r="Q9" s="883"/>
      <c r="R9" s="889"/>
      <c r="T9" s="876"/>
      <c r="U9" s="877"/>
      <c r="V9" s="878"/>
      <c r="W9" s="882"/>
      <c r="X9" s="883"/>
      <c r="Y9" s="884"/>
      <c r="Z9" s="692"/>
      <c r="AA9" s="693"/>
      <c r="AB9" s="694"/>
      <c r="AC9" s="882"/>
      <c r="AD9" s="883"/>
      <c r="AE9" s="884"/>
      <c r="AF9" s="882"/>
      <c r="AG9" s="883"/>
      <c r="AH9" s="884"/>
      <c r="AI9" s="882"/>
      <c r="AJ9" s="883"/>
      <c r="AK9" s="889"/>
    </row>
    <row r="10" spans="1:47" x14ac:dyDescent="0.25">
      <c r="A10" s="961" t="s">
        <v>340</v>
      </c>
      <c r="B10" s="962"/>
      <c r="C10" s="962"/>
      <c r="D10" s="962"/>
      <c r="E10" s="962"/>
      <c r="F10" s="962"/>
      <c r="G10" s="962"/>
      <c r="H10" s="962"/>
      <c r="I10" s="962"/>
      <c r="J10" s="962"/>
      <c r="K10" s="962"/>
      <c r="L10" s="962"/>
      <c r="M10" s="962"/>
      <c r="N10" s="962"/>
      <c r="O10" s="962"/>
      <c r="P10" s="962"/>
      <c r="Q10" s="962"/>
      <c r="R10" s="963"/>
      <c r="T10" s="961" t="s">
        <v>341</v>
      </c>
      <c r="U10" s="962"/>
      <c r="V10" s="962"/>
      <c r="W10" s="962"/>
      <c r="X10" s="962"/>
      <c r="Y10" s="962"/>
      <c r="Z10" s="962"/>
      <c r="AA10" s="962"/>
      <c r="AB10" s="962"/>
      <c r="AC10" s="962"/>
      <c r="AD10" s="962"/>
      <c r="AE10" s="962"/>
      <c r="AF10" s="962"/>
      <c r="AG10" s="962"/>
      <c r="AH10" s="962"/>
      <c r="AI10" s="962"/>
      <c r="AJ10" s="962"/>
      <c r="AK10" s="963"/>
      <c r="AN10" s="210"/>
      <c r="AO10" s="210"/>
      <c r="AP10" s="210"/>
      <c r="AQ10" s="210"/>
      <c r="AR10" s="210"/>
      <c r="AS10" s="210"/>
    </row>
    <row r="11" spans="1:47" ht="13.8" thickBot="1" x14ac:dyDescent="0.3">
      <c r="A11" s="867" t="s">
        <v>395</v>
      </c>
      <c r="B11" s="868"/>
      <c r="C11" s="869"/>
      <c r="D11" s="855">
        <v>0</v>
      </c>
      <c r="E11" s="856"/>
      <c r="F11" s="857"/>
      <c r="G11" s="948"/>
      <c r="H11" s="949"/>
      <c r="I11" s="950"/>
      <c r="J11" s="858"/>
      <c r="K11" s="859"/>
      <c r="L11" s="860"/>
      <c r="M11" s="941"/>
      <c r="N11" s="942"/>
      <c r="O11" s="943"/>
      <c r="P11" s="951">
        <f t="shared" ref="P11:P41" si="0">+M11*J11</f>
        <v>0</v>
      </c>
      <c r="Q11" s="952"/>
      <c r="R11" s="953"/>
      <c r="S11" s="25"/>
      <c r="T11" s="945" t="str">
        <f>+A11</f>
        <v>FPT</v>
      </c>
      <c r="U11" s="540"/>
      <c r="V11" s="541"/>
      <c r="W11" s="855"/>
      <c r="X11" s="856"/>
      <c r="Y11" s="857"/>
      <c r="Z11" s="948"/>
      <c r="AA11" s="949"/>
      <c r="AB11" s="950"/>
      <c r="AC11" s="858"/>
      <c r="AD11" s="859"/>
      <c r="AE11" s="860"/>
      <c r="AF11" s="941"/>
      <c r="AG11" s="942"/>
      <c r="AH11" s="943"/>
      <c r="AI11" s="954">
        <f t="shared" ref="AI11:AI41" si="1">+AF11*AC11</f>
        <v>0</v>
      </c>
      <c r="AJ11" s="955"/>
      <c r="AK11" s="956"/>
      <c r="AR11" s="944">
        <f>AP15/AR13</f>
        <v>0.50841199999999998</v>
      </c>
      <c r="AS11" s="944"/>
    </row>
    <row r="12" spans="1:47" ht="13.8" thickBot="1" x14ac:dyDescent="0.3">
      <c r="A12" s="824" t="s">
        <v>396</v>
      </c>
      <c r="B12" s="825"/>
      <c r="C12" s="826"/>
      <c r="D12" s="827">
        <v>0</v>
      </c>
      <c r="E12" s="828"/>
      <c r="F12" s="829"/>
      <c r="G12" s="935"/>
      <c r="H12" s="936"/>
      <c r="I12" s="937"/>
      <c r="J12" s="849"/>
      <c r="K12" s="850"/>
      <c r="L12" s="850"/>
      <c r="M12" s="941"/>
      <c r="N12" s="942"/>
      <c r="O12" s="943"/>
      <c r="P12" s="920">
        <f t="shared" si="0"/>
        <v>0</v>
      </c>
      <c r="Q12" s="921"/>
      <c r="R12" s="922"/>
      <c r="S12" s="25"/>
      <c r="T12" s="923" t="str">
        <f t="shared" ref="T12:T41" si="2">+A12</f>
        <v>WBT 1P</v>
      </c>
      <c r="U12" s="924"/>
      <c r="V12" s="925"/>
      <c r="W12" s="827"/>
      <c r="X12" s="828"/>
      <c r="Y12" s="829"/>
      <c r="Z12" s="935"/>
      <c r="AA12" s="936"/>
      <c r="AB12" s="937"/>
      <c r="AC12" s="849"/>
      <c r="AD12" s="850"/>
      <c r="AE12" s="850"/>
      <c r="AF12" s="941"/>
      <c r="AG12" s="942"/>
      <c r="AH12" s="943"/>
      <c r="AI12" s="914">
        <f t="shared" si="1"/>
        <v>0</v>
      </c>
      <c r="AJ12" s="915"/>
      <c r="AK12" s="916"/>
      <c r="AN12" s="212" t="s">
        <v>382</v>
      </c>
      <c r="AO12" s="213"/>
      <c r="AP12" s="214" t="s">
        <v>383</v>
      </c>
      <c r="AQ12" s="215"/>
      <c r="AR12" s="946" t="s">
        <v>384</v>
      </c>
      <c r="AS12" s="947"/>
    </row>
    <row r="13" spans="1:47" ht="15.6" thickBot="1" x14ac:dyDescent="0.3">
      <c r="A13" s="833" t="s">
        <v>397</v>
      </c>
      <c r="B13" s="834"/>
      <c r="C13" s="835"/>
      <c r="D13" s="836">
        <v>0</v>
      </c>
      <c r="E13" s="837"/>
      <c r="F13" s="838"/>
      <c r="G13" s="935"/>
      <c r="H13" s="936"/>
      <c r="I13" s="937"/>
      <c r="J13" s="849"/>
      <c r="K13" s="850"/>
      <c r="L13" s="851"/>
      <c r="M13" s="941"/>
      <c r="N13" s="942"/>
      <c r="O13" s="943"/>
      <c r="P13" s="932">
        <f t="shared" si="0"/>
        <v>0</v>
      </c>
      <c r="Q13" s="933"/>
      <c r="R13" s="934"/>
      <c r="S13" s="25"/>
      <c r="T13" s="272" t="str">
        <f t="shared" si="2"/>
        <v>WBT 1S</v>
      </c>
      <c r="U13" s="273"/>
      <c r="V13" s="590"/>
      <c r="W13" s="836"/>
      <c r="X13" s="837"/>
      <c r="Y13" s="838"/>
      <c r="Z13" s="935"/>
      <c r="AA13" s="936"/>
      <c r="AB13" s="937"/>
      <c r="AC13" s="849"/>
      <c r="AD13" s="850"/>
      <c r="AE13" s="851"/>
      <c r="AF13" s="941"/>
      <c r="AG13" s="942"/>
      <c r="AH13" s="943"/>
      <c r="AI13" s="929">
        <f t="shared" si="1"/>
        <v>0</v>
      </c>
      <c r="AJ13" s="930"/>
      <c r="AK13" s="931"/>
      <c r="AN13" s="216"/>
      <c r="AO13" s="217">
        <v>2</v>
      </c>
      <c r="AP13" s="217">
        <v>2.42</v>
      </c>
      <c r="AQ13" s="218">
        <v>2.5</v>
      </c>
      <c r="AR13" s="219">
        <v>1000</v>
      </c>
      <c r="AS13" s="219"/>
    </row>
    <row r="14" spans="1:47" ht="15.6" thickBot="1" x14ac:dyDescent="0.3">
      <c r="A14" s="824" t="s">
        <v>398</v>
      </c>
      <c r="B14" s="825"/>
      <c r="C14" s="826"/>
      <c r="D14" s="827">
        <v>0</v>
      </c>
      <c r="E14" s="828"/>
      <c r="F14" s="829"/>
      <c r="G14" s="935"/>
      <c r="H14" s="936"/>
      <c r="I14" s="937"/>
      <c r="J14" s="849"/>
      <c r="K14" s="850"/>
      <c r="L14" s="851"/>
      <c r="M14" s="941"/>
      <c r="N14" s="942"/>
      <c r="O14" s="943"/>
      <c r="P14" s="920">
        <f t="shared" si="0"/>
        <v>0</v>
      </c>
      <c r="Q14" s="921"/>
      <c r="R14" s="922"/>
      <c r="S14" s="25"/>
      <c r="T14" s="923" t="str">
        <f t="shared" si="2"/>
        <v>WBT 2P</v>
      </c>
      <c r="U14" s="924"/>
      <c r="V14" s="925"/>
      <c r="W14" s="827"/>
      <c r="X14" s="828"/>
      <c r="Y14" s="829"/>
      <c r="Z14" s="935"/>
      <c r="AA14" s="936"/>
      <c r="AB14" s="937"/>
      <c r="AC14" s="849"/>
      <c r="AD14" s="850"/>
      <c r="AE14" s="851"/>
      <c r="AF14" s="941"/>
      <c r="AG14" s="942"/>
      <c r="AH14" s="943"/>
      <c r="AI14" s="914">
        <f t="shared" si="1"/>
        <v>0</v>
      </c>
      <c r="AJ14" s="915"/>
      <c r="AK14" s="916"/>
      <c r="AN14" s="220">
        <v>1</v>
      </c>
      <c r="AO14" s="221">
        <v>487.6</v>
      </c>
      <c r="AP14" s="222"/>
      <c r="AQ14" s="223">
        <v>489.9</v>
      </c>
      <c r="AR14" s="224">
        <f>AN15+AR11</f>
        <v>1.5884119999999999</v>
      </c>
      <c r="AS14" s="225" t="s">
        <v>385</v>
      </c>
    </row>
    <row r="15" spans="1:47" ht="15.6" thickBot="1" x14ac:dyDescent="0.3">
      <c r="A15" s="833" t="s">
        <v>399</v>
      </c>
      <c r="B15" s="834"/>
      <c r="C15" s="835"/>
      <c r="D15" s="836">
        <v>0</v>
      </c>
      <c r="E15" s="837"/>
      <c r="F15" s="838"/>
      <c r="G15" s="935"/>
      <c r="H15" s="936"/>
      <c r="I15" s="937"/>
      <c r="J15" s="849"/>
      <c r="K15" s="850"/>
      <c r="L15" s="851"/>
      <c r="M15" s="941"/>
      <c r="N15" s="942"/>
      <c r="O15" s="943"/>
      <c r="P15" s="932">
        <f t="shared" si="0"/>
        <v>0</v>
      </c>
      <c r="Q15" s="933"/>
      <c r="R15" s="934"/>
      <c r="S15" s="25"/>
      <c r="T15" s="272" t="str">
        <f t="shared" si="2"/>
        <v>WBT 2S</v>
      </c>
      <c r="U15" s="273"/>
      <c r="V15" s="590"/>
      <c r="W15" s="836"/>
      <c r="X15" s="837"/>
      <c r="Y15" s="838"/>
      <c r="Z15" s="935"/>
      <c r="AA15" s="936"/>
      <c r="AB15" s="937"/>
      <c r="AC15" s="849"/>
      <c r="AD15" s="850"/>
      <c r="AE15" s="851"/>
      <c r="AF15" s="941"/>
      <c r="AG15" s="942"/>
      <c r="AH15" s="943"/>
      <c r="AI15" s="929">
        <f t="shared" si="1"/>
        <v>0</v>
      </c>
      <c r="AJ15" s="930"/>
      <c r="AK15" s="931"/>
      <c r="AN15" s="220">
        <v>1.08</v>
      </c>
      <c r="AO15" s="226">
        <f>((AO14-AO16)/(AN14-AN16))*(AN15-AN16)+AO16</f>
        <v>506.48</v>
      </c>
      <c r="AP15" s="222">
        <f>AO15-(AO15-AQ15)/(AQ13-AO13)*(AP13-AO13)</f>
        <v>508.41199999999998</v>
      </c>
      <c r="AQ15" s="227">
        <f>((AQ14-AQ16)/(AN14-AN16))*(AN15-AN16)+AQ16</f>
        <v>508.78</v>
      </c>
      <c r="AR15" s="224">
        <f>AN15-AR11</f>
        <v>0.5715880000000001</v>
      </c>
      <c r="AS15" s="228" t="s">
        <v>386</v>
      </c>
    </row>
    <row r="16" spans="1:47" ht="13.8" thickBot="1" x14ac:dyDescent="0.3">
      <c r="A16" s="824" t="s">
        <v>400</v>
      </c>
      <c r="B16" s="825"/>
      <c r="C16" s="826"/>
      <c r="D16" s="827">
        <v>0</v>
      </c>
      <c r="E16" s="828"/>
      <c r="F16" s="829"/>
      <c r="G16" s="935"/>
      <c r="H16" s="936"/>
      <c r="I16" s="937"/>
      <c r="J16" s="849"/>
      <c r="K16" s="850"/>
      <c r="L16" s="851"/>
      <c r="M16" s="941"/>
      <c r="N16" s="942"/>
      <c r="O16" s="943"/>
      <c r="P16" s="920">
        <f t="shared" si="0"/>
        <v>0</v>
      </c>
      <c r="Q16" s="921"/>
      <c r="R16" s="922"/>
      <c r="S16" s="25"/>
      <c r="T16" s="923" t="str">
        <f t="shared" si="2"/>
        <v>WBT 3P</v>
      </c>
      <c r="U16" s="924"/>
      <c r="V16" s="925"/>
      <c r="W16" s="827"/>
      <c r="X16" s="828"/>
      <c r="Y16" s="829"/>
      <c r="Z16" s="935"/>
      <c r="AA16" s="936"/>
      <c r="AB16" s="937"/>
      <c r="AC16" s="849"/>
      <c r="AD16" s="850"/>
      <c r="AE16" s="851"/>
      <c r="AF16" s="941"/>
      <c r="AG16" s="942"/>
      <c r="AH16" s="943"/>
      <c r="AI16" s="914">
        <f t="shared" si="1"/>
        <v>0</v>
      </c>
      <c r="AJ16" s="915"/>
      <c r="AK16" s="916"/>
      <c r="AN16" s="229">
        <v>1.1000000000000001</v>
      </c>
      <c r="AO16" s="230">
        <v>511.2</v>
      </c>
      <c r="AP16" s="231"/>
      <c r="AQ16" s="232">
        <v>513.5</v>
      </c>
      <c r="AU16" s="252">
        <f>AN15-0.0339</f>
        <v>1.0461</v>
      </c>
    </row>
    <row r="17" spans="1:47" ht="13.8" thickBot="1" x14ac:dyDescent="0.3">
      <c r="A17" s="833" t="s">
        <v>401</v>
      </c>
      <c r="B17" s="834"/>
      <c r="C17" s="835"/>
      <c r="D17" s="836">
        <v>0</v>
      </c>
      <c r="E17" s="837"/>
      <c r="F17" s="838"/>
      <c r="G17" s="935"/>
      <c r="H17" s="936"/>
      <c r="I17" s="937"/>
      <c r="J17" s="849"/>
      <c r="K17" s="850"/>
      <c r="L17" s="851"/>
      <c r="M17" s="941"/>
      <c r="N17" s="942"/>
      <c r="O17" s="943"/>
      <c r="P17" s="932">
        <f t="shared" si="0"/>
        <v>0</v>
      </c>
      <c r="Q17" s="933"/>
      <c r="R17" s="934"/>
      <c r="S17" s="25"/>
      <c r="T17" s="272" t="str">
        <f t="shared" si="2"/>
        <v>WBT 3S</v>
      </c>
      <c r="U17" s="273"/>
      <c r="V17" s="590"/>
      <c r="W17" s="836"/>
      <c r="X17" s="837"/>
      <c r="Y17" s="838"/>
      <c r="Z17" s="935"/>
      <c r="AA17" s="936"/>
      <c r="AB17" s="937"/>
      <c r="AC17" s="849"/>
      <c r="AD17" s="850"/>
      <c r="AE17" s="851"/>
      <c r="AF17" s="941"/>
      <c r="AG17" s="942"/>
      <c r="AH17" s="943"/>
      <c r="AI17" s="929">
        <f t="shared" si="1"/>
        <v>0</v>
      </c>
      <c r="AJ17" s="930"/>
      <c r="AK17" s="931"/>
    </row>
    <row r="18" spans="1:47" ht="13.8" thickBot="1" x14ac:dyDescent="0.3">
      <c r="A18" s="824" t="s">
        <v>402</v>
      </c>
      <c r="B18" s="825"/>
      <c r="C18" s="826"/>
      <c r="D18" s="827">
        <v>0</v>
      </c>
      <c r="E18" s="828"/>
      <c r="F18" s="829"/>
      <c r="G18" s="935"/>
      <c r="H18" s="936"/>
      <c r="I18" s="937"/>
      <c r="J18" s="849"/>
      <c r="K18" s="850"/>
      <c r="L18" s="851"/>
      <c r="M18" s="941"/>
      <c r="N18" s="942"/>
      <c r="O18" s="943"/>
      <c r="P18" s="920">
        <f t="shared" si="0"/>
        <v>0</v>
      </c>
      <c r="Q18" s="921"/>
      <c r="R18" s="922"/>
      <c r="S18" s="25"/>
      <c r="T18" s="923" t="str">
        <f t="shared" si="2"/>
        <v>WBT 4P</v>
      </c>
      <c r="U18" s="924"/>
      <c r="V18" s="925"/>
      <c r="W18" s="827"/>
      <c r="X18" s="828"/>
      <c r="Y18" s="829"/>
      <c r="Z18" s="935"/>
      <c r="AA18" s="936"/>
      <c r="AB18" s="937"/>
      <c r="AC18" s="849"/>
      <c r="AD18" s="850"/>
      <c r="AE18" s="851"/>
      <c r="AF18" s="941"/>
      <c r="AG18" s="942"/>
      <c r="AH18" s="943"/>
      <c r="AI18" s="914">
        <f t="shared" si="1"/>
        <v>0</v>
      </c>
      <c r="AJ18" s="915"/>
      <c r="AK18" s="916"/>
      <c r="AN18" s="212" t="s">
        <v>382</v>
      </c>
      <c r="AO18" s="213"/>
      <c r="AP18" s="214" t="s">
        <v>387</v>
      </c>
      <c r="AQ18" s="215"/>
      <c r="AR18" s="944">
        <f>AP21/AR20</f>
        <v>1.167999999999998E-3</v>
      </c>
      <c r="AS18" s="944"/>
      <c r="AU18">
        <v>6.4000000000000001E-2</v>
      </c>
    </row>
    <row r="19" spans="1:47" ht="13.8" thickBot="1" x14ac:dyDescent="0.3">
      <c r="A19" s="833" t="s">
        <v>403</v>
      </c>
      <c r="B19" s="834"/>
      <c r="C19" s="835"/>
      <c r="D19" s="836">
        <v>0</v>
      </c>
      <c r="E19" s="837"/>
      <c r="F19" s="838"/>
      <c r="G19" s="935"/>
      <c r="H19" s="936"/>
      <c r="I19" s="937"/>
      <c r="J19" s="849"/>
      <c r="K19" s="850"/>
      <c r="L19" s="851"/>
      <c r="M19" s="941"/>
      <c r="N19" s="942"/>
      <c r="O19" s="943"/>
      <c r="P19" s="932">
        <f t="shared" si="0"/>
        <v>0</v>
      </c>
      <c r="Q19" s="933"/>
      <c r="R19" s="934"/>
      <c r="S19" s="25"/>
      <c r="T19" s="272" t="str">
        <f t="shared" si="2"/>
        <v>WBT 4S</v>
      </c>
      <c r="U19" s="273"/>
      <c r="V19" s="590"/>
      <c r="W19" s="836"/>
      <c r="X19" s="837"/>
      <c r="Y19" s="838"/>
      <c r="Z19" s="935"/>
      <c r="AA19" s="936"/>
      <c r="AB19" s="937"/>
      <c r="AC19" s="849"/>
      <c r="AD19" s="850"/>
      <c r="AE19" s="851"/>
      <c r="AF19" s="941"/>
      <c r="AG19" s="942"/>
      <c r="AH19" s="943"/>
      <c r="AI19" s="929">
        <f t="shared" si="1"/>
        <v>0</v>
      </c>
      <c r="AJ19" s="930"/>
      <c r="AK19" s="931"/>
      <c r="AN19" s="216"/>
      <c r="AO19" s="217">
        <v>1</v>
      </c>
      <c r="AP19" s="217">
        <f>AP13</f>
        <v>2.42</v>
      </c>
      <c r="AQ19" s="218">
        <v>2</v>
      </c>
      <c r="AR19" s="946" t="s">
        <v>384</v>
      </c>
      <c r="AS19" s="947"/>
      <c r="AU19" s="252">
        <f>AN15-AU18</f>
        <v>1.016</v>
      </c>
    </row>
    <row r="20" spans="1:47" ht="15.6" thickBot="1" x14ac:dyDescent="0.3">
      <c r="A20" s="824" t="s">
        <v>404</v>
      </c>
      <c r="B20" s="825"/>
      <c r="C20" s="826"/>
      <c r="D20" s="827">
        <v>0</v>
      </c>
      <c r="E20" s="828"/>
      <c r="F20" s="829"/>
      <c r="G20" s="935"/>
      <c r="H20" s="936"/>
      <c r="I20" s="937"/>
      <c r="J20" s="849"/>
      <c r="K20" s="850"/>
      <c r="L20" s="851"/>
      <c r="M20" s="941"/>
      <c r="N20" s="942"/>
      <c r="O20" s="943"/>
      <c r="P20" s="920">
        <f t="shared" si="0"/>
        <v>0</v>
      </c>
      <c r="Q20" s="921"/>
      <c r="R20" s="922"/>
      <c r="S20" s="25"/>
      <c r="T20" s="923" t="str">
        <f t="shared" si="2"/>
        <v>WBT 5P</v>
      </c>
      <c r="U20" s="924"/>
      <c r="V20" s="925"/>
      <c r="W20" s="827"/>
      <c r="X20" s="828"/>
      <c r="Y20" s="829"/>
      <c r="Z20" s="935"/>
      <c r="AA20" s="936"/>
      <c r="AB20" s="937"/>
      <c r="AC20" s="849"/>
      <c r="AD20" s="850"/>
      <c r="AE20" s="851"/>
      <c r="AF20" s="941"/>
      <c r="AG20" s="942"/>
      <c r="AH20" s="943"/>
      <c r="AI20" s="914">
        <f t="shared" si="1"/>
        <v>0</v>
      </c>
      <c r="AJ20" s="915"/>
      <c r="AK20" s="916"/>
      <c r="AN20" s="220">
        <v>0.8</v>
      </c>
      <c r="AO20" s="221">
        <v>0</v>
      </c>
      <c r="AP20" s="222"/>
      <c r="AQ20" s="223">
        <v>0</v>
      </c>
      <c r="AR20" s="957">
        <v>1000</v>
      </c>
      <c r="AS20" s="957"/>
    </row>
    <row r="21" spans="1:47" ht="15.6" thickBot="1" x14ac:dyDescent="0.3">
      <c r="A21" s="833" t="s">
        <v>405</v>
      </c>
      <c r="B21" s="834"/>
      <c r="C21" s="835"/>
      <c r="D21" s="836">
        <v>0</v>
      </c>
      <c r="E21" s="837"/>
      <c r="F21" s="838"/>
      <c r="G21" s="935"/>
      <c r="H21" s="936"/>
      <c r="I21" s="937"/>
      <c r="J21" s="849"/>
      <c r="K21" s="850"/>
      <c r="L21" s="851"/>
      <c r="M21" s="941"/>
      <c r="N21" s="942"/>
      <c r="O21" s="943"/>
      <c r="P21" s="932">
        <f t="shared" si="0"/>
        <v>0</v>
      </c>
      <c r="Q21" s="933"/>
      <c r="R21" s="934"/>
      <c r="S21" s="25"/>
      <c r="T21" s="272" t="str">
        <f t="shared" si="2"/>
        <v>WBT 5S</v>
      </c>
      <c r="U21" s="273"/>
      <c r="V21" s="590"/>
      <c r="W21" s="836"/>
      <c r="X21" s="837"/>
      <c r="Y21" s="838"/>
      <c r="Z21" s="935"/>
      <c r="AA21" s="936"/>
      <c r="AB21" s="937"/>
      <c r="AC21" s="849"/>
      <c r="AD21" s="850"/>
      <c r="AE21" s="851"/>
      <c r="AF21" s="941"/>
      <c r="AG21" s="942"/>
      <c r="AH21" s="943"/>
      <c r="AI21" s="929">
        <f t="shared" si="1"/>
        <v>0</v>
      </c>
      <c r="AJ21" s="930"/>
      <c r="AK21" s="931"/>
      <c r="AN21" s="220">
        <v>0.84</v>
      </c>
      <c r="AO21" s="226">
        <f>((AO20-AO22)/(AN20-AN22))*(AN21-AN22)+AO22</f>
        <v>0.59999999999999876</v>
      </c>
      <c r="AP21" s="222">
        <f>AO21-(AO21-AQ21)/(AQ19-AO19)*(AP19-AO19)</f>
        <v>1.1679999999999979</v>
      </c>
      <c r="AQ21" s="227">
        <f>((AQ20-AQ22)/(AN20-AN22))*(AN21-AN22)+AQ22</f>
        <v>0.99999999999999822</v>
      </c>
      <c r="AR21" s="224">
        <f>AN21+AR18</f>
        <v>0.84116799999999992</v>
      </c>
      <c r="AS21" s="225" t="s">
        <v>385</v>
      </c>
    </row>
    <row r="22" spans="1:47" ht="15.6" thickBot="1" x14ac:dyDescent="0.3">
      <c r="A22" s="824" t="s">
        <v>414</v>
      </c>
      <c r="B22" s="825"/>
      <c r="C22" s="826"/>
      <c r="D22" s="827"/>
      <c r="E22" s="828"/>
      <c r="F22" s="829"/>
      <c r="G22" s="935"/>
      <c r="H22" s="936"/>
      <c r="I22" s="937"/>
      <c r="J22" s="849"/>
      <c r="K22" s="850"/>
      <c r="L22" s="851"/>
      <c r="M22" s="941"/>
      <c r="N22" s="942"/>
      <c r="O22" s="943"/>
      <c r="P22" s="920">
        <f t="shared" ref="P22" si="3">+M22*J22</f>
        <v>0</v>
      </c>
      <c r="Q22" s="921"/>
      <c r="R22" s="922"/>
      <c r="S22" s="25"/>
      <c r="T22" s="923" t="str">
        <f t="shared" si="2"/>
        <v>APT</v>
      </c>
      <c r="U22" s="924"/>
      <c r="V22" s="925"/>
      <c r="W22" s="827"/>
      <c r="X22" s="828"/>
      <c r="Y22" s="829"/>
      <c r="Z22" s="935"/>
      <c r="AA22" s="936"/>
      <c r="AB22" s="937"/>
      <c r="AC22" s="849"/>
      <c r="AD22" s="850"/>
      <c r="AE22" s="851"/>
      <c r="AF22" s="941"/>
      <c r="AG22" s="942"/>
      <c r="AH22" s="943"/>
      <c r="AI22" s="914">
        <f t="shared" si="1"/>
        <v>0</v>
      </c>
      <c r="AJ22" s="915"/>
      <c r="AK22" s="916"/>
      <c r="AN22" s="229">
        <v>1</v>
      </c>
      <c r="AO22" s="230">
        <v>3</v>
      </c>
      <c r="AP22" s="231"/>
      <c r="AQ22" s="232">
        <v>5</v>
      </c>
      <c r="AR22" s="233">
        <f>AN21-AR18</f>
        <v>0.83883200000000002</v>
      </c>
      <c r="AS22" s="228" t="s">
        <v>386</v>
      </c>
    </row>
    <row r="23" spans="1:47" ht="13.8" thickBot="1" x14ac:dyDescent="0.3">
      <c r="A23" s="833" t="s">
        <v>417</v>
      </c>
      <c r="B23" s="834"/>
      <c r="C23" s="835"/>
      <c r="D23" s="836"/>
      <c r="E23" s="837"/>
      <c r="F23" s="838"/>
      <c r="G23" s="935"/>
      <c r="H23" s="936"/>
      <c r="I23" s="937"/>
      <c r="J23" s="849"/>
      <c r="K23" s="850"/>
      <c r="L23" s="851"/>
      <c r="M23" s="941"/>
      <c r="N23" s="942"/>
      <c r="O23" s="943"/>
      <c r="P23" s="932">
        <f t="shared" ref="P23" si="4">+M23*J23</f>
        <v>0</v>
      </c>
      <c r="Q23" s="933"/>
      <c r="R23" s="934"/>
      <c r="S23" s="25"/>
      <c r="T23" s="272" t="str">
        <f t="shared" si="2"/>
        <v>SLOP TANK</v>
      </c>
      <c r="U23" s="273"/>
      <c r="V23" s="590"/>
      <c r="W23" s="836"/>
      <c r="X23" s="837"/>
      <c r="Y23" s="838"/>
      <c r="Z23" s="935"/>
      <c r="AA23" s="936"/>
      <c r="AB23" s="937"/>
      <c r="AC23" s="849"/>
      <c r="AD23" s="850"/>
      <c r="AE23" s="851"/>
      <c r="AF23" s="941"/>
      <c r="AG23" s="942"/>
      <c r="AH23" s="943"/>
      <c r="AI23" s="929">
        <f t="shared" si="1"/>
        <v>0</v>
      </c>
      <c r="AJ23" s="930"/>
      <c r="AK23" s="931"/>
    </row>
    <row r="24" spans="1:47" x14ac:dyDescent="0.25">
      <c r="A24" s="824" t="s">
        <v>416</v>
      </c>
      <c r="B24" s="825"/>
      <c r="C24" s="826"/>
      <c r="D24" s="827"/>
      <c r="E24" s="828"/>
      <c r="F24" s="829"/>
      <c r="G24" s="935"/>
      <c r="H24" s="936"/>
      <c r="I24" s="937"/>
      <c r="J24" s="849"/>
      <c r="K24" s="850"/>
      <c r="L24" s="851"/>
      <c r="M24" s="941"/>
      <c r="N24" s="942"/>
      <c r="O24" s="943"/>
      <c r="P24" s="920">
        <f t="shared" ref="P24" si="5">+M24*J24</f>
        <v>0</v>
      </c>
      <c r="Q24" s="921"/>
      <c r="R24" s="922"/>
      <c r="S24" s="25"/>
      <c r="T24" s="923" t="str">
        <f t="shared" si="2"/>
        <v>FW WASH</v>
      </c>
      <c r="U24" s="924"/>
      <c r="V24" s="925"/>
      <c r="W24" s="827"/>
      <c r="X24" s="828"/>
      <c r="Y24" s="829"/>
      <c r="Z24" s="935"/>
      <c r="AA24" s="936"/>
      <c r="AB24" s="937"/>
      <c r="AC24" s="849"/>
      <c r="AD24" s="850"/>
      <c r="AE24" s="851"/>
      <c r="AF24" s="941"/>
      <c r="AG24" s="942"/>
      <c r="AH24" s="943"/>
      <c r="AI24" s="914">
        <f t="shared" si="1"/>
        <v>0</v>
      </c>
      <c r="AJ24" s="915"/>
      <c r="AK24" s="916"/>
      <c r="AN24" s="234" t="s">
        <v>382</v>
      </c>
      <c r="AO24" s="235"/>
      <c r="AP24" s="236" t="s">
        <v>383</v>
      </c>
      <c r="AQ24" s="237"/>
    </row>
    <row r="25" spans="1:47" x14ac:dyDescent="0.25">
      <c r="A25" s="833"/>
      <c r="B25" s="834"/>
      <c r="C25" s="835"/>
      <c r="D25" s="836"/>
      <c r="E25" s="837"/>
      <c r="F25" s="838"/>
      <c r="G25" s="935"/>
      <c r="H25" s="936"/>
      <c r="I25" s="937"/>
      <c r="J25" s="849"/>
      <c r="K25" s="850"/>
      <c r="L25" s="851"/>
      <c r="M25" s="938"/>
      <c r="N25" s="939"/>
      <c r="O25" s="940"/>
      <c r="P25" s="932"/>
      <c r="Q25" s="933"/>
      <c r="R25" s="934"/>
      <c r="S25" s="25"/>
      <c r="T25" s="272">
        <f t="shared" si="2"/>
        <v>0</v>
      </c>
      <c r="U25" s="273"/>
      <c r="V25" s="590"/>
      <c r="W25" s="846">
        <f t="shared" ref="W25:W41" si="6">+D25</f>
        <v>0</v>
      </c>
      <c r="X25" s="847"/>
      <c r="Y25" s="848"/>
      <c r="Z25" s="836">
        <v>0</v>
      </c>
      <c r="AA25" s="837"/>
      <c r="AB25" s="838"/>
      <c r="AC25" s="839">
        <v>0</v>
      </c>
      <c r="AD25" s="840"/>
      <c r="AE25" s="841"/>
      <c r="AF25" s="926">
        <v>0</v>
      </c>
      <c r="AG25" s="927"/>
      <c r="AH25" s="928"/>
      <c r="AI25" s="929">
        <f t="shared" si="1"/>
        <v>0</v>
      </c>
      <c r="AJ25" s="930"/>
      <c r="AK25" s="931"/>
      <c r="AN25" s="238"/>
      <c r="AO25" s="239">
        <v>0</v>
      </c>
      <c r="AP25" s="239">
        <v>1</v>
      </c>
      <c r="AQ25" s="240">
        <v>1</v>
      </c>
    </row>
    <row r="26" spans="1:47" x14ac:dyDescent="0.25">
      <c r="A26" s="824"/>
      <c r="B26" s="825"/>
      <c r="C26" s="826"/>
      <c r="D26" s="827"/>
      <c r="E26" s="828"/>
      <c r="F26" s="829"/>
      <c r="G26" s="827"/>
      <c r="H26" s="828"/>
      <c r="I26" s="829"/>
      <c r="J26" s="817"/>
      <c r="K26" s="818"/>
      <c r="L26" s="819"/>
      <c r="M26" s="911"/>
      <c r="N26" s="912"/>
      <c r="O26" s="913"/>
      <c r="P26" s="920"/>
      <c r="Q26" s="921"/>
      <c r="R26" s="922"/>
      <c r="S26" s="25"/>
      <c r="T26" s="923">
        <f t="shared" si="2"/>
        <v>0</v>
      </c>
      <c r="U26" s="924"/>
      <c r="V26" s="925"/>
      <c r="W26" s="830">
        <f t="shared" si="6"/>
        <v>0</v>
      </c>
      <c r="X26" s="831"/>
      <c r="Y26" s="832"/>
      <c r="Z26" s="827">
        <v>0</v>
      </c>
      <c r="AA26" s="828"/>
      <c r="AB26" s="829"/>
      <c r="AC26" s="817">
        <v>0</v>
      </c>
      <c r="AD26" s="818"/>
      <c r="AE26" s="819"/>
      <c r="AF26" s="911">
        <v>0</v>
      </c>
      <c r="AG26" s="912"/>
      <c r="AH26" s="913"/>
      <c r="AI26" s="914">
        <f t="shared" si="1"/>
        <v>0</v>
      </c>
      <c r="AJ26" s="915"/>
      <c r="AK26" s="916"/>
      <c r="AN26" s="241">
        <v>0.2</v>
      </c>
      <c r="AO26" s="242">
        <v>319.8</v>
      </c>
      <c r="AP26" s="243"/>
      <c r="AQ26" s="244">
        <f>AO26</f>
        <v>319.8</v>
      </c>
    </row>
    <row r="27" spans="1:47" x14ac:dyDescent="0.25">
      <c r="A27" s="833"/>
      <c r="B27" s="834"/>
      <c r="C27" s="835"/>
      <c r="D27" s="836"/>
      <c r="E27" s="837"/>
      <c r="F27" s="838"/>
      <c r="G27" s="836"/>
      <c r="H27" s="837"/>
      <c r="I27" s="838"/>
      <c r="J27" s="839"/>
      <c r="K27" s="840"/>
      <c r="L27" s="841"/>
      <c r="M27" s="926"/>
      <c r="N27" s="927"/>
      <c r="O27" s="928"/>
      <c r="P27" s="932"/>
      <c r="Q27" s="933"/>
      <c r="R27" s="934"/>
      <c r="S27" s="25"/>
      <c r="T27" s="272">
        <f t="shared" si="2"/>
        <v>0</v>
      </c>
      <c r="U27" s="273"/>
      <c r="V27" s="590"/>
      <c r="W27" s="846">
        <f t="shared" si="6"/>
        <v>0</v>
      </c>
      <c r="X27" s="847"/>
      <c r="Y27" s="848"/>
      <c r="Z27" s="836">
        <v>0</v>
      </c>
      <c r="AA27" s="837"/>
      <c r="AB27" s="838"/>
      <c r="AC27" s="839">
        <v>0</v>
      </c>
      <c r="AD27" s="840"/>
      <c r="AE27" s="841"/>
      <c r="AF27" s="926">
        <v>0</v>
      </c>
      <c r="AG27" s="927"/>
      <c r="AH27" s="928"/>
      <c r="AI27" s="929">
        <f t="shared" si="1"/>
        <v>0</v>
      </c>
      <c r="AJ27" s="930"/>
      <c r="AK27" s="931"/>
      <c r="AN27" s="241">
        <v>0.84</v>
      </c>
      <c r="AO27" s="245">
        <f>((AO26-AO28)/(AN26-AN28))*(AN27-AN28)+AO28</f>
        <v>324.27999999999992</v>
      </c>
      <c r="AP27" s="243">
        <f>AO27-(AO27-AQ27)/(AQ25-AO25)*(AP25-AO25)</f>
        <v>324.27999999999992</v>
      </c>
      <c r="AQ27" s="246">
        <f>((AQ26-AQ28)/(AN26-AN28))*(AN27-AN28)+AQ28</f>
        <v>324.27999999999992</v>
      </c>
    </row>
    <row r="28" spans="1:47" ht="13.8" thickBot="1" x14ac:dyDescent="0.3">
      <c r="A28" s="824"/>
      <c r="B28" s="825"/>
      <c r="C28" s="826"/>
      <c r="D28" s="827"/>
      <c r="E28" s="828"/>
      <c r="F28" s="829"/>
      <c r="G28" s="827"/>
      <c r="H28" s="828"/>
      <c r="I28" s="829"/>
      <c r="J28" s="817"/>
      <c r="K28" s="818"/>
      <c r="L28" s="819"/>
      <c r="M28" s="911"/>
      <c r="N28" s="912"/>
      <c r="O28" s="913"/>
      <c r="P28" s="920"/>
      <c r="Q28" s="921"/>
      <c r="R28" s="922"/>
      <c r="S28" s="25"/>
      <c r="T28" s="923">
        <f t="shared" si="2"/>
        <v>0</v>
      </c>
      <c r="U28" s="924"/>
      <c r="V28" s="925"/>
      <c r="W28" s="830">
        <f t="shared" si="6"/>
        <v>0</v>
      </c>
      <c r="X28" s="831"/>
      <c r="Y28" s="832"/>
      <c r="Z28" s="827">
        <v>0</v>
      </c>
      <c r="AA28" s="828"/>
      <c r="AB28" s="829"/>
      <c r="AC28" s="817">
        <v>0</v>
      </c>
      <c r="AD28" s="818"/>
      <c r="AE28" s="819"/>
      <c r="AF28" s="911">
        <v>0</v>
      </c>
      <c r="AG28" s="912"/>
      <c r="AH28" s="913"/>
      <c r="AI28" s="914">
        <f t="shared" si="1"/>
        <v>0</v>
      </c>
      <c r="AJ28" s="915"/>
      <c r="AK28" s="916"/>
      <c r="AN28" s="247">
        <v>0.4</v>
      </c>
      <c r="AO28" s="248">
        <v>321.2</v>
      </c>
      <c r="AP28" s="249"/>
      <c r="AQ28" s="250">
        <f>AO28</f>
        <v>321.2</v>
      </c>
    </row>
    <row r="29" spans="1:47" ht="13.8" thickBot="1" x14ac:dyDescent="0.3">
      <c r="A29" s="833"/>
      <c r="B29" s="834"/>
      <c r="C29" s="835"/>
      <c r="D29" s="836"/>
      <c r="E29" s="837"/>
      <c r="F29" s="838"/>
      <c r="G29" s="836"/>
      <c r="H29" s="837"/>
      <c r="I29" s="838"/>
      <c r="J29" s="839"/>
      <c r="K29" s="840"/>
      <c r="L29" s="841"/>
      <c r="M29" s="926"/>
      <c r="N29" s="927"/>
      <c r="O29" s="928"/>
      <c r="P29" s="932"/>
      <c r="Q29" s="933"/>
      <c r="R29" s="934"/>
      <c r="S29" s="25"/>
      <c r="T29" s="272">
        <f t="shared" si="2"/>
        <v>0</v>
      </c>
      <c r="U29" s="273"/>
      <c r="V29" s="590"/>
      <c r="W29" s="846">
        <f t="shared" si="6"/>
        <v>0</v>
      </c>
      <c r="X29" s="847"/>
      <c r="Y29" s="848"/>
      <c r="Z29" s="836">
        <v>0</v>
      </c>
      <c r="AA29" s="837"/>
      <c r="AB29" s="838"/>
      <c r="AC29" s="839">
        <v>0</v>
      </c>
      <c r="AD29" s="840"/>
      <c r="AE29" s="841"/>
      <c r="AF29" s="926">
        <v>0</v>
      </c>
      <c r="AG29" s="927"/>
      <c r="AH29" s="928"/>
      <c r="AI29" s="929">
        <f t="shared" si="1"/>
        <v>0</v>
      </c>
      <c r="AJ29" s="930"/>
      <c r="AK29" s="931"/>
    </row>
    <row r="30" spans="1:47" x14ac:dyDescent="0.25">
      <c r="A30" s="824"/>
      <c r="B30" s="825"/>
      <c r="C30" s="826"/>
      <c r="D30" s="827">
        <v>0</v>
      </c>
      <c r="E30" s="828"/>
      <c r="F30" s="829"/>
      <c r="G30" s="827">
        <v>0</v>
      </c>
      <c r="H30" s="828"/>
      <c r="I30" s="829"/>
      <c r="J30" s="817">
        <v>0</v>
      </c>
      <c r="K30" s="818"/>
      <c r="L30" s="819"/>
      <c r="M30" s="911">
        <v>0</v>
      </c>
      <c r="N30" s="912"/>
      <c r="O30" s="913"/>
      <c r="P30" s="920">
        <f t="shared" si="0"/>
        <v>0</v>
      </c>
      <c r="Q30" s="921"/>
      <c r="R30" s="922"/>
      <c r="S30" s="25"/>
      <c r="T30" s="923">
        <f t="shared" si="2"/>
        <v>0</v>
      </c>
      <c r="U30" s="924"/>
      <c r="V30" s="925"/>
      <c r="W30" s="830">
        <f t="shared" si="6"/>
        <v>0</v>
      </c>
      <c r="X30" s="831"/>
      <c r="Y30" s="832"/>
      <c r="Z30" s="827">
        <v>0</v>
      </c>
      <c r="AA30" s="828"/>
      <c r="AB30" s="829"/>
      <c r="AC30" s="817">
        <v>0</v>
      </c>
      <c r="AD30" s="818"/>
      <c r="AE30" s="819"/>
      <c r="AF30" s="911">
        <v>0</v>
      </c>
      <c r="AG30" s="912"/>
      <c r="AH30" s="913"/>
      <c r="AI30" s="914">
        <f t="shared" si="1"/>
        <v>0</v>
      </c>
      <c r="AJ30" s="915"/>
      <c r="AK30" s="916"/>
      <c r="AN30" s="212" t="s">
        <v>382</v>
      </c>
      <c r="AO30" s="213"/>
      <c r="AP30" s="214" t="s">
        <v>383</v>
      </c>
      <c r="AQ30" s="215"/>
    </row>
    <row r="31" spans="1:47" x14ac:dyDescent="0.25">
      <c r="A31" s="833"/>
      <c r="B31" s="834"/>
      <c r="C31" s="835"/>
      <c r="D31" s="836">
        <v>0</v>
      </c>
      <c r="E31" s="837"/>
      <c r="F31" s="838"/>
      <c r="G31" s="836">
        <v>0</v>
      </c>
      <c r="H31" s="837"/>
      <c r="I31" s="838"/>
      <c r="J31" s="839">
        <v>0</v>
      </c>
      <c r="K31" s="840"/>
      <c r="L31" s="841"/>
      <c r="M31" s="926">
        <v>0</v>
      </c>
      <c r="N31" s="927"/>
      <c r="O31" s="928"/>
      <c r="P31" s="932">
        <f t="shared" si="0"/>
        <v>0</v>
      </c>
      <c r="Q31" s="933"/>
      <c r="R31" s="934"/>
      <c r="S31" s="25"/>
      <c r="T31" s="272">
        <f t="shared" si="2"/>
        <v>0</v>
      </c>
      <c r="U31" s="273"/>
      <c r="V31" s="590"/>
      <c r="W31" s="846">
        <f t="shared" si="6"/>
        <v>0</v>
      </c>
      <c r="X31" s="847"/>
      <c r="Y31" s="848"/>
      <c r="Z31" s="836">
        <v>0</v>
      </c>
      <c r="AA31" s="837"/>
      <c r="AB31" s="838"/>
      <c r="AC31" s="839">
        <v>0</v>
      </c>
      <c r="AD31" s="840"/>
      <c r="AE31" s="841"/>
      <c r="AF31" s="926">
        <v>0</v>
      </c>
      <c r="AG31" s="927"/>
      <c r="AH31" s="928"/>
      <c r="AI31" s="929">
        <f t="shared" si="1"/>
        <v>0</v>
      </c>
      <c r="AJ31" s="930"/>
      <c r="AK31" s="931"/>
      <c r="AN31" s="216"/>
      <c r="AO31" s="217">
        <v>1</v>
      </c>
      <c r="AP31" s="217">
        <v>1.1499999999999999</v>
      </c>
      <c r="AQ31" s="218">
        <v>2</v>
      </c>
    </row>
    <row r="32" spans="1:47" x14ac:dyDescent="0.25">
      <c r="A32" s="824"/>
      <c r="B32" s="825"/>
      <c r="C32" s="826"/>
      <c r="D32" s="827">
        <v>0</v>
      </c>
      <c r="E32" s="828"/>
      <c r="F32" s="829"/>
      <c r="G32" s="827">
        <v>0</v>
      </c>
      <c r="H32" s="828"/>
      <c r="I32" s="829"/>
      <c r="J32" s="817">
        <v>0</v>
      </c>
      <c r="K32" s="818"/>
      <c r="L32" s="819"/>
      <c r="M32" s="911">
        <v>0</v>
      </c>
      <c r="N32" s="912"/>
      <c r="O32" s="913"/>
      <c r="P32" s="920">
        <f t="shared" si="0"/>
        <v>0</v>
      </c>
      <c r="Q32" s="921"/>
      <c r="R32" s="922"/>
      <c r="S32" s="25"/>
      <c r="T32" s="923">
        <f t="shared" si="2"/>
        <v>0</v>
      </c>
      <c r="U32" s="924"/>
      <c r="V32" s="925"/>
      <c r="W32" s="830">
        <f t="shared" si="6"/>
        <v>0</v>
      </c>
      <c r="X32" s="831"/>
      <c r="Y32" s="832"/>
      <c r="Z32" s="827">
        <v>0</v>
      </c>
      <c r="AA32" s="828"/>
      <c r="AB32" s="829"/>
      <c r="AC32" s="817">
        <v>0</v>
      </c>
      <c r="AD32" s="818"/>
      <c r="AE32" s="819"/>
      <c r="AF32" s="911">
        <v>0</v>
      </c>
      <c r="AG32" s="912"/>
      <c r="AH32" s="913"/>
      <c r="AI32" s="914">
        <f t="shared" si="1"/>
        <v>0</v>
      </c>
      <c r="AJ32" s="915"/>
      <c r="AK32" s="916"/>
      <c r="AN32" s="220">
        <v>0</v>
      </c>
      <c r="AO32" s="221"/>
      <c r="AP32" s="222"/>
      <c r="AQ32" s="218">
        <f>AO32</f>
        <v>0</v>
      </c>
    </row>
    <row r="33" spans="1:45" x14ac:dyDescent="0.25">
      <c r="A33" s="833"/>
      <c r="B33" s="834"/>
      <c r="C33" s="835"/>
      <c r="D33" s="836">
        <v>0</v>
      </c>
      <c r="E33" s="837"/>
      <c r="F33" s="838"/>
      <c r="G33" s="836">
        <v>0</v>
      </c>
      <c r="H33" s="837"/>
      <c r="I33" s="838"/>
      <c r="J33" s="839">
        <v>0</v>
      </c>
      <c r="K33" s="840"/>
      <c r="L33" s="841"/>
      <c r="M33" s="926">
        <v>0</v>
      </c>
      <c r="N33" s="927"/>
      <c r="O33" s="928"/>
      <c r="P33" s="932">
        <f t="shared" si="0"/>
        <v>0</v>
      </c>
      <c r="Q33" s="933"/>
      <c r="R33" s="934"/>
      <c r="S33" s="25"/>
      <c r="T33" s="272">
        <f t="shared" si="2"/>
        <v>0</v>
      </c>
      <c r="U33" s="273"/>
      <c r="V33" s="590"/>
      <c r="W33" s="846">
        <f t="shared" si="6"/>
        <v>0</v>
      </c>
      <c r="X33" s="847"/>
      <c r="Y33" s="848"/>
      <c r="Z33" s="836">
        <v>0</v>
      </c>
      <c r="AA33" s="837"/>
      <c r="AB33" s="838"/>
      <c r="AC33" s="839">
        <v>0</v>
      </c>
      <c r="AD33" s="840"/>
      <c r="AE33" s="841"/>
      <c r="AF33" s="926">
        <v>0</v>
      </c>
      <c r="AG33" s="927"/>
      <c r="AH33" s="928"/>
      <c r="AI33" s="929">
        <f t="shared" si="1"/>
        <v>0</v>
      </c>
      <c r="AJ33" s="930"/>
      <c r="AK33" s="931"/>
      <c r="AN33" s="220">
        <v>6.476</v>
      </c>
      <c r="AO33" s="226">
        <f>((AO32-AO34)/(AN32-AN34))*(AN33-AN34)+AO34</f>
        <v>92.163074074074061</v>
      </c>
      <c r="AP33" s="222">
        <f>AO33-(AO33-AQ33)/(AQ31-AO31)*(AP31-AO31)</f>
        <v>92.163074074074061</v>
      </c>
      <c r="AQ33" s="227">
        <f>((AQ32-AQ34)/(AN32-AN34))*(AN33-AN34)+AQ34</f>
        <v>92.163074074074061</v>
      </c>
    </row>
    <row r="34" spans="1:45" ht="13.8" thickBot="1" x14ac:dyDescent="0.3">
      <c r="A34" s="824"/>
      <c r="B34" s="825"/>
      <c r="C34" s="826"/>
      <c r="D34" s="827">
        <v>0</v>
      </c>
      <c r="E34" s="828"/>
      <c r="F34" s="829"/>
      <c r="G34" s="827">
        <v>0</v>
      </c>
      <c r="H34" s="828"/>
      <c r="I34" s="829"/>
      <c r="J34" s="817">
        <v>0</v>
      </c>
      <c r="K34" s="818"/>
      <c r="L34" s="819"/>
      <c r="M34" s="911">
        <v>0</v>
      </c>
      <c r="N34" s="912"/>
      <c r="O34" s="913"/>
      <c r="P34" s="920">
        <f t="shared" si="0"/>
        <v>0</v>
      </c>
      <c r="Q34" s="921"/>
      <c r="R34" s="922"/>
      <c r="S34" s="25"/>
      <c r="T34" s="923">
        <f t="shared" si="2"/>
        <v>0</v>
      </c>
      <c r="U34" s="924"/>
      <c r="V34" s="925"/>
      <c r="W34" s="830">
        <f t="shared" si="6"/>
        <v>0</v>
      </c>
      <c r="X34" s="831"/>
      <c r="Y34" s="832"/>
      <c r="Z34" s="827">
        <v>0</v>
      </c>
      <c r="AA34" s="828"/>
      <c r="AB34" s="829"/>
      <c r="AC34" s="817">
        <v>0</v>
      </c>
      <c r="AD34" s="818"/>
      <c r="AE34" s="819"/>
      <c r="AF34" s="911">
        <v>0</v>
      </c>
      <c r="AG34" s="912"/>
      <c r="AH34" s="913"/>
      <c r="AI34" s="914">
        <f t="shared" si="1"/>
        <v>0</v>
      </c>
      <c r="AJ34" s="915"/>
      <c r="AK34" s="916"/>
      <c r="AN34" s="229">
        <v>6.48</v>
      </c>
      <c r="AO34" s="230">
        <v>92.22</v>
      </c>
      <c r="AP34" s="231"/>
      <c r="AQ34" s="251">
        <f>AO34</f>
        <v>92.22</v>
      </c>
    </row>
    <row r="35" spans="1:45" ht="13.8" thickBot="1" x14ac:dyDescent="0.3">
      <c r="A35" s="833"/>
      <c r="B35" s="834"/>
      <c r="C35" s="835"/>
      <c r="D35" s="836">
        <v>0</v>
      </c>
      <c r="E35" s="837"/>
      <c r="F35" s="838"/>
      <c r="G35" s="836">
        <v>0</v>
      </c>
      <c r="H35" s="837"/>
      <c r="I35" s="838"/>
      <c r="J35" s="839">
        <v>0</v>
      </c>
      <c r="K35" s="840"/>
      <c r="L35" s="841"/>
      <c r="M35" s="926">
        <v>0</v>
      </c>
      <c r="N35" s="927"/>
      <c r="O35" s="928"/>
      <c r="P35" s="932">
        <f t="shared" si="0"/>
        <v>0</v>
      </c>
      <c r="Q35" s="933"/>
      <c r="R35" s="934"/>
      <c r="S35" s="25"/>
      <c r="T35" s="272">
        <f t="shared" si="2"/>
        <v>0</v>
      </c>
      <c r="U35" s="273"/>
      <c r="V35" s="590"/>
      <c r="W35" s="846">
        <f t="shared" si="6"/>
        <v>0</v>
      </c>
      <c r="X35" s="847"/>
      <c r="Y35" s="848"/>
      <c r="Z35" s="836">
        <v>0</v>
      </c>
      <c r="AA35" s="837"/>
      <c r="AB35" s="838"/>
      <c r="AC35" s="839">
        <v>0</v>
      </c>
      <c r="AD35" s="840"/>
      <c r="AE35" s="841"/>
      <c r="AF35" s="926">
        <v>0</v>
      </c>
      <c r="AG35" s="927"/>
      <c r="AH35" s="928"/>
      <c r="AI35" s="929">
        <f t="shared" si="1"/>
        <v>0</v>
      </c>
      <c r="AJ35" s="930"/>
      <c r="AK35" s="931"/>
    </row>
    <row r="36" spans="1:45" x14ac:dyDescent="0.25">
      <c r="A36" s="824"/>
      <c r="B36" s="825"/>
      <c r="C36" s="826"/>
      <c r="D36" s="827">
        <v>0</v>
      </c>
      <c r="E36" s="828"/>
      <c r="F36" s="829"/>
      <c r="G36" s="827">
        <v>0</v>
      </c>
      <c r="H36" s="828"/>
      <c r="I36" s="829"/>
      <c r="J36" s="817">
        <v>0</v>
      </c>
      <c r="K36" s="818"/>
      <c r="L36" s="819"/>
      <c r="M36" s="911">
        <v>0</v>
      </c>
      <c r="N36" s="912"/>
      <c r="O36" s="913"/>
      <c r="P36" s="920">
        <f t="shared" si="0"/>
        <v>0</v>
      </c>
      <c r="Q36" s="921"/>
      <c r="R36" s="922"/>
      <c r="S36" s="25"/>
      <c r="T36" s="923">
        <f t="shared" si="2"/>
        <v>0</v>
      </c>
      <c r="U36" s="924"/>
      <c r="V36" s="925"/>
      <c r="W36" s="830">
        <f t="shared" si="6"/>
        <v>0</v>
      </c>
      <c r="X36" s="831"/>
      <c r="Y36" s="832"/>
      <c r="Z36" s="827">
        <v>0</v>
      </c>
      <c r="AA36" s="828"/>
      <c r="AB36" s="829"/>
      <c r="AC36" s="817">
        <v>0</v>
      </c>
      <c r="AD36" s="818"/>
      <c r="AE36" s="819"/>
      <c r="AF36" s="911">
        <v>0</v>
      </c>
      <c r="AG36" s="912"/>
      <c r="AH36" s="913"/>
      <c r="AI36" s="914">
        <f t="shared" si="1"/>
        <v>0</v>
      </c>
      <c r="AJ36" s="915"/>
      <c r="AK36" s="916"/>
      <c r="AN36" s="212" t="s">
        <v>382</v>
      </c>
      <c r="AO36" s="213"/>
      <c r="AP36" s="214" t="s">
        <v>383</v>
      </c>
      <c r="AQ36" s="215"/>
    </row>
    <row r="37" spans="1:45" x14ac:dyDescent="0.25">
      <c r="A37" s="833"/>
      <c r="B37" s="834"/>
      <c r="C37" s="835"/>
      <c r="D37" s="836">
        <v>0</v>
      </c>
      <c r="E37" s="837"/>
      <c r="F37" s="838"/>
      <c r="G37" s="836">
        <v>0</v>
      </c>
      <c r="H37" s="837"/>
      <c r="I37" s="838"/>
      <c r="J37" s="839">
        <v>0</v>
      </c>
      <c r="K37" s="840"/>
      <c r="L37" s="841"/>
      <c r="M37" s="926">
        <v>0</v>
      </c>
      <c r="N37" s="927"/>
      <c r="O37" s="928"/>
      <c r="P37" s="932">
        <f t="shared" si="0"/>
        <v>0</v>
      </c>
      <c r="Q37" s="933"/>
      <c r="R37" s="934"/>
      <c r="S37" s="25"/>
      <c r="T37" s="272">
        <f t="shared" si="2"/>
        <v>0</v>
      </c>
      <c r="U37" s="273"/>
      <c r="V37" s="590"/>
      <c r="W37" s="846">
        <f t="shared" si="6"/>
        <v>0</v>
      </c>
      <c r="X37" s="847"/>
      <c r="Y37" s="848"/>
      <c r="Z37" s="836">
        <v>0</v>
      </c>
      <c r="AA37" s="837"/>
      <c r="AB37" s="838"/>
      <c r="AC37" s="839">
        <v>0</v>
      </c>
      <c r="AD37" s="840"/>
      <c r="AE37" s="841"/>
      <c r="AF37" s="926">
        <v>0</v>
      </c>
      <c r="AG37" s="927"/>
      <c r="AH37" s="928"/>
      <c r="AI37" s="929">
        <f t="shared" si="1"/>
        <v>0</v>
      </c>
      <c r="AJ37" s="930"/>
      <c r="AK37" s="931"/>
      <c r="AN37" s="216"/>
      <c r="AO37" s="217">
        <v>2</v>
      </c>
      <c r="AP37" s="217">
        <v>0</v>
      </c>
      <c r="AQ37" s="218">
        <v>3</v>
      </c>
    </row>
    <row r="38" spans="1:45" x14ac:dyDescent="0.25">
      <c r="A38" s="824"/>
      <c r="B38" s="825"/>
      <c r="C38" s="826"/>
      <c r="D38" s="827">
        <v>0</v>
      </c>
      <c r="E38" s="828"/>
      <c r="F38" s="829"/>
      <c r="G38" s="827">
        <v>0</v>
      </c>
      <c r="H38" s="828"/>
      <c r="I38" s="829"/>
      <c r="J38" s="817">
        <v>0</v>
      </c>
      <c r="K38" s="818"/>
      <c r="L38" s="819"/>
      <c r="M38" s="911">
        <f t="shared" ref="M38" si="7">+M37</f>
        <v>0</v>
      </c>
      <c r="N38" s="912"/>
      <c r="O38" s="913"/>
      <c r="P38" s="920">
        <f t="shared" si="0"/>
        <v>0</v>
      </c>
      <c r="Q38" s="921"/>
      <c r="R38" s="922"/>
      <c r="S38" s="25"/>
      <c r="T38" s="923">
        <f t="shared" si="2"/>
        <v>0</v>
      </c>
      <c r="U38" s="924"/>
      <c r="V38" s="925"/>
      <c r="W38" s="830">
        <f t="shared" si="6"/>
        <v>0</v>
      </c>
      <c r="X38" s="831"/>
      <c r="Y38" s="832"/>
      <c r="Z38" s="827">
        <v>0</v>
      </c>
      <c r="AA38" s="828"/>
      <c r="AB38" s="829"/>
      <c r="AC38" s="817">
        <v>0</v>
      </c>
      <c r="AD38" s="818"/>
      <c r="AE38" s="819"/>
      <c r="AF38" s="911">
        <v>0</v>
      </c>
      <c r="AG38" s="912"/>
      <c r="AH38" s="913"/>
      <c r="AI38" s="914">
        <f t="shared" si="1"/>
        <v>0</v>
      </c>
      <c r="AJ38" s="915"/>
      <c r="AK38" s="916"/>
      <c r="AN38" s="220">
        <v>3.4</v>
      </c>
      <c r="AO38" s="221">
        <v>245.3</v>
      </c>
      <c r="AP38" s="222"/>
      <c r="AQ38" s="218">
        <v>247.1</v>
      </c>
    </row>
    <row r="39" spans="1:45" x14ac:dyDescent="0.25">
      <c r="A39" s="833"/>
      <c r="B39" s="834"/>
      <c r="C39" s="835"/>
      <c r="D39" s="836">
        <v>0</v>
      </c>
      <c r="E39" s="837"/>
      <c r="F39" s="838"/>
      <c r="G39" s="836">
        <v>0</v>
      </c>
      <c r="H39" s="837"/>
      <c r="I39" s="838"/>
      <c r="J39" s="839">
        <v>0</v>
      </c>
      <c r="K39" s="840"/>
      <c r="L39" s="841"/>
      <c r="M39" s="926">
        <v>0</v>
      </c>
      <c r="N39" s="927"/>
      <c r="O39" s="928"/>
      <c r="P39" s="932">
        <f t="shared" si="0"/>
        <v>0</v>
      </c>
      <c r="Q39" s="933"/>
      <c r="R39" s="934"/>
      <c r="S39" s="25"/>
      <c r="T39" s="272">
        <f t="shared" si="2"/>
        <v>0</v>
      </c>
      <c r="U39" s="273"/>
      <c r="V39" s="590"/>
      <c r="W39" s="846">
        <f t="shared" si="6"/>
        <v>0</v>
      </c>
      <c r="X39" s="847"/>
      <c r="Y39" s="848"/>
      <c r="Z39" s="836">
        <v>0</v>
      </c>
      <c r="AA39" s="837"/>
      <c r="AB39" s="838"/>
      <c r="AC39" s="839">
        <v>0</v>
      </c>
      <c r="AD39" s="840"/>
      <c r="AE39" s="841"/>
      <c r="AF39" s="926">
        <v>0</v>
      </c>
      <c r="AG39" s="927"/>
      <c r="AH39" s="928"/>
      <c r="AI39" s="929">
        <f t="shared" si="1"/>
        <v>0</v>
      </c>
      <c r="AJ39" s="930"/>
      <c r="AK39" s="931"/>
      <c r="AN39" s="220">
        <v>3.47</v>
      </c>
      <c r="AO39" s="226">
        <f>((AO38-AO40)/(AN38-AN40))*(AN39-AN40)+AO40</f>
        <v>253.63000000000002</v>
      </c>
      <c r="AP39" s="222">
        <f>AO39-(AO39-AQ39)/(AQ37-AO37)*(AP37-AO37)</f>
        <v>252.83</v>
      </c>
      <c r="AQ39" s="227">
        <f>((AQ38-AQ40)/(AN38-AN40))*(AN39-AN40)+AQ40</f>
        <v>254.03000000000003</v>
      </c>
    </row>
    <row r="40" spans="1:45" ht="13.8" thickBot="1" x14ac:dyDescent="0.3">
      <c r="A40" s="824"/>
      <c r="B40" s="825"/>
      <c r="C40" s="826"/>
      <c r="D40" s="827">
        <v>0</v>
      </c>
      <c r="E40" s="828"/>
      <c r="F40" s="829"/>
      <c r="G40" s="827">
        <v>0</v>
      </c>
      <c r="H40" s="828"/>
      <c r="I40" s="829"/>
      <c r="J40" s="817">
        <v>0</v>
      </c>
      <c r="K40" s="818"/>
      <c r="L40" s="819"/>
      <c r="M40" s="911">
        <v>0</v>
      </c>
      <c r="N40" s="912"/>
      <c r="O40" s="913"/>
      <c r="P40" s="920">
        <f t="shared" si="0"/>
        <v>0</v>
      </c>
      <c r="Q40" s="921"/>
      <c r="R40" s="922"/>
      <c r="S40" s="25"/>
      <c r="T40" s="923">
        <f t="shared" si="2"/>
        <v>0</v>
      </c>
      <c r="U40" s="924"/>
      <c r="V40" s="925"/>
      <c r="W40" s="830">
        <f t="shared" si="6"/>
        <v>0</v>
      </c>
      <c r="X40" s="831"/>
      <c r="Y40" s="832"/>
      <c r="Z40" s="827">
        <v>0</v>
      </c>
      <c r="AA40" s="828"/>
      <c r="AB40" s="829"/>
      <c r="AC40" s="817">
        <v>0</v>
      </c>
      <c r="AD40" s="818"/>
      <c r="AE40" s="819"/>
      <c r="AF40" s="911">
        <v>0</v>
      </c>
      <c r="AG40" s="912"/>
      <c r="AH40" s="913"/>
      <c r="AI40" s="914">
        <f t="shared" si="1"/>
        <v>0</v>
      </c>
      <c r="AJ40" s="915"/>
      <c r="AK40" s="916"/>
      <c r="AN40" s="229">
        <v>3.5</v>
      </c>
      <c r="AO40" s="230">
        <v>257.2</v>
      </c>
      <c r="AP40" s="231"/>
      <c r="AQ40" s="251">
        <v>257</v>
      </c>
    </row>
    <row r="41" spans="1:45" x14ac:dyDescent="0.25">
      <c r="A41" s="801"/>
      <c r="B41" s="802"/>
      <c r="C41" s="803"/>
      <c r="D41" s="899">
        <v>0</v>
      </c>
      <c r="E41" s="900"/>
      <c r="F41" s="901"/>
      <c r="G41" s="899">
        <v>0</v>
      </c>
      <c r="H41" s="900"/>
      <c r="I41" s="901"/>
      <c r="J41" s="902">
        <v>0</v>
      </c>
      <c r="K41" s="903"/>
      <c r="L41" s="904"/>
      <c r="M41" s="905">
        <v>0</v>
      </c>
      <c r="N41" s="906"/>
      <c r="O41" s="907"/>
      <c r="P41" s="917">
        <f t="shared" si="0"/>
        <v>0</v>
      </c>
      <c r="Q41" s="918"/>
      <c r="R41" s="919"/>
      <c r="S41" s="25"/>
      <c r="T41" s="895">
        <f t="shared" si="2"/>
        <v>0</v>
      </c>
      <c r="U41" s="679"/>
      <c r="V41" s="683"/>
      <c r="W41" s="896">
        <f t="shared" si="6"/>
        <v>0</v>
      </c>
      <c r="X41" s="897"/>
      <c r="Y41" s="898"/>
      <c r="Z41" s="899">
        <v>0</v>
      </c>
      <c r="AA41" s="900"/>
      <c r="AB41" s="901"/>
      <c r="AC41" s="902">
        <v>0</v>
      </c>
      <c r="AD41" s="903"/>
      <c r="AE41" s="904"/>
      <c r="AF41" s="905">
        <v>0</v>
      </c>
      <c r="AG41" s="906"/>
      <c r="AH41" s="907"/>
      <c r="AI41" s="908">
        <f t="shared" si="1"/>
        <v>0</v>
      </c>
      <c r="AJ41" s="909"/>
      <c r="AK41" s="910"/>
      <c r="AN41" s="890"/>
      <c r="AO41" s="890"/>
      <c r="AP41" s="890"/>
      <c r="AQ41" s="210"/>
      <c r="AR41" s="210"/>
      <c r="AS41" s="210"/>
    </row>
    <row r="42" spans="1:45" ht="13.8" thickBot="1" x14ac:dyDescent="0.3">
      <c r="A42" s="180"/>
      <c r="B42" s="798" t="s">
        <v>182</v>
      </c>
      <c r="C42" s="798"/>
      <c r="D42" s="798"/>
      <c r="E42" s="798"/>
      <c r="F42" s="798"/>
      <c r="G42" s="798"/>
      <c r="H42" s="798"/>
      <c r="I42" s="798"/>
      <c r="J42" s="798"/>
      <c r="K42" s="798"/>
      <c r="L42" s="798"/>
      <c r="M42" s="798"/>
      <c r="N42" s="798"/>
      <c r="O42" s="798"/>
      <c r="P42" s="891">
        <f>SUM(P11:R41)</f>
        <v>0</v>
      </c>
      <c r="Q42" s="891"/>
      <c r="R42" s="892"/>
      <c r="T42" s="180"/>
      <c r="U42" s="798" t="s">
        <v>182</v>
      </c>
      <c r="V42" s="798"/>
      <c r="W42" s="798"/>
      <c r="X42" s="798"/>
      <c r="Y42" s="798"/>
      <c r="Z42" s="798"/>
      <c r="AA42" s="798"/>
      <c r="AB42" s="798"/>
      <c r="AC42" s="798"/>
      <c r="AD42" s="798"/>
      <c r="AE42" s="798"/>
      <c r="AF42" s="798"/>
      <c r="AG42" s="798"/>
      <c r="AH42" s="798"/>
      <c r="AI42" s="893">
        <f>SUM(AI11:AK41)</f>
        <v>0</v>
      </c>
      <c r="AJ42" s="893"/>
      <c r="AK42" s="894"/>
      <c r="AN42" s="797"/>
      <c r="AO42" s="797"/>
      <c r="AP42" s="797"/>
      <c r="AQ42" s="210"/>
      <c r="AR42" s="210"/>
      <c r="AS42" s="210"/>
    </row>
    <row r="43" spans="1:45" ht="13.8" thickBot="1" x14ac:dyDescent="0.3">
      <c r="A43" s="24"/>
      <c r="B43" s="3"/>
      <c r="C43" s="3"/>
      <c r="D43" s="3"/>
      <c r="E43" s="3"/>
      <c r="F43" s="3"/>
      <c r="G43" s="3"/>
      <c r="H43" s="3"/>
      <c r="I43" s="3"/>
      <c r="J43" s="3"/>
      <c r="K43" s="3"/>
      <c r="L43" s="3"/>
      <c r="M43" s="3"/>
      <c r="N43" s="3"/>
      <c r="O43" s="3"/>
      <c r="P43" s="181"/>
      <c r="Q43" s="181"/>
      <c r="R43" s="181"/>
      <c r="T43" s="24"/>
      <c r="U43" s="3"/>
      <c r="V43" s="3"/>
      <c r="W43" s="3"/>
      <c r="X43" s="3"/>
      <c r="Y43" s="3"/>
      <c r="Z43" s="3"/>
      <c r="AA43" s="3"/>
      <c r="AB43" s="3"/>
      <c r="AC43" s="3"/>
      <c r="AD43" s="3"/>
      <c r="AE43" s="3"/>
      <c r="AF43" s="3"/>
      <c r="AG43" s="3"/>
      <c r="AH43" s="3"/>
      <c r="AI43" s="182"/>
      <c r="AJ43" s="182"/>
      <c r="AK43" s="182"/>
      <c r="AN43" s="211"/>
      <c r="AO43" s="211"/>
      <c r="AP43" s="211"/>
      <c r="AQ43" s="210"/>
      <c r="AR43" s="210"/>
      <c r="AS43" s="210"/>
    </row>
    <row r="44" spans="1:45" x14ac:dyDescent="0.25">
      <c r="A44" s="873" t="s">
        <v>338</v>
      </c>
      <c r="B44" s="874"/>
      <c r="C44" s="875"/>
      <c r="D44" s="879" t="s">
        <v>339</v>
      </c>
      <c r="E44" s="880"/>
      <c r="F44" s="881"/>
      <c r="G44" s="885" t="s">
        <v>158</v>
      </c>
      <c r="H44" s="886"/>
      <c r="I44" s="887"/>
      <c r="J44" s="879" t="s">
        <v>163</v>
      </c>
      <c r="K44" s="880"/>
      <c r="L44" s="881"/>
      <c r="M44" s="879" t="s">
        <v>198</v>
      </c>
      <c r="N44" s="880"/>
      <c r="O44" s="881"/>
      <c r="P44" s="879" t="s">
        <v>165</v>
      </c>
      <c r="Q44" s="880"/>
      <c r="R44" s="888"/>
      <c r="T44" s="873" t="s">
        <v>338</v>
      </c>
      <c r="U44" s="874"/>
      <c r="V44" s="875"/>
      <c r="W44" s="879" t="s">
        <v>339</v>
      </c>
      <c r="X44" s="880"/>
      <c r="Y44" s="881"/>
      <c r="Z44" s="885" t="s">
        <v>158</v>
      </c>
      <c r="AA44" s="886"/>
      <c r="AB44" s="887"/>
      <c r="AC44" s="879" t="s">
        <v>163</v>
      </c>
      <c r="AD44" s="880"/>
      <c r="AE44" s="881"/>
      <c r="AF44" s="879" t="s">
        <v>198</v>
      </c>
      <c r="AG44" s="880"/>
      <c r="AH44" s="881"/>
      <c r="AI44" s="879" t="s">
        <v>165</v>
      </c>
      <c r="AJ44" s="880"/>
      <c r="AK44" s="888"/>
      <c r="AN44" s="211"/>
      <c r="AO44" s="211"/>
      <c r="AP44" s="211"/>
      <c r="AQ44" s="210"/>
      <c r="AR44" s="210"/>
      <c r="AS44" s="210"/>
    </row>
    <row r="45" spans="1:45" ht="13.2" customHeight="1" thickBot="1" x14ac:dyDescent="0.3">
      <c r="A45" s="876"/>
      <c r="B45" s="877"/>
      <c r="C45" s="878"/>
      <c r="D45" s="882"/>
      <c r="E45" s="883"/>
      <c r="F45" s="884"/>
      <c r="G45" s="692"/>
      <c r="H45" s="693"/>
      <c r="I45" s="694"/>
      <c r="J45" s="882"/>
      <c r="K45" s="883"/>
      <c r="L45" s="884"/>
      <c r="M45" s="882"/>
      <c r="N45" s="883"/>
      <c r="O45" s="884"/>
      <c r="P45" s="882"/>
      <c r="Q45" s="883"/>
      <c r="R45" s="889"/>
      <c r="T45" s="876"/>
      <c r="U45" s="877"/>
      <c r="V45" s="878"/>
      <c r="W45" s="882"/>
      <c r="X45" s="883"/>
      <c r="Y45" s="884"/>
      <c r="Z45" s="692"/>
      <c r="AA45" s="693"/>
      <c r="AB45" s="694"/>
      <c r="AC45" s="882"/>
      <c r="AD45" s="883"/>
      <c r="AE45" s="884"/>
      <c r="AF45" s="882"/>
      <c r="AG45" s="883"/>
      <c r="AH45" s="884"/>
      <c r="AI45" s="882"/>
      <c r="AJ45" s="883"/>
      <c r="AK45" s="889"/>
      <c r="AN45" s="797"/>
      <c r="AO45" s="797"/>
      <c r="AP45" s="797"/>
      <c r="AQ45" s="210"/>
      <c r="AR45" s="210"/>
      <c r="AS45" s="210"/>
    </row>
    <row r="46" spans="1:45" ht="13.2" customHeight="1" x14ac:dyDescent="0.25">
      <c r="A46" s="864" t="s">
        <v>342</v>
      </c>
      <c r="B46" s="865"/>
      <c r="C46" s="865"/>
      <c r="D46" s="865"/>
      <c r="E46" s="865"/>
      <c r="F46" s="865"/>
      <c r="G46" s="865"/>
      <c r="H46" s="865"/>
      <c r="I46" s="865"/>
      <c r="J46" s="865"/>
      <c r="K46" s="865"/>
      <c r="L46" s="865"/>
      <c r="M46" s="865"/>
      <c r="N46" s="865"/>
      <c r="O46" s="865"/>
      <c r="P46" s="865"/>
      <c r="Q46" s="865"/>
      <c r="R46" s="866"/>
      <c r="T46" s="864" t="s">
        <v>343</v>
      </c>
      <c r="U46" s="865"/>
      <c r="V46" s="865"/>
      <c r="W46" s="865"/>
      <c r="X46" s="865"/>
      <c r="Y46" s="865"/>
      <c r="Z46" s="865"/>
      <c r="AA46" s="865"/>
      <c r="AB46" s="865"/>
      <c r="AC46" s="865"/>
      <c r="AD46" s="865"/>
      <c r="AE46" s="865"/>
      <c r="AF46" s="865"/>
      <c r="AG46" s="865"/>
      <c r="AH46" s="865"/>
      <c r="AI46" s="865"/>
      <c r="AJ46" s="865"/>
      <c r="AK46" s="866"/>
      <c r="AN46" s="797"/>
      <c r="AO46" s="797"/>
      <c r="AP46" s="797"/>
      <c r="AQ46" s="210"/>
      <c r="AR46" s="210"/>
      <c r="AS46" s="210"/>
    </row>
    <row r="47" spans="1:45" x14ac:dyDescent="0.25">
      <c r="A47" s="867" t="s">
        <v>406</v>
      </c>
      <c r="B47" s="868"/>
      <c r="C47" s="869"/>
      <c r="D47" s="855"/>
      <c r="E47" s="856"/>
      <c r="F47" s="857"/>
      <c r="G47" s="855" t="s">
        <v>392</v>
      </c>
      <c r="H47" s="856"/>
      <c r="I47" s="857"/>
      <c r="J47" s="858"/>
      <c r="K47" s="859"/>
      <c r="L47" s="860"/>
      <c r="M47" s="861">
        <v>1</v>
      </c>
      <c r="N47" s="862"/>
      <c r="O47" s="863"/>
      <c r="P47" s="870">
        <f>+J47</f>
        <v>0</v>
      </c>
      <c r="Q47" s="871"/>
      <c r="R47" s="872"/>
      <c r="S47" s="25"/>
      <c r="T47" s="867" t="str">
        <f>+A47</f>
        <v>FWT P</v>
      </c>
      <c r="U47" s="868"/>
      <c r="V47" s="869"/>
      <c r="W47" s="852">
        <f>+D47</f>
        <v>0</v>
      </c>
      <c r="X47" s="853"/>
      <c r="Y47" s="854"/>
      <c r="Z47" s="855" t="s">
        <v>392</v>
      </c>
      <c r="AA47" s="856"/>
      <c r="AB47" s="857"/>
      <c r="AC47" s="858"/>
      <c r="AD47" s="859"/>
      <c r="AE47" s="860"/>
      <c r="AF47" s="861">
        <v>1</v>
      </c>
      <c r="AG47" s="862"/>
      <c r="AH47" s="863"/>
      <c r="AI47" s="855">
        <f t="shared" ref="AI47:AI53" si="8">+AC47</f>
        <v>0</v>
      </c>
      <c r="AJ47" s="856"/>
      <c r="AK47" s="857"/>
      <c r="AN47" s="797"/>
      <c r="AO47" s="797"/>
      <c r="AP47" s="797"/>
      <c r="AQ47" s="210"/>
      <c r="AR47" s="210"/>
      <c r="AS47" s="210"/>
    </row>
    <row r="48" spans="1:45" x14ac:dyDescent="0.25">
      <c r="A48" s="824" t="s">
        <v>407</v>
      </c>
      <c r="B48" s="825"/>
      <c r="C48" s="826"/>
      <c r="D48" s="827"/>
      <c r="E48" s="828"/>
      <c r="F48" s="829"/>
      <c r="G48" s="827" t="s">
        <v>392</v>
      </c>
      <c r="H48" s="828"/>
      <c r="I48" s="829"/>
      <c r="J48" s="849"/>
      <c r="K48" s="850"/>
      <c r="L48" s="851"/>
      <c r="M48" s="820">
        <v>1</v>
      </c>
      <c r="N48" s="821"/>
      <c r="O48" s="822"/>
      <c r="P48" s="817">
        <f t="shared" ref="P48:P53" si="9">+J48</f>
        <v>0</v>
      </c>
      <c r="Q48" s="818"/>
      <c r="R48" s="823"/>
      <c r="S48" s="25"/>
      <c r="T48" s="824" t="str">
        <f t="shared" ref="T48:T53" si="10">+A48</f>
        <v>FWT S</v>
      </c>
      <c r="U48" s="825"/>
      <c r="V48" s="826"/>
      <c r="W48" s="830">
        <f t="shared" ref="W48:W53" si="11">+D48</f>
        <v>0</v>
      </c>
      <c r="X48" s="831"/>
      <c r="Y48" s="832"/>
      <c r="Z48" s="827" t="s">
        <v>392</v>
      </c>
      <c r="AA48" s="828"/>
      <c r="AB48" s="829"/>
      <c r="AC48" s="849"/>
      <c r="AD48" s="850"/>
      <c r="AE48" s="851"/>
      <c r="AF48" s="820">
        <v>1</v>
      </c>
      <c r="AG48" s="821"/>
      <c r="AH48" s="822"/>
      <c r="AI48" s="827">
        <f t="shared" si="8"/>
        <v>0</v>
      </c>
      <c r="AJ48" s="828"/>
      <c r="AK48" s="829"/>
      <c r="AN48" s="797"/>
      <c r="AO48" s="797"/>
      <c r="AP48" s="797"/>
      <c r="AQ48" s="210"/>
      <c r="AR48" s="210"/>
      <c r="AS48" s="210"/>
    </row>
    <row r="49" spans="1:45" x14ac:dyDescent="0.25">
      <c r="A49" s="833" t="s">
        <v>415</v>
      </c>
      <c r="B49" s="834"/>
      <c r="C49" s="835"/>
      <c r="D49" s="836"/>
      <c r="E49" s="837"/>
      <c r="F49" s="838"/>
      <c r="G49" s="836" t="s">
        <v>392</v>
      </c>
      <c r="H49" s="837"/>
      <c r="I49" s="838"/>
      <c r="J49" s="849"/>
      <c r="K49" s="850"/>
      <c r="L49" s="851"/>
      <c r="M49" s="842">
        <v>1</v>
      </c>
      <c r="N49" s="843"/>
      <c r="O49" s="844"/>
      <c r="P49" s="839">
        <f t="shared" si="9"/>
        <v>0</v>
      </c>
      <c r="Q49" s="840"/>
      <c r="R49" s="845"/>
      <c r="S49" s="25"/>
      <c r="T49" s="833" t="str">
        <f t="shared" si="10"/>
        <v>FW DIST</v>
      </c>
      <c r="U49" s="834"/>
      <c r="V49" s="835"/>
      <c r="W49" s="846">
        <f t="shared" si="11"/>
        <v>0</v>
      </c>
      <c r="X49" s="847"/>
      <c r="Y49" s="848"/>
      <c r="Z49" s="827" t="s">
        <v>392</v>
      </c>
      <c r="AA49" s="828"/>
      <c r="AB49" s="829"/>
      <c r="AC49" s="849"/>
      <c r="AD49" s="850"/>
      <c r="AE49" s="851"/>
      <c r="AF49" s="842">
        <v>1</v>
      </c>
      <c r="AG49" s="843"/>
      <c r="AH49" s="844"/>
      <c r="AI49" s="836">
        <f t="shared" si="8"/>
        <v>0</v>
      </c>
      <c r="AJ49" s="837"/>
      <c r="AK49" s="838"/>
      <c r="AN49" s="797"/>
      <c r="AO49" s="797"/>
      <c r="AP49" s="797"/>
      <c r="AQ49" s="210"/>
      <c r="AR49" s="210"/>
      <c r="AS49" s="210"/>
    </row>
    <row r="50" spans="1:45" x14ac:dyDescent="0.25">
      <c r="A50" s="824"/>
      <c r="B50" s="825"/>
      <c r="C50" s="826"/>
      <c r="D50" s="827"/>
      <c r="E50" s="828"/>
      <c r="F50" s="829"/>
      <c r="G50" s="827"/>
      <c r="H50" s="828"/>
      <c r="I50" s="829"/>
      <c r="J50" s="817"/>
      <c r="K50" s="818"/>
      <c r="L50" s="819"/>
      <c r="M50" s="820"/>
      <c r="N50" s="821"/>
      <c r="O50" s="822"/>
      <c r="P50" s="817">
        <f t="shared" si="9"/>
        <v>0</v>
      </c>
      <c r="Q50" s="818"/>
      <c r="R50" s="823"/>
      <c r="S50" s="25"/>
      <c r="T50" s="824">
        <f t="shared" si="10"/>
        <v>0</v>
      </c>
      <c r="U50" s="825"/>
      <c r="V50" s="826"/>
      <c r="W50" s="830">
        <f t="shared" si="11"/>
        <v>0</v>
      </c>
      <c r="X50" s="831"/>
      <c r="Y50" s="832"/>
      <c r="Z50" s="827">
        <v>0</v>
      </c>
      <c r="AA50" s="828"/>
      <c r="AB50" s="829"/>
      <c r="AC50" s="817">
        <v>0</v>
      </c>
      <c r="AD50" s="818"/>
      <c r="AE50" s="819"/>
      <c r="AF50" s="820">
        <v>0</v>
      </c>
      <c r="AG50" s="821"/>
      <c r="AH50" s="822"/>
      <c r="AI50" s="817">
        <f t="shared" si="8"/>
        <v>0</v>
      </c>
      <c r="AJ50" s="818"/>
      <c r="AK50" s="823"/>
      <c r="AN50" s="797"/>
      <c r="AO50" s="797"/>
      <c r="AP50" s="797"/>
      <c r="AQ50" s="210"/>
      <c r="AR50" s="210"/>
      <c r="AS50" s="210"/>
    </row>
    <row r="51" spans="1:45" x14ac:dyDescent="0.25">
      <c r="A51" s="833">
        <v>0</v>
      </c>
      <c r="B51" s="834"/>
      <c r="C51" s="835"/>
      <c r="D51" s="836"/>
      <c r="E51" s="837"/>
      <c r="F51" s="838"/>
      <c r="G51" s="836">
        <v>0</v>
      </c>
      <c r="H51" s="837"/>
      <c r="I51" s="838"/>
      <c r="J51" s="839">
        <v>0</v>
      </c>
      <c r="K51" s="840"/>
      <c r="L51" s="841"/>
      <c r="M51" s="842">
        <v>0</v>
      </c>
      <c r="N51" s="843"/>
      <c r="O51" s="844"/>
      <c r="P51" s="839">
        <f t="shared" si="9"/>
        <v>0</v>
      </c>
      <c r="Q51" s="840"/>
      <c r="R51" s="845"/>
      <c r="S51" s="25"/>
      <c r="T51" s="833">
        <f t="shared" si="10"/>
        <v>0</v>
      </c>
      <c r="U51" s="834"/>
      <c r="V51" s="835"/>
      <c r="W51" s="846">
        <f t="shared" si="11"/>
        <v>0</v>
      </c>
      <c r="X51" s="847"/>
      <c r="Y51" s="848"/>
      <c r="Z51" s="836">
        <v>0</v>
      </c>
      <c r="AA51" s="837"/>
      <c r="AB51" s="838"/>
      <c r="AC51" s="839">
        <v>0</v>
      </c>
      <c r="AD51" s="840"/>
      <c r="AE51" s="841"/>
      <c r="AF51" s="842">
        <v>0</v>
      </c>
      <c r="AG51" s="843"/>
      <c r="AH51" s="844"/>
      <c r="AI51" s="839">
        <f t="shared" si="8"/>
        <v>0</v>
      </c>
      <c r="AJ51" s="840"/>
      <c r="AK51" s="845"/>
      <c r="AN51" s="797"/>
      <c r="AO51" s="797"/>
      <c r="AP51" s="797"/>
      <c r="AQ51" s="210"/>
      <c r="AR51" s="210"/>
      <c r="AS51" s="210"/>
    </row>
    <row r="52" spans="1:45" x14ac:dyDescent="0.25">
      <c r="A52" s="824">
        <v>0</v>
      </c>
      <c r="B52" s="825"/>
      <c r="C52" s="826"/>
      <c r="D52" s="827"/>
      <c r="E52" s="828"/>
      <c r="F52" s="829"/>
      <c r="G52" s="827"/>
      <c r="H52" s="828"/>
      <c r="I52" s="829"/>
      <c r="J52" s="817"/>
      <c r="K52" s="818"/>
      <c r="L52" s="819"/>
      <c r="M52" s="820"/>
      <c r="N52" s="821"/>
      <c r="O52" s="822"/>
      <c r="P52" s="817">
        <f t="shared" si="9"/>
        <v>0</v>
      </c>
      <c r="Q52" s="818"/>
      <c r="R52" s="823"/>
      <c r="S52" s="25"/>
      <c r="T52" s="824">
        <f t="shared" si="10"/>
        <v>0</v>
      </c>
      <c r="U52" s="825"/>
      <c r="V52" s="826"/>
      <c r="W52" s="830">
        <f t="shared" si="11"/>
        <v>0</v>
      </c>
      <c r="X52" s="831"/>
      <c r="Y52" s="832"/>
      <c r="Z52" s="827"/>
      <c r="AA52" s="828"/>
      <c r="AB52" s="829"/>
      <c r="AC52" s="817"/>
      <c r="AD52" s="818"/>
      <c r="AE52" s="819"/>
      <c r="AF52" s="820"/>
      <c r="AG52" s="821"/>
      <c r="AH52" s="822"/>
      <c r="AI52" s="817">
        <f t="shared" si="8"/>
        <v>0</v>
      </c>
      <c r="AJ52" s="818"/>
      <c r="AK52" s="823"/>
      <c r="AN52" s="797"/>
      <c r="AO52" s="797"/>
      <c r="AP52" s="797"/>
      <c r="AQ52" s="210"/>
      <c r="AR52" s="210"/>
      <c r="AS52" s="210"/>
    </row>
    <row r="53" spans="1:45" x14ac:dyDescent="0.25">
      <c r="A53" s="801"/>
      <c r="B53" s="802"/>
      <c r="C53" s="803"/>
      <c r="D53" s="807"/>
      <c r="E53" s="808"/>
      <c r="F53" s="809"/>
      <c r="G53" s="807"/>
      <c r="H53" s="808"/>
      <c r="I53" s="809"/>
      <c r="J53" s="810"/>
      <c r="K53" s="811"/>
      <c r="L53" s="812"/>
      <c r="M53" s="813"/>
      <c r="N53" s="814"/>
      <c r="O53" s="815"/>
      <c r="P53" s="810">
        <f t="shared" si="9"/>
        <v>0</v>
      </c>
      <c r="Q53" s="811"/>
      <c r="R53" s="816"/>
      <c r="S53" s="25"/>
      <c r="T53" s="801">
        <f t="shared" si="10"/>
        <v>0</v>
      </c>
      <c r="U53" s="802"/>
      <c r="V53" s="803"/>
      <c r="W53" s="804">
        <f t="shared" si="11"/>
        <v>0</v>
      </c>
      <c r="X53" s="805"/>
      <c r="Y53" s="806"/>
      <c r="Z53" s="807"/>
      <c r="AA53" s="808"/>
      <c r="AB53" s="809"/>
      <c r="AC53" s="810"/>
      <c r="AD53" s="811"/>
      <c r="AE53" s="812"/>
      <c r="AF53" s="813"/>
      <c r="AG53" s="814"/>
      <c r="AH53" s="815"/>
      <c r="AI53" s="810">
        <f t="shared" si="8"/>
        <v>0</v>
      </c>
      <c r="AJ53" s="811"/>
      <c r="AK53" s="816"/>
      <c r="AN53" s="797"/>
      <c r="AO53" s="797"/>
      <c r="AP53" s="797"/>
      <c r="AQ53" s="210"/>
      <c r="AR53" s="210"/>
      <c r="AS53" s="210"/>
    </row>
    <row r="54" spans="1:45" ht="13.8" thickBot="1" x14ac:dyDescent="0.3">
      <c r="A54" s="180"/>
      <c r="B54" s="798" t="s">
        <v>184</v>
      </c>
      <c r="C54" s="798"/>
      <c r="D54" s="798"/>
      <c r="E54" s="798"/>
      <c r="F54" s="798"/>
      <c r="G54" s="798"/>
      <c r="H54" s="798"/>
      <c r="I54" s="798"/>
      <c r="J54" s="798"/>
      <c r="K54" s="798"/>
      <c r="L54" s="798"/>
      <c r="M54" s="798"/>
      <c r="N54" s="798"/>
      <c r="O54" s="798"/>
      <c r="P54" s="799">
        <f>SUM(P47:R53)</f>
        <v>0</v>
      </c>
      <c r="Q54" s="799"/>
      <c r="R54" s="800">
        <f>SUM(R47:R53)</f>
        <v>0</v>
      </c>
      <c r="T54" s="180"/>
      <c r="U54" s="798" t="s">
        <v>184</v>
      </c>
      <c r="V54" s="798"/>
      <c r="W54" s="798"/>
      <c r="X54" s="798"/>
      <c r="Y54" s="798"/>
      <c r="Z54" s="798"/>
      <c r="AA54" s="798"/>
      <c r="AB54" s="798"/>
      <c r="AC54" s="798"/>
      <c r="AD54" s="798"/>
      <c r="AE54" s="798"/>
      <c r="AF54" s="798"/>
      <c r="AG54" s="798"/>
      <c r="AH54" s="798"/>
      <c r="AI54" s="799">
        <f>SUM(AI47:AK53)</f>
        <v>0</v>
      </c>
      <c r="AJ54" s="799"/>
      <c r="AK54" s="800">
        <f>SUM(AK47:AK53)</f>
        <v>0</v>
      </c>
      <c r="AN54" s="797"/>
      <c r="AO54" s="797"/>
      <c r="AP54" s="797"/>
      <c r="AQ54" s="210"/>
      <c r="AR54" s="210"/>
      <c r="AS54" s="210"/>
    </row>
    <row r="55" spans="1:45" x14ac:dyDescent="0.25">
      <c r="AN55" s="797"/>
      <c r="AO55" s="797"/>
      <c r="AP55" s="797"/>
      <c r="AQ55" s="210"/>
      <c r="AR55" s="210"/>
      <c r="AS55" s="210"/>
    </row>
    <row r="56" spans="1:45" x14ac:dyDescent="0.25">
      <c r="AN56" s="797"/>
      <c r="AO56" s="797"/>
      <c r="AP56" s="797"/>
      <c r="AQ56" s="210"/>
      <c r="AR56" s="210"/>
      <c r="AS56" s="210"/>
    </row>
    <row r="57" spans="1:45" x14ac:dyDescent="0.25">
      <c r="AN57" s="797"/>
      <c r="AO57" s="797"/>
      <c r="AP57" s="797"/>
      <c r="AQ57" s="210"/>
      <c r="AR57" s="210"/>
      <c r="AS57" s="210"/>
    </row>
    <row r="58" spans="1:45" x14ac:dyDescent="0.25">
      <c r="AN58" s="797"/>
      <c r="AO58" s="797"/>
      <c r="AP58" s="797"/>
      <c r="AQ58" s="210"/>
      <c r="AR58" s="210"/>
      <c r="AS58" s="210"/>
    </row>
    <row r="59" spans="1:45" x14ac:dyDescent="0.25">
      <c r="AN59" s="797"/>
      <c r="AO59" s="797"/>
      <c r="AP59" s="797"/>
      <c r="AQ59" s="210"/>
      <c r="AR59" s="210"/>
      <c r="AS59" s="210"/>
    </row>
    <row r="60" spans="1:45" x14ac:dyDescent="0.25">
      <c r="AN60" s="797"/>
      <c r="AO60" s="797"/>
      <c r="AP60" s="797"/>
      <c r="AQ60" s="210"/>
      <c r="AR60" s="210"/>
      <c r="AS60" s="210"/>
    </row>
    <row r="61" spans="1:45" x14ac:dyDescent="0.25">
      <c r="AN61" s="797"/>
      <c r="AO61" s="797"/>
      <c r="AP61" s="797"/>
      <c r="AQ61" s="210"/>
      <c r="AR61" s="210"/>
      <c r="AS61" s="210"/>
    </row>
    <row r="62" spans="1:45" x14ac:dyDescent="0.25">
      <c r="AN62" s="797"/>
      <c r="AO62" s="797"/>
      <c r="AP62" s="797"/>
      <c r="AQ62" s="210"/>
      <c r="AR62" s="210"/>
      <c r="AS62" s="210"/>
    </row>
    <row r="63" spans="1:45" x14ac:dyDescent="0.25">
      <c r="AN63" s="797"/>
      <c r="AO63" s="797"/>
      <c r="AP63" s="797"/>
      <c r="AQ63" s="210"/>
      <c r="AR63" s="210"/>
      <c r="AS63" s="210"/>
    </row>
    <row r="64" spans="1:45" x14ac:dyDescent="0.25">
      <c r="AN64" s="797"/>
      <c r="AO64" s="797"/>
      <c r="AP64" s="797"/>
      <c r="AQ64" s="210"/>
      <c r="AR64" s="210"/>
      <c r="AS64" s="210"/>
    </row>
    <row r="65" spans="40:45" x14ac:dyDescent="0.25">
      <c r="AN65" s="797"/>
      <c r="AO65" s="797"/>
      <c r="AP65" s="797"/>
      <c r="AQ65" s="210"/>
      <c r="AR65" s="210"/>
      <c r="AS65" s="210"/>
    </row>
    <row r="66" spans="40:45" x14ac:dyDescent="0.25">
      <c r="AN66" s="797"/>
      <c r="AO66" s="797"/>
      <c r="AP66" s="797"/>
      <c r="AQ66" s="210"/>
      <c r="AR66" s="210"/>
      <c r="AS66" s="210"/>
    </row>
    <row r="67" spans="40:45" x14ac:dyDescent="0.25">
      <c r="AN67" s="797"/>
      <c r="AO67" s="797"/>
      <c r="AP67" s="797"/>
      <c r="AQ67" s="210"/>
      <c r="AR67" s="210"/>
      <c r="AS67" s="210"/>
    </row>
    <row r="68" spans="40:45" x14ac:dyDescent="0.25">
      <c r="AN68" s="797"/>
      <c r="AO68" s="797"/>
      <c r="AP68" s="797"/>
      <c r="AQ68" s="210"/>
      <c r="AR68" s="210"/>
      <c r="AS68" s="210"/>
    </row>
    <row r="69" spans="40:45" x14ac:dyDescent="0.25">
      <c r="AN69" s="797"/>
      <c r="AO69" s="797"/>
      <c r="AP69" s="797"/>
      <c r="AQ69" s="210"/>
      <c r="AR69" s="210"/>
      <c r="AS69" s="210"/>
    </row>
    <row r="70" spans="40:45" x14ac:dyDescent="0.25">
      <c r="AN70" s="797"/>
      <c r="AO70" s="797"/>
      <c r="AP70" s="797"/>
      <c r="AQ70" s="210"/>
      <c r="AR70" s="210"/>
      <c r="AS70" s="210"/>
    </row>
  </sheetData>
  <mergeCells count="538">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Z14:AB14"/>
    <mergeCell ref="AC14:AE14"/>
    <mergeCell ref="AF14:AH14"/>
    <mergeCell ref="AI14:AK14"/>
    <mergeCell ref="A14:C14"/>
    <mergeCell ref="D14:F14"/>
    <mergeCell ref="G14:I14"/>
    <mergeCell ref="J14:L14"/>
    <mergeCell ref="M14:O14"/>
    <mergeCell ref="P14:R14"/>
    <mergeCell ref="T14:V14"/>
    <mergeCell ref="W14:Y14"/>
    <mergeCell ref="A13:C13"/>
    <mergeCell ref="D13:F13"/>
    <mergeCell ref="A16:C16"/>
    <mergeCell ref="D16:F16"/>
    <mergeCell ref="G16:I16"/>
    <mergeCell ref="J16:L16"/>
    <mergeCell ref="M16:O16"/>
    <mergeCell ref="P16:R16"/>
    <mergeCell ref="T16:V16"/>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A20:C20"/>
    <mergeCell ref="D20:F20"/>
    <mergeCell ref="G20:I20"/>
    <mergeCell ref="J20:L20"/>
    <mergeCell ref="M20:O20"/>
    <mergeCell ref="P20:R20"/>
    <mergeCell ref="T20:V20"/>
    <mergeCell ref="W20:Y20"/>
    <mergeCell ref="T19:V19"/>
    <mergeCell ref="W19:Y19"/>
    <mergeCell ref="Z19:AB19"/>
    <mergeCell ref="AC19:AE19"/>
    <mergeCell ref="AF19:AH19"/>
    <mergeCell ref="AI19:AK19"/>
    <mergeCell ref="A19:C19"/>
    <mergeCell ref="D19:F19"/>
    <mergeCell ref="G19:I19"/>
    <mergeCell ref="J19:L19"/>
    <mergeCell ref="M19:O19"/>
    <mergeCell ref="P19:R19"/>
    <mergeCell ref="Z20:AB20"/>
    <mergeCell ref="AC20:AE20"/>
    <mergeCell ref="AF20:AH20"/>
    <mergeCell ref="AI20:AK20"/>
    <mergeCell ref="Z22:AB22"/>
    <mergeCell ref="AC22:AE22"/>
    <mergeCell ref="AF22:AH22"/>
    <mergeCell ref="AI22:AK22"/>
    <mergeCell ref="Z21:AB21"/>
    <mergeCell ref="AC21:AE21"/>
    <mergeCell ref="AF21:AH21"/>
    <mergeCell ref="AI21:AK21"/>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A24:C24"/>
    <mergeCell ref="D24:F24"/>
    <mergeCell ref="G24:I24"/>
    <mergeCell ref="J24:L24"/>
    <mergeCell ref="M24:O24"/>
    <mergeCell ref="P24:R24"/>
    <mergeCell ref="T24:V24"/>
    <mergeCell ref="W24:Y24"/>
    <mergeCell ref="T23:V23"/>
    <mergeCell ref="W23:Y23"/>
    <mergeCell ref="Z23:AB23"/>
    <mergeCell ref="AC23:AE23"/>
    <mergeCell ref="AF23:AH23"/>
    <mergeCell ref="AI23:AK23"/>
    <mergeCell ref="A23:C23"/>
    <mergeCell ref="D23:F23"/>
    <mergeCell ref="G23:I23"/>
    <mergeCell ref="J23:L23"/>
    <mergeCell ref="M23:O23"/>
    <mergeCell ref="P23:R23"/>
    <mergeCell ref="Z24:AB24"/>
    <mergeCell ref="AC24:AE24"/>
    <mergeCell ref="AF24:AH24"/>
    <mergeCell ref="AI24:AK24"/>
    <mergeCell ref="Z26:AB26"/>
    <mergeCell ref="AC26:AE26"/>
    <mergeCell ref="AF26:AH26"/>
    <mergeCell ref="AI26:AK26"/>
    <mergeCell ref="Z25:AB25"/>
    <mergeCell ref="AC25:AE25"/>
    <mergeCell ref="AF25:AH25"/>
    <mergeCell ref="AI25:AK25"/>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A28:C28"/>
    <mergeCell ref="D28:F28"/>
    <mergeCell ref="G28:I28"/>
    <mergeCell ref="J28:L28"/>
    <mergeCell ref="M28:O28"/>
    <mergeCell ref="P28:R28"/>
    <mergeCell ref="T28:V28"/>
    <mergeCell ref="W28:Y28"/>
    <mergeCell ref="T27:V27"/>
    <mergeCell ref="W27:Y27"/>
    <mergeCell ref="Z27:AB27"/>
    <mergeCell ref="AC27:AE27"/>
    <mergeCell ref="AF27:AH27"/>
    <mergeCell ref="AI27:AK27"/>
    <mergeCell ref="A27:C27"/>
    <mergeCell ref="D27:F27"/>
    <mergeCell ref="G27:I27"/>
    <mergeCell ref="J27:L27"/>
    <mergeCell ref="M27:O27"/>
    <mergeCell ref="P27:R27"/>
    <mergeCell ref="Z28:AB28"/>
    <mergeCell ref="AC28:AE28"/>
    <mergeCell ref="AF28:AH28"/>
    <mergeCell ref="AI28:AK28"/>
    <mergeCell ref="Z30:AB30"/>
    <mergeCell ref="AC30:AE30"/>
    <mergeCell ref="AF30:AH30"/>
    <mergeCell ref="AI30:AK30"/>
    <mergeCell ref="Z29:AB29"/>
    <mergeCell ref="AC29:AE29"/>
    <mergeCell ref="AF29:AH29"/>
    <mergeCell ref="AI29:AK29"/>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A32:C32"/>
    <mergeCell ref="D32:F32"/>
    <mergeCell ref="G32:I32"/>
    <mergeCell ref="J32:L32"/>
    <mergeCell ref="M32:O32"/>
    <mergeCell ref="P32:R32"/>
    <mergeCell ref="T32:V32"/>
    <mergeCell ref="W32:Y32"/>
    <mergeCell ref="T31:V31"/>
    <mergeCell ref="W31:Y31"/>
    <mergeCell ref="Z31:AB31"/>
    <mergeCell ref="AC31:AE31"/>
    <mergeCell ref="AF31:AH31"/>
    <mergeCell ref="AI31:AK31"/>
    <mergeCell ref="A31:C31"/>
    <mergeCell ref="D31:F31"/>
    <mergeCell ref="G31:I31"/>
    <mergeCell ref="J31:L31"/>
    <mergeCell ref="M31:O31"/>
    <mergeCell ref="P31:R31"/>
    <mergeCell ref="Z32:AB32"/>
    <mergeCell ref="AC32:AE32"/>
    <mergeCell ref="AF32:AH32"/>
    <mergeCell ref="AI32:AK32"/>
    <mergeCell ref="Z34:AB34"/>
    <mergeCell ref="AC34:AE34"/>
    <mergeCell ref="AF34:AH34"/>
    <mergeCell ref="AI34:AK34"/>
    <mergeCell ref="Z33:AB33"/>
    <mergeCell ref="AC33:AE33"/>
    <mergeCell ref="AF33:AH33"/>
    <mergeCell ref="AI33:AK33"/>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A36:C36"/>
    <mergeCell ref="D36:F36"/>
    <mergeCell ref="G36:I36"/>
    <mergeCell ref="J36:L36"/>
    <mergeCell ref="M36:O36"/>
    <mergeCell ref="P36:R36"/>
    <mergeCell ref="T36:V36"/>
    <mergeCell ref="W36:Y36"/>
    <mergeCell ref="T35:V35"/>
    <mergeCell ref="W35:Y35"/>
    <mergeCell ref="Z35:AB35"/>
    <mergeCell ref="AC35:AE35"/>
    <mergeCell ref="AF35:AH35"/>
    <mergeCell ref="AI35:AK35"/>
    <mergeCell ref="A35:C35"/>
    <mergeCell ref="D35:F35"/>
    <mergeCell ref="G35:I35"/>
    <mergeCell ref="J35:L35"/>
    <mergeCell ref="M35:O35"/>
    <mergeCell ref="P35:R35"/>
    <mergeCell ref="Z36:AB36"/>
    <mergeCell ref="AC36:AE36"/>
    <mergeCell ref="AF36:AH36"/>
    <mergeCell ref="AI36:AK36"/>
    <mergeCell ref="Z38:AB38"/>
    <mergeCell ref="AC38:AE38"/>
    <mergeCell ref="AF38:AH38"/>
    <mergeCell ref="AI38:AK38"/>
    <mergeCell ref="Z37:AB37"/>
    <mergeCell ref="AC37:AE37"/>
    <mergeCell ref="AF37:AH37"/>
    <mergeCell ref="AI37:AK37"/>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T39:V39"/>
    <mergeCell ref="W39:Y39"/>
    <mergeCell ref="Z39:AB39"/>
    <mergeCell ref="AC39:AE39"/>
    <mergeCell ref="AF39:AH39"/>
    <mergeCell ref="AI39:AK39"/>
    <mergeCell ref="A39:C39"/>
    <mergeCell ref="D39:F39"/>
    <mergeCell ref="G39:I39"/>
    <mergeCell ref="J39:L39"/>
    <mergeCell ref="M39:O39"/>
    <mergeCell ref="P39:R39"/>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AN41:AP41"/>
    <mergeCell ref="B42:O42"/>
    <mergeCell ref="P42:R42"/>
    <mergeCell ref="U42:AH42"/>
    <mergeCell ref="AI42:AK42"/>
    <mergeCell ref="AN42:AP42"/>
    <mergeCell ref="T41:V41"/>
    <mergeCell ref="W41:Y41"/>
    <mergeCell ref="Z41:AB41"/>
    <mergeCell ref="AC41:AE41"/>
    <mergeCell ref="AF41:AH41"/>
    <mergeCell ref="AI41:AK41"/>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48:C48"/>
    <mergeCell ref="D48:F48"/>
    <mergeCell ref="G48:I48"/>
    <mergeCell ref="J48:L48"/>
    <mergeCell ref="M48:O48"/>
    <mergeCell ref="P48:R48"/>
    <mergeCell ref="T48:V48"/>
    <mergeCell ref="W48:Y48"/>
    <mergeCell ref="Z48:AB48"/>
    <mergeCell ref="W47:Y47"/>
    <mergeCell ref="Z47:AB47"/>
    <mergeCell ref="AC47:AE47"/>
    <mergeCell ref="AF47:AH47"/>
    <mergeCell ref="AI47:AK47"/>
    <mergeCell ref="AC48:AE48"/>
    <mergeCell ref="AF48:AH48"/>
    <mergeCell ref="AI48:AK48"/>
    <mergeCell ref="AN48:AP48"/>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N67:AP67"/>
    <mergeCell ref="AN68:AP68"/>
    <mergeCell ref="AN69:AP69"/>
    <mergeCell ref="AN70:AP70"/>
    <mergeCell ref="AN61:AP61"/>
    <mergeCell ref="AN62:AP62"/>
    <mergeCell ref="AN63:AP63"/>
    <mergeCell ref="AN64:AP64"/>
    <mergeCell ref="AN65:AP65"/>
    <mergeCell ref="AN66:AP66"/>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6"/>
    </row>
    <row r="4" spans="1:26" ht="18" customHeight="1" x14ac:dyDescent="0.25">
      <c r="W4" s="197"/>
      <c r="X4" s="196"/>
      <c r="Y4" s="196"/>
      <c r="Z4" s="196"/>
    </row>
    <row r="5" spans="1:26" ht="18" customHeight="1" x14ac:dyDescent="0.25">
      <c r="W5" s="197"/>
      <c r="X5" s="196"/>
      <c r="Y5" s="196"/>
    </row>
    <row r="6" spans="1:26" ht="18" customHeight="1" x14ac:dyDescent="0.3">
      <c r="A6" s="966" t="s">
        <v>362</v>
      </c>
      <c r="B6" s="966"/>
      <c r="C6" s="966"/>
      <c r="D6" s="966"/>
      <c r="E6" s="966"/>
      <c r="F6" s="966"/>
      <c r="G6" s="966"/>
      <c r="H6" s="966"/>
      <c r="I6" s="966"/>
      <c r="J6" s="966"/>
      <c r="K6" s="966"/>
      <c r="L6" s="966"/>
      <c r="M6" s="966"/>
      <c r="N6" s="966"/>
      <c r="O6" s="966"/>
      <c r="P6" s="966"/>
      <c r="Q6" s="966"/>
      <c r="R6" s="966"/>
      <c r="S6" s="966"/>
      <c r="T6" s="966"/>
      <c r="U6" s="966"/>
      <c r="V6" s="966"/>
      <c r="W6" s="966"/>
      <c r="X6" s="966"/>
      <c r="Y6" s="966"/>
      <c r="Z6" s="966"/>
    </row>
    <row r="7" spans="1:26" ht="18" customHeight="1" x14ac:dyDescent="0.25"/>
    <row r="8" spans="1:26" ht="18" customHeight="1" thickBot="1" x14ac:dyDescent="0.3">
      <c r="A8" t="s">
        <v>363</v>
      </c>
      <c r="E8" t="s">
        <v>364</v>
      </c>
      <c r="F8" s="967">
        <f>Draft!AB1</f>
        <v>0</v>
      </c>
      <c r="G8" s="967"/>
      <c r="H8" s="967"/>
      <c r="I8" s="967"/>
      <c r="J8" s="967"/>
      <c r="K8" s="967"/>
      <c r="L8" s="967"/>
      <c r="M8" s="967"/>
      <c r="N8" s="967"/>
      <c r="O8" s="967"/>
      <c r="P8" s="967"/>
      <c r="Q8" s="967"/>
      <c r="R8" s="967"/>
      <c r="S8" s="967"/>
      <c r="T8" s="198"/>
      <c r="U8" s="198"/>
      <c r="W8" s="196"/>
    </row>
    <row r="9" spans="1:26" ht="18" customHeight="1" thickBot="1" x14ac:dyDescent="0.3">
      <c r="A9" t="s">
        <v>251</v>
      </c>
      <c r="E9" t="s">
        <v>364</v>
      </c>
      <c r="F9" s="968">
        <f>Draft!AS2</f>
        <v>0</v>
      </c>
      <c r="G9" s="968"/>
      <c r="H9" s="968"/>
      <c r="I9" s="968"/>
      <c r="J9" s="968"/>
      <c r="K9" s="968"/>
      <c r="L9" s="968"/>
      <c r="M9" s="968"/>
      <c r="N9" s="968"/>
      <c r="O9" s="968"/>
      <c r="P9" s="968"/>
      <c r="Q9" s="968"/>
      <c r="R9" s="968"/>
      <c r="S9" s="968"/>
      <c r="T9" s="199"/>
      <c r="U9" s="199"/>
      <c r="W9" s="196"/>
    </row>
    <row r="10" spans="1:26" ht="18" customHeight="1" thickBot="1" x14ac:dyDescent="0.3">
      <c r="A10" t="s">
        <v>268</v>
      </c>
      <c r="E10" t="s">
        <v>364</v>
      </c>
      <c r="F10" s="964" t="s">
        <v>393</v>
      </c>
      <c r="G10" s="969"/>
      <c r="H10" s="969"/>
      <c r="I10" s="969"/>
      <c r="J10" s="969"/>
      <c r="K10" s="969"/>
      <c r="L10" s="969"/>
      <c r="M10" s="969"/>
      <c r="N10" s="969"/>
      <c r="O10" s="969"/>
      <c r="P10" s="969"/>
      <c r="Q10" s="969"/>
      <c r="R10" s="969"/>
      <c r="S10" s="969"/>
      <c r="T10" s="199"/>
      <c r="U10" s="199"/>
      <c r="W10" s="196"/>
    </row>
    <row r="11" spans="1:26" ht="18" customHeight="1" thickBot="1" x14ac:dyDescent="0.3">
      <c r="A11" t="s">
        <v>365</v>
      </c>
      <c r="E11" t="s">
        <v>364</v>
      </c>
      <c r="F11" s="964" t="s">
        <v>408</v>
      </c>
      <c r="G11" s="969"/>
      <c r="H11" s="969"/>
      <c r="I11" s="969"/>
      <c r="J11" s="969"/>
      <c r="K11" s="969"/>
      <c r="L11" s="969"/>
      <c r="M11" s="969"/>
      <c r="N11" s="969"/>
      <c r="O11" s="969"/>
      <c r="P11" s="969"/>
      <c r="Q11" s="969"/>
      <c r="R11" s="969"/>
      <c r="S11" s="969"/>
      <c r="T11" s="199"/>
      <c r="U11" s="199"/>
      <c r="W11" s="196"/>
    </row>
    <row r="12" spans="1:26" ht="18" customHeight="1" thickBot="1" x14ac:dyDescent="0.3">
      <c r="A12" s="184" t="s">
        <v>366</v>
      </c>
      <c r="E12" t="s">
        <v>364</v>
      </c>
      <c r="F12" s="964" t="s">
        <v>410</v>
      </c>
      <c r="G12" s="965"/>
      <c r="H12" s="965"/>
      <c r="I12" s="965"/>
      <c r="J12" s="965"/>
      <c r="K12" s="965"/>
      <c r="L12" s="965"/>
      <c r="M12" s="965"/>
      <c r="N12" s="965"/>
      <c r="O12" s="965"/>
      <c r="P12" s="965"/>
      <c r="Q12" s="965"/>
      <c r="R12" s="965"/>
      <c r="S12" s="965"/>
      <c r="T12" s="965"/>
      <c r="U12" s="965"/>
      <c r="W12" s="196"/>
    </row>
    <row r="13" spans="1:26" ht="18" customHeight="1" thickBot="1" x14ac:dyDescent="0.3">
      <c r="A13" t="s">
        <v>367</v>
      </c>
      <c r="E13" t="s">
        <v>364</v>
      </c>
      <c r="F13" s="260" t="s">
        <v>411</v>
      </c>
      <c r="G13" s="171"/>
      <c r="H13" s="171"/>
      <c r="I13" s="171"/>
      <c r="J13" s="171"/>
      <c r="K13" s="171"/>
      <c r="L13" s="171"/>
      <c r="M13" s="171"/>
      <c r="N13" s="171"/>
      <c r="O13" s="171"/>
      <c r="P13" s="171"/>
      <c r="Q13" s="171"/>
      <c r="R13" s="171"/>
      <c r="S13" s="171"/>
      <c r="T13" s="199"/>
      <c r="U13" s="199"/>
      <c r="W13" s="196"/>
    </row>
    <row r="14" spans="1:26" ht="18" customHeight="1" x14ac:dyDescent="0.25"/>
    <row r="15" spans="1:26" ht="18" customHeight="1" x14ac:dyDescent="0.25">
      <c r="A15" s="200" t="s">
        <v>388</v>
      </c>
      <c r="B15" s="254" t="s">
        <v>412</v>
      </c>
      <c r="D15" s="200"/>
      <c r="F15" s="196"/>
      <c r="G15" s="196"/>
      <c r="H15" s="196"/>
      <c r="I15" s="196"/>
      <c r="J15" s="196"/>
      <c r="K15" s="196"/>
      <c r="L15" s="196"/>
      <c r="M15" s="196"/>
      <c r="N15" s="196"/>
      <c r="O15" s="196"/>
      <c r="P15" s="196"/>
      <c r="Q15" s="196"/>
      <c r="R15" s="196"/>
      <c r="S15" s="196"/>
    </row>
    <row r="16" spans="1:26" ht="18" customHeight="1" x14ac:dyDescent="0.25">
      <c r="B16" s="201"/>
      <c r="F16" s="196"/>
      <c r="G16" s="196"/>
      <c r="H16" s="196"/>
      <c r="I16" s="196"/>
      <c r="J16" s="196"/>
      <c r="K16" s="196"/>
      <c r="L16" s="196"/>
      <c r="M16" s="196"/>
      <c r="N16" s="196"/>
      <c r="O16" s="196"/>
      <c r="P16" s="196"/>
      <c r="Q16" s="196"/>
      <c r="R16" s="196"/>
      <c r="S16" s="196"/>
    </row>
    <row r="17" spans="1:878" ht="18" customHeight="1" x14ac:dyDescent="0.25"/>
    <row r="18" spans="1:878" ht="18" customHeight="1" x14ac:dyDescent="0.25">
      <c r="A18" t="s">
        <v>389</v>
      </c>
    </row>
    <row r="19" spans="1:878" ht="18" customHeight="1" x14ac:dyDescent="0.25">
      <c r="A19" t="s">
        <v>368</v>
      </c>
    </row>
    <row r="20" spans="1:878" ht="18" customHeight="1" x14ac:dyDescent="0.25">
      <c r="A20" s="200" t="s">
        <v>369</v>
      </c>
    </row>
    <row r="21" spans="1:878" ht="18" customHeight="1" x14ac:dyDescent="0.25">
      <c r="A21" s="200"/>
    </row>
    <row r="22" spans="1:878" ht="18" customHeight="1" thickBot="1" x14ac:dyDescent="0.3">
      <c r="T22" s="202"/>
      <c r="U22" s="202"/>
      <c r="V22" s="202"/>
      <c r="W22" s="202"/>
      <c r="X22" s="202"/>
      <c r="Y22" s="202"/>
      <c r="Z22" s="203"/>
    </row>
    <row r="23" spans="1:878" ht="18" customHeight="1" thickBot="1" x14ac:dyDescent="0.3">
      <c r="A23" s="970">
        <f>Draft!AB2</f>
        <v>0</v>
      </c>
      <c r="B23" s="971"/>
      <c r="C23" s="971"/>
      <c r="D23" s="971"/>
      <c r="E23" s="971"/>
      <c r="F23" s="971"/>
      <c r="G23" s="971"/>
      <c r="H23" s="971"/>
      <c r="I23" s="971"/>
      <c r="J23" s="971"/>
      <c r="K23" s="971"/>
      <c r="L23" s="971"/>
      <c r="M23" s="971"/>
      <c r="N23" s="971"/>
      <c r="O23" s="971"/>
      <c r="P23" s="971"/>
      <c r="Q23" s="971"/>
      <c r="R23" s="971"/>
      <c r="S23" s="972"/>
      <c r="AK23" s="330"/>
      <c r="AL23" s="330"/>
      <c r="AM23" s="330"/>
      <c r="AN23" s="330"/>
      <c r="AO23" s="330"/>
      <c r="AP23" s="330"/>
      <c r="AQ23" s="330"/>
      <c r="AR23" s="330"/>
    </row>
    <row r="24" spans="1:878" ht="18" customHeight="1" x14ac:dyDescent="0.25">
      <c r="A24" s="35" t="s">
        <v>370</v>
      </c>
      <c r="B24" s="204"/>
      <c r="C24" s="204"/>
      <c r="D24" s="204"/>
      <c r="E24" s="204"/>
      <c r="F24" s="204"/>
      <c r="G24" s="204"/>
      <c r="H24" s="204"/>
      <c r="I24" s="204"/>
      <c r="J24" s="973">
        <v>6000</v>
      </c>
      <c r="K24" s="974"/>
      <c r="L24" s="974"/>
      <c r="M24" s="974"/>
      <c r="N24" s="974"/>
      <c r="O24" s="974"/>
      <c r="P24" s="974"/>
      <c r="Q24" s="974"/>
      <c r="R24" s="974"/>
      <c r="S24" s="205" t="s">
        <v>371</v>
      </c>
      <c r="AK24" s="975"/>
      <c r="AL24" s="975"/>
      <c r="AM24" s="975"/>
      <c r="AN24" s="975"/>
      <c r="AO24" s="975"/>
      <c r="AP24" s="975"/>
      <c r="AQ24" s="975"/>
      <c r="AR24" s="975"/>
    </row>
    <row r="25" spans="1:878" ht="18" customHeight="1" x14ac:dyDescent="0.25">
      <c r="A25" s="35" t="s">
        <v>391</v>
      </c>
      <c r="B25" s="5"/>
      <c r="C25" s="5"/>
      <c r="D25" s="5"/>
      <c r="E25" s="5"/>
      <c r="F25" s="5"/>
      <c r="G25" s="5"/>
      <c r="H25" s="5"/>
      <c r="I25" s="5"/>
      <c r="J25" s="976">
        <v>6069.22</v>
      </c>
      <c r="K25" s="977"/>
      <c r="L25" s="977"/>
      <c r="M25" s="977"/>
      <c r="N25" s="977"/>
      <c r="O25" s="977"/>
      <c r="P25" s="977"/>
      <c r="Q25" s="977"/>
      <c r="R25" s="977"/>
      <c r="S25" s="205" t="s">
        <v>371</v>
      </c>
      <c r="AK25" s="975"/>
      <c r="AL25" s="975"/>
      <c r="AM25" s="975"/>
      <c r="AN25" s="975"/>
      <c r="AO25" s="975"/>
      <c r="AP25" s="975"/>
      <c r="AQ25" s="975"/>
      <c r="AR25" s="975"/>
    </row>
    <row r="26" spans="1:878" ht="18" customHeight="1" x14ac:dyDescent="0.25">
      <c r="A26" s="194" t="s">
        <v>372</v>
      </c>
      <c r="B26" s="206"/>
      <c r="C26" s="206"/>
      <c r="D26" s="206"/>
      <c r="E26" s="206"/>
      <c r="F26" s="206"/>
      <c r="G26" s="206"/>
      <c r="H26" s="206"/>
      <c r="I26" s="206"/>
      <c r="J26" s="979">
        <f>+J25-J24</f>
        <v>69.220000000000255</v>
      </c>
      <c r="K26" s="980"/>
      <c r="L26" s="980"/>
      <c r="M26" s="980"/>
      <c r="N26" s="980"/>
      <c r="O26" s="980"/>
      <c r="P26" s="980"/>
      <c r="Q26" s="980"/>
      <c r="R26" s="980"/>
      <c r="S26" s="207" t="s">
        <v>371</v>
      </c>
    </row>
    <row r="27" spans="1:878" ht="18" customHeight="1" x14ac:dyDescent="0.25">
      <c r="A27" s="35" t="s">
        <v>373</v>
      </c>
      <c r="B27" s="206"/>
      <c r="C27" s="206"/>
      <c r="D27" s="206"/>
      <c r="E27" s="206"/>
      <c r="F27" s="206"/>
      <c r="G27" s="206"/>
      <c r="H27" s="206"/>
      <c r="I27" s="206"/>
      <c r="J27" s="981">
        <f>+J26/J24</f>
        <v>1.1536666666666709E-2</v>
      </c>
      <c r="K27" s="982"/>
      <c r="L27" s="982"/>
      <c r="M27" s="982"/>
      <c r="N27" s="982"/>
      <c r="O27" s="982"/>
      <c r="P27" s="982"/>
      <c r="Q27" s="982"/>
      <c r="R27" s="982"/>
      <c r="S27" s="207" t="s">
        <v>371</v>
      </c>
      <c r="AK27" s="983"/>
      <c r="AL27" s="983"/>
      <c r="AM27" s="983"/>
      <c r="AN27" s="983"/>
      <c r="AO27" s="983"/>
      <c r="AP27" s="983"/>
      <c r="AQ27" s="983"/>
      <c r="AR27" s="983"/>
    </row>
    <row r="28" spans="1:878" s="198" customFormat="1" ht="18" customHeight="1" thickBot="1" x14ac:dyDescent="0.3">
      <c r="A28" s="29"/>
      <c r="B28" s="24"/>
      <c r="C28" s="24"/>
      <c r="D28" s="24"/>
      <c r="E28" s="24"/>
      <c r="F28" s="24"/>
      <c r="G28" s="24"/>
      <c r="H28" s="24"/>
      <c r="I28" s="24"/>
      <c r="J28" s="984"/>
      <c r="K28" s="985"/>
      <c r="L28" s="985"/>
      <c r="M28" s="985"/>
      <c r="N28" s="985"/>
      <c r="O28" s="985"/>
      <c r="P28" s="985"/>
      <c r="Q28" s="985"/>
      <c r="R28" s="985"/>
      <c r="S28" s="200"/>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86"/>
      <c r="K29" s="986"/>
      <c r="L29" s="986"/>
      <c r="M29" s="986"/>
      <c r="N29" s="986"/>
      <c r="O29" s="986"/>
      <c r="P29" s="986"/>
      <c r="Q29" s="986"/>
      <c r="R29" s="986"/>
      <c r="S29" s="200"/>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8"/>
      <c r="B35" s="198"/>
      <c r="C35" s="198"/>
      <c r="D35" s="198"/>
      <c r="E35" s="198"/>
      <c r="F35" s="198"/>
      <c r="G35" s="198"/>
      <c r="H35" s="198"/>
      <c r="I35" s="198"/>
      <c r="J35" s="198"/>
      <c r="K35" s="198"/>
      <c r="L35" s="198"/>
      <c r="M35" s="198"/>
      <c r="Q35" s="198"/>
      <c r="R35" s="208"/>
      <c r="S35" s="198"/>
      <c r="T35" s="198"/>
      <c r="U35" s="198"/>
      <c r="V35" s="198"/>
      <c r="W35" s="198"/>
      <c r="X35" s="198"/>
      <c r="Y35" s="198"/>
      <c r="Z35" s="198"/>
    </row>
    <row r="36" spans="1:26" ht="18" customHeight="1" x14ac:dyDescent="0.25">
      <c r="A36" s="987" t="s">
        <v>377</v>
      </c>
      <c r="B36" s="987"/>
      <c r="C36" s="987"/>
      <c r="D36" s="987"/>
      <c r="E36" s="987"/>
      <c r="F36" s="987"/>
      <c r="G36" s="987"/>
      <c r="H36" s="987"/>
      <c r="I36" s="987"/>
      <c r="J36" s="987"/>
      <c r="K36" s="987"/>
      <c r="L36" s="987"/>
      <c r="M36" s="987"/>
      <c r="R36" s="988" t="s">
        <v>378</v>
      </c>
      <c r="S36" s="988"/>
      <c r="T36" s="988"/>
      <c r="U36" s="988"/>
      <c r="V36" s="988"/>
      <c r="W36" s="988"/>
      <c r="X36" s="988"/>
      <c r="Y36" s="988"/>
      <c r="Z36" s="988"/>
    </row>
    <row r="37" spans="1:26" ht="18" customHeight="1" x14ac:dyDescent="0.25"/>
    <row r="38" spans="1:26" ht="18" customHeight="1" x14ac:dyDescent="0.25"/>
    <row r="39" spans="1:26" ht="18" customHeight="1" thickBot="1" x14ac:dyDescent="0.3">
      <c r="A39" s="209"/>
      <c r="B39" s="195"/>
      <c r="C39" s="195"/>
      <c r="D39" s="195"/>
      <c r="E39" s="195"/>
      <c r="F39" s="195"/>
      <c r="G39" s="195"/>
      <c r="H39" s="195"/>
      <c r="I39" s="195"/>
      <c r="J39" s="195"/>
      <c r="K39" s="195"/>
      <c r="L39" s="195"/>
      <c r="M39" s="195"/>
      <c r="Q39" s="198"/>
      <c r="R39" s="209"/>
      <c r="S39" s="209"/>
      <c r="T39" s="209"/>
      <c r="U39" s="209"/>
      <c r="V39" s="209"/>
      <c r="W39" s="209"/>
      <c r="X39" s="209"/>
      <c r="Y39" s="209"/>
      <c r="Z39" s="209"/>
    </row>
    <row r="40" spans="1:26" ht="18" customHeight="1" x14ac:dyDescent="0.25">
      <c r="A40" s="989" t="s">
        <v>394</v>
      </c>
      <c r="B40" s="987"/>
      <c r="C40" s="987"/>
      <c r="D40" s="987"/>
      <c r="E40" s="987"/>
      <c r="F40" s="987"/>
      <c r="G40" s="987"/>
      <c r="H40" s="987"/>
      <c r="I40" s="987"/>
      <c r="J40" s="987"/>
      <c r="K40" s="987"/>
      <c r="L40" s="987"/>
      <c r="M40" s="987"/>
      <c r="R40" s="988" t="s">
        <v>379</v>
      </c>
      <c r="S40" s="988"/>
      <c r="T40" s="988"/>
      <c r="U40" s="988"/>
      <c r="V40" s="988"/>
      <c r="W40" s="988"/>
      <c r="X40" s="988"/>
      <c r="Y40" s="988"/>
      <c r="Z40" s="988"/>
    </row>
    <row r="41" spans="1:26" ht="18" customHeight="1" x14ac:dyDescent="0.25"/>
    <row r="42" spans="1:26" ht="18" customHeight="1" x14ac:dyDescent="0.25"/>
    <row r="43" spans="1:26" ht="18" customHeight="1" x14ac:dyDescent="0.25"/>
    <row r="44" spans="1:26" ht="18" customHeight="1" x14ac:dyDescent="0.25">
      <c r="A44" s="196"/>
    </row>
    <row r="45" spans="1:26" ht="18" customHeight="1" x14ac:dyDescent="0.25">
      <c r="N45" s="990"/>
      <c r="O45" s="990"/>
      <c r="P45" s="990"/>
      <c r="Q45" s="990"/>
      <c r="W45" s="990"/>
      <c r="X45" s="990"/>
      <c r="Y45" s="990"/>
    </row>
    <row r="46" spans="1:26" ht="18" customHeight="1" x14ac:dyDescent="0.25">
      <c r="A46" s="184"/>
      <c r="W46" s="196"/>
      <c r="X46" s="196"/>
      <c r="Y46" s="196"/>
    </row>
    <row r="47" spans="1:26" ht="18" customHeight="1" x14ac:dyDescent="0.25">
      <c r="A47" s="184"/>
      <c r="W47" s="196"/>
      <c r="X47" s="196"/>
      <c r="Y47" s="196"/>
    </row>
    <row r="48" spans="1:26" ht="18" customHeight="1" x14ac:dyDescent="0.25">
      <c r="A48" s="184"/>
      <c r="W48" s="978"/>
      <c r="X48" s="978"/>
      <c r="Y48" s="196"/>
    </row>
    <row r="49" spans="1:25" ht="18" customHeight="1" x14ac:dyDescent="0.25">
      <c r="A49" s="184"/>
      <c r="W49" s="978"/>
      <c r="X49" s="978"/>
      <c r="Y49" s="196"/>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W49:X49"/>
    <mergeCell ref="J26:R26"/>
    <mergeCell ref="J27:R27"/>
    <mergeCell ref="AK27:AR27"/>
    <mergeCell ref="J28:R28"/>
    <mergeCell ref="J29:R29"/>
    <mergeCell ref="A36:M36"/>
    <mergeCell ref="R36:Z36"/>
    <mergeCell ref="A40:M40"/>
    <mergeCell ref="R40:Z40"/>
    <mergeCell ref="N45:Q45"/>
    <mergeCell ref="W45:Y45"/>
    <mergeCell ref="W48:X48"/>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tabSelected="1"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6"/>
    </row>
    <row r="4" spans="1:26" ht="18" customHeight="1" x14ac:dyDescent="0.25">
      <c r="W4" s="197"/>
      <c r="X4" s="196"/>
      <c r="Y4" s="196"/>
      <c r="Z4" s="196"/>
    </row>
    <row r="5" spans="1:26" ht="18" customHeight="1" x14ac:dyDescent="0.25">
      <c r="W5" s="197"/>
      <c r="X5" s="196"/>
      <c r="Y5" s="196"/>
    </row>
    <row r="6" spans="1:26" ht="18" customHeight="1" x14ac:dyDescent="0.3">
      <c r="A6" s="966" t="s">
        <v>362</v>
      </c>
      <c r="B6" s="966"/>
      <c r="C6" s="966"/>
      <c r="D6" s="966"/>
      <c r="E6" s="966"/>
      <c r="F6" s="966"/>
      <c r="G6" s="966"/>
      <c r="H6" s="966"/>
      <c r="I6" s="966"/>
      <c r="J6" s="966"/>
      <c r="K6" s="966"/>
      <c r="L6" s="966"/>
      <c r="M6" s="966"/>
      <c r="N6" s="966"/>
      <c r="O6" s="966"/>
      <c r="P6" s="966"/>
      <c r="Q6" s="966"/>
      <c r="R6" s="966"/>
      <c r="S6" s="966"/>
      <c r="T6" s="966"/>
      <c r="U6" s="966"/>
      <c r="V6" s="966"/>
      <c r="W6" s="966"/>
      <c r="X6" s="966"/>
      <c r="Y6" s="966"/>
      <c r="Z6" s="966"/>
    </row>
    <row r="7" spans="1:26" ht="18" customHeight="1" x14ac:dyDescent="0.25"/>
    <row r="8" spans="1:26" ht="18" customHeight="1" thickBot="1" x14ac:dyDescent="0.3">
      <c r="A8" t="s">
        <v>363</v>
      </c>
      <c r="E8" t="s">
        <v>364</v>
      </c>
      <c r="F8" s="967">
        <f>Draft!AB1</f>
        <v>0</v>
      </c>
      <c r="G8" s="967"/>
      <c r="H8" s="967"/>
      <c r="I8" s="967"/>
      <c r="J8" s="967"/>
      <c r="K8" s="967"/>
      <c r="L8" s="967"/>
      <c r="M8" s="967"/>
      <c r="N8" s="967"/>
      <c r="O8" s="967"/>
      <c r="P8" s="967"/>
      <c r="Q8" s="967"/>
      <c r="R8" s="967"/>
      <c r="S8" s="967"/>
      <c r="T8" s="198"/>
      <c r="U8" s="198"/>
      <c r="W8" s="196"/>
    </row>
    <row r="9" spans="1:26" ht="18" customHeight="1" thickBot="1" x14ac:dyDescent="0.3">
      <c r="A9" t="s">
        <v>251</v>
      </c>
      <c r="E9" t="s">
        <v>364</v>
      </c>
      <c r="F9" s="968">
        <f>Draft!AS2</f>
        <v>0</v>
      </c>
      <c r="G9" s="968"/>
      <c r="H9" s="968"/>
      <c r="I9" s="968"/>
      <c r="J9" s="968"/>
      <c r="K9" s="968"/>
      <c r="L9" s="968"/>
      <c r="M9" s="968"/>
      <c r="N9" s="968"/>
      <c r="O9" s="968"/>
      <c r="P9" s="968"/>
      <c r="Q9" s="968"/>
      <c r="R9" s="968"/>
      <c r="S9" s="968"/>
      <c r="T9" s="199"/>
      <c r="U9" s="199"/>
      <c r="W9" s="196"/>
    </row>
    <row r="10" spans="1:26" ht="18" customHeight="1" thickBot="1" x14ac:dyDescent="0.3">
      <c r="A10" t="s">
        <v>268</v>
      </c>
      <c r="E10" t="s">
        <v>364</v>
      </c>
      <c r="F10" s="964" t="s">
        <v>393</v>
      </c>
      <c r="G10" s="969"/>
      <c r="H10" s="969"/>
      <c r="I10" s="969"/>
      <c r="J10" s="969"/>
      <c r="K10" s="969"/>
      <c r="L10" s="969"/>
      <c r="M10" s="969"/>
      <c r="N10" s="969"/>
      <c r="O10" s="969"/>
      <c r="P10" s="969"/>
      <c r="Q10" s="969"/>
      <c r="R10" s="969"/>
      <c r="S10" s="969"/>
      <c r="T10" s="199"/>
      <c r="U10" s="199"/>
      <c r="W10" s="196"/>
    </row>
    <row r="11" spans="1:26" ht="18" customHeight="1" thickBot="1" x14ac:dyDescent="0.3">
      <c r="A11" t="s">
        <v>365</v>
      </c>
      <c r="E11" t="s">
        <v>364</v>
      </c>
      <c r="F11" s="964" t="s">
        <v>408</v>
      </c>
      <c r="G11" s="969"/>
      <c r="H11" s="969"/>
      <c r="I11" s="969"/>
      <c r="J11" s="969"/>
      <c r="K11" s="969"/>
      <c r="L11" s="969"/>
      <c r="M11" s="969"/>
      <c r="N11" s="969"/>
      <c r="O11" s="969"/>
      <c r="P11" s="969"/>
      <c r="Q11" s="969"/>
      <c r="R11" s="969"/>
      <c r="S11" s="969"/>
      <c r="T11" s="199"/>
      <c r="U11" s="199"/>
      <c r="W11" s="196"/>
    </row>
    <row r="12" spans="1:26" ht="18" customHeight="1" thickBot="1" x14ac:dyDescent="0.3">
      <c r="A12" s="184" t="s">
        <v>366</v>
      </c>
      <c r="E12" t="s">
        <v>364</v>
      </c>
      <c r="F12" s="992">
        <f>'Note of Protest SHORE SCALE '!A23</f>
        <v>0</v>
      </c>
      <c r="G12" s="969"/>
      <c r="H12" s="969"/>
      <c r="I12" s="969"/>
      <c r="J12" s="969"/>
      <c r="K12" s="969"/>
      <c r="L12" s="969"/>
      <c r="M12" s="969"/>
      <c r="N12" s="969"/>
      <c r="O12" s="969"/>
      <c r="P12" s="969"/>
      <c r="Q12" s="969"/>
      <c r="R12" s="969"/>
      <c r="S12" s="969"/>
      <c r="T12" s="969"/>
      <c r="U12" s="969"/>
      <c r="W12" s="196"/>
    </row>
    <row r="13" spans="1:26" ht="18" customHeight="1" thickBot="1" x14ac:dyDescent="0.3">
      <c r="A13" t="s">
        <v>367</v>
      </c>
      <c r="E13" t="s">
        <v>364</v>
      </c>
      <c r="F13" s="969" t="str">
        <f>'Note of Protest SHORE SCALE '!F13</f>
        <v>NOMBRE EL OWNER</v>
      </c>
      <c r="G13" s="969"/>
      <c r="H13" s="969"/>
      <c r="I13" s="969"/>
      <c r="J13" s="969"/>
      <c r="K13" s="969"/>
      <c r="L13" s="969"/>
      <c r="M13" s="969"/>
      <c r="N13" s="969"/>
      <c r="O13" s="969"/>
      <c r="P13" s="969"/>
      <c r="Q13" s="969"/>
      <c r="R13" s="969"/>
      <c r="S13" s="969"/>
      <c r="T13" s="969"/>
      <c r="U13" s="969"/>
      <c r="W13" s="196"/>
    </row>
    <row r="14" spans="1:26" ht="18" customHeight="1" x14ac:dyDescent="0.25"/>
    <row r="15" spans="1:26" ht="18" customHeight="1" x14ac:dyDescent="0.25">
      <c r="A15" s="200" t="s">
        <v>388</v>
      </c>
      <c r="B15" s="254" t="str">
        <f>'Note of Protest SHORE SCALE '!B15</f>
        <v>CARGUILL</v>
      </c>
      <c r="D15" s="200"/>
      <c r="F15" s="196"/>
      <c r="G15" s="196"/>
      <c r="H15" s="196"/>
      <c r="I15" s="196"/>
      <c r="J15" s="196"/>
      <c r="K15" s="196"/>
      <c r="L15" s="196"/>
      <c r="M15" s="196"/>
      <c r="N15" s="196"/>
      <c r="O15" s="196"/>
      <c r="P15" s="196"/>
      <c r="Q15" s="196"/>
      <c r="R15" s="196"/>
      <c r="S15" s="196"/>
    </row>
    <row r="16" spans="1:26" ht="18" customHeight="1" x14ac:dyDescent="0.25">
      <c r="B16" s="201"/>
      <c r="F16" s="196"/>
      <c r="G16" s="196"/>
      <c r="H16" s="196"/>
      <c r="I16" s="196"/>
      <c r="J16" s="196"/>
      <c r="K16" s="196"/>
      <c r="L16" s="196"/>
      <c r="M16" s="196"/>
      <c r="N16" s="196"/>
      <c r="O16" s="196"/>
      <c r="P16" s="196"/>
      <c r="Q16" s="196"/>
      <c r="R16" s="196"/>
      <c r="S16" s="196"/>
    </row>
    <row r="17" spans="1:878" ht="18" customHeight="1" x14ac:dyDescent="0.25"/>
    <row r="18" spans="1:878" ht="18" customHeight="1" x14ac:dyDescent="0.25">
      <c r="A18" t="s">
        <v>389</v>
      </c>
    </row>
    <row r="19" spans="1:878" ht="18" customHeight="1" x14ac:dyDescent="0.25">
      <c r="A19" t="s">
        <v>368</v>
      </c>
    </row>
    <row r="20" spans="1:878" ht="18" customHeight="1" x14ac:dyDescent="0.25">
      <c r="A20" s="200" t="s">
        <v>369</v>
      </c>
    </row>
    <row r="21" spans="1:878" ht="18" customHeight="1" x14ac:dyDescent="0.25">
      <c r="A21" s="200"/>
    </row>
    <row r="22" spans="1:878" ht="18" customHeight="1" thickBot="1" x14ac:dyDescent="0.3">
      <c r="T22" s="202"/>
      <c r="U22" s="202"/>
      <c r="V22" s="202"/>
      <c r="W22" s="202"/>
      <c r="X22" s="202"/>
      <c r="Y22" s="202"/>
      <c r="Z22" s="203"/>
    </row>
    <row r="23" spans="1:878" ht="18" customHeight="1" thickBot="1" x14ac:dyDescent="0.3">
      <c r="A23" s="970">
        <f>Draft!AB2</f>
        <v>0</v>
      </c>
      <c r="B23" s="971"/>
      <c r="C23" s="971"/>
      <c r="D23" s="971"/>
      <c r="E23" s="971"/>
      <c r="F23" s="971"/>
      <c r="G23" s="971"/>
      <c r="H23" s="971"/>
      <c r="I23" s="971"/>
      <c r="J23" s="971"/>
      <c r="K23" s="971"/>
      <c r="L23" s="971"/>
      <c r="M23" s="971"/>
      <c r="N23" s="971"/>
      <c r="O23" s="971"/>
      <c r="P23" s="971"/>
      <c r="Q23" s="971"/>
      <c r="R23" s="971"/>
      <c r="S23" s="972"/>
      <c r="AK23" s="330"/>
      <c r="AL23" s="330"/>
      <c r="AM23" s="330"/>
      <c r="AN23" s="330"/>
      <c r="AO23" s="330"/>
      <c r="AP23" s="330"/>
      <c r="AQ23" s="330"/>
      <c r="AR23" s="330"/>
    </row>
    <row r="24" spans="1:878" ht="18" customHeight="1" x14ac:dyDescent="0.25">
      <c r="A24" s="35" t="s">
        <v>370</v>
      </c>
      <c r="B24" s="204"/>
      <c r="C24" s="204"/>
      <c r="D24" s="204"/>
      <c r="E24" s="204"/>
      <c r="F24" s="204"/>
      <c r="G24" s="204"/>
      <c r="H24" s="204"/>
      <c r="I24" s="204"/>
      <c r="J24" s="973">
        <f>Draft!AG35</f>
        <v>0</v>
      </c>
      <c r="K24" s="974"/>
      <c r="L24" s="974"/>
      <c r="M24" s="974"/>
      <c r="N24" s="974"/>
      <c r="O24" s="974"/>
      <c r="P24" s="974"/>
      <c r="Q24" s="974"/>
      <c r="R24" s="974"/>
      <c r="S24" s="205" t="s">
        <v>371</v>
      </c>
      <c r="AK24" s="975"/>
      <c r="AL24" s="975"/>
      <c r="AM24" s="975"/>
      <c r="AN24" s="975"/>
      <c r="AO24" s="975"/>
      <c r="AP24" s="975"/>
      <c r="AQ24" s="975"/>
      <c r="AR24" s="975"/>
    </row>
    <row r="25" spans="1:878" ht="18" customHeight="1" x14ac:dyDescent="0.25">
      <c r="A25" s="35" t="s">
        <v>390</v>
      </c>
      <c r="B25" s="5"/>
      <c r="C25" s="5"/>
      <c r="D25" s="5"/>
      <c r="E25" s="5"/>
      <c r="F25" s="5"/>
      <c r="G25" s="5"/>
      <c r="H25" s="5"/>
      <c r="I25" s="5"/>
      <c r="J25" s="976" t="e">
        <f>Draft!AG34</f>
        <v>#DIV/0!</v>
      </c>
      <c r="K25" s="977"/>
      <c r="L25" s="977"/>
      <c r="M25" s="977"/>
      <c r="N25" s="977"/>
      <c r="O25" s="977"/>
      <c r="P25" s="977"/>
      <c r="Q25" s="977"/>
      <c r="R25" s="977"/>
      <c r="S25" s="205" t="s">
        <v>371</v>
      </c>
      <c r="AK25" s="975"/>
      <c r="AL25" s="975"/>
      <c r="AM25" s="975"/>
      <c r="AN25" s="975"/>
      <c r="AO25" s="975"/>
      <c r="AP25" s="975"/>
      <c r="AQ25" s="975"/>
      <c r="AR25" s="975"/>
    </row>
    <row r="26" spans="1:878" ht="18" customHeight="1" x14ac:dyDescent="0.25">
      <c r="A26" s="194" t="s">
        <v>372</v>
      </c>
      <c r="B26" s="206"/>
      <c r="C26" s="206"/>
      <c r="D26" s="206"/>
      <c r="E26" s="206"/>
      <c r="F26" s="206"/>
      <c r="G26" s="206"/>
      <c r="H26" s="206"/>
      <c r="I26" s="206"/>
      <c r="J26" s="979" t="e">
        <f>+J25-J24</f>
        <v>#DIV/0!</v>
      </c>
      <c r="K26" s="980"/>
      <c r="L26" s="980"/>
      <c r="M26" s="980"/>
      <c r="N26" s="980"/>
      <c r="O26" s="980"/>
      <c r="P26" s="980"/>
      <c r="Q26" s="980"/>
      <c r="R26" s="980"/>
      <c r="S26" s="207" t="s">
        <v>371</v>
      </c>
    </row>
    <row r="27" spans="1:878" ht="18" customHeight="1" x14ac:dyDescent="0.25">
      <c r="A27" s="35" t="s">
        <v>373</v>
      </c>
      <c r="B27" s="206"/>
      <c r="C27" s="206"/>
      <c r="D27" s="206"/>
      <c r="E27" s="206"/>
      <c r="F27" s="206"/>
      <c r="G27" s="206"/>
      <c r="H27" s="206"/>
      <c r="I27" s="206"/>
      <c r="J27" s="981" t="e">
        <f>+J26/J24</f>
        <v>#DIV/0!</v>
      </c>
      <c r="K27" s="982"/>
      <c r="L27" s="982"/>
      <c r="M27" s="982"/>
      <c r="N27" s="982"/>
      <c r="O27" s="982"/>
      <c r="P27" s="982"/>
      <c r="Q27" s="982"/>
      <c r="R27" s="982"/>
      <c r="S27" s="207" t="s">
        <v>371</v>
      </c>
      <c r="AK27" s="983"/>
      <c r="AL27" s="983"/>
      <c r="AM27" s="983"/>
      <c r="AN27" s="983"/>
      <c r="AO27" s="983"/>
      <c r="AP27" s="983"/>
      <c r="AQ27" s="983"/>
      <c r="AR27" s="983"/>
    </row>
    <row r="28" spans="1:878" s="198" customFormat="1" ht="18" customHeight="1" thickBot="1" x14ac:dyDescent="0.3">
      <c r="A28" s="29"/>
      <c r="B28" s="24"/>
      <c r="C28" s="24"/>
      <c r="D28" s="24"/>
      <c r="E28" s="24"/>
      <c r="F28" s="24"/>
      <c r="G28" s="24"/>
      <c r="H28" s="24"/>
      <c r="I28" s="24"/>
      <c r="J28" s="984"/>
      <c r="K28" s="985"/>
      <c r="L28" s="985"/>
      <c r="M28" s="985"/>
      <c r="N28" s="985"/>
      <c r="O28" s="985"/>
      <c r="P28" s="985"/>
      <c r="Q28" s="985"/>
      <c r="R28" s="985"/>
      <c r="S28" s="200"/>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86"/>
      <c r="K29" s="986"/>
      <c r="L29" s="986"/>
      <c r="M29" s="986"/>
      <c r="N29" s="986"/>
      <c r="O29" s="986"/>
      <c r="P29" s="986"/>
      <c r="Q29" s="986"/>
      <c r="R29" s="986"/>
      <c r="S29" s="200"/>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8"/>
      <c r="B35" s="198"/>
      <c r="C35" s="198"/>
      <c r="D35" s="198"/>
      <c r="E35" s="198"/>
      <c r="F35" s="198"/>
      <c r="G35" s="198"/>
      <c r="H35" s="198"/>
      <c r="I35" s="198"/>
      <c r="J35" s="198"/>
      <c r="K35" s="198"/>
      <c r="L35" s="198"/>
      <c r="M35" s="198"/>
      <c r="Q35" s="198"/>
      <c r="R35" s="991"/>
      <c r="S35" s="991"/>
      <c r="T35" s="991"/>
      <c r="U35" s="991"/>
      <c r="V35" s="991"/>
      <c r="W35" s="991"/>
      <c r="X35" s="991"/>
      <c r="Y35" s="991"/>
      <c r="Z35" s="198"/>
    </row>
    <row r="36" spans="1:26" ht="18" customHeight="1" x14ac:dyDescent="0.25">
      <c r="A36" s="987" t="s">
        <v>377</v>
      </c>
      <c r="B36" s="987"/>
      <c r="C36" s="987"/>
      <c r="D36" s="987"/>
      <c r="E36" s="987"/>
      <c r="F36" s="987"/>
      <c r="G36" s="987"/>
      <c r="H36" s="987"/>
      <c r="I36" s="987"/>
      <c r="J36" s="987"/>
      <c r="K36" s="987"/>
      <c r="L36" s="987"/>
      <c r="M36" s="987"/>
      <c r="R36" s="988" t="s">
        <v>378</v>
      </c>
      <c r="S36" s="988"/>
      <c r="T36" s="988"/>
      <c r="U36" s="988"/>
      <c r="V36" s="988"/>
      <c r="W36" s="988"/>
      <c r="X36" s="988"/>
      <c r="Y36" s="988"/>
      <c r="Z36" s="988"/>
    </row>
    <row r="37" spans="1:26" ht="18" customHeight="1" x14ac:dyDescent="0.25"/>
    <row r="38" spans="1:26" ht="18" customHeight="1" x14ac:dyDescent="0.25"/>
    <row r="39" spans="1:26" ht="18" customHeight="1" thickBot="1" x14ac:dyDescent="0.3">
      <c r="A39" s="209"/>
      <c r="B39" s="195"/>
      <c r="C39" s="195"/>
      <c r="D39" s="195"/>
      <c r="E39" s="195"/>
      <c r="F39" s="195"/>
      <c r="G39" s="195"/>
      <c r="H39" s="195"/>
      <c r="I39" s="195"/>
      <c r="J39" s="195"/>
      <c r="K39" s="195"/>
      <c r="L39" s="195"/>
      <c r="M39" s="195"/>
      <c r="Q39" s="198"/>
      <c r="R39" s="209"/>
      <c r="S39" s="209"/>
      <c r="T39" s="209"/>
      <c r="U39" s="209"/>
      <c r="V39" s="209"/>
      <c r="W39" s="209"/>
      <c r="X39" s="209"/>
      <c r="Y39" s="209"/>
      <c r="Z39" s="209"/>
    </row>
    <row r="40" spans="1:26" ht="18" customHeight="1" x14ac:dyDescent="0.25">
      <c r="A40" s="989" t="s">
        <v>394</v>
      </c>
      <c r="B40" s="987"/>
      <c r="C40" s="987"/>
      <c r="D40" s="987"/>
      <c r="E40" s="987"/>
      <c r="F40" s="987"/>
      <c r="G40" s="987"/>
      <c r="H40" s="987"/>
      <c r="I40" s="987"/>
      <c r="J40" s="987"/>
      <c r="K40" s="987"/>
      <c r="L40" s="987"/>
      <c r="M40" s="987"/>
      <c r="R40" s="988" t="s">
        <v>379</v>
      </c>
      <c r="S40" s="988"/>
      <c r="T40" s="988"/>
      <c r="U40" s="988"/>
      <c r="V40" s="988"/>
      <c r="W40" s="988"/>
      <c r="X40" s="988"/>
      <c r="Y40" s="988"/>
      <c r="Z40" s="988"/>
    </row>
    <row r="41" spans="1:26" ht="18" customHeight="1" x14ac:dyDescent="0.25"/>
    <row r="42" spans="1:26" ht="18" customHeight="1" x14ac:dyDescent="0.25"/>
    <row r="43" spans="1:26" ht="18" customHeight="1" x14ac:dyDescent="0.25"/>
    <row r="44" spans="1:26" ht="18" customHeight="1" x14ac:dyDescent="0.25">
      <c r="A44" s="196"/>
    </row>
    <row r="45" spans="1:26" ht="18" customHeight="1" x14ac:dyDescent="0.25">
      <c r="N45" s="990"/>
      <c r="O45" s="990"/>
      <c r="P45" s="990"/>
      <c r="Q45" s="990"/>
      <c r="W45" s="990"/>
      <c r="X45" s="990"/>
      <c r="Y45" s="990"/>
    </row>
    <row r="46" spans="1:26" ht="18" customHeight="1" x14ac:dyDescent="0.25">
      <c r="A46" s="184"/>
      <c r="W46" s="196"/>
      <c r="X46" s="196"/>
      <c r="Y46" s="196"/>
    </row>
    <row r="47" spans="1:26" ht="18" customHeight="1" x14ac:dyDescent="0.25">
      <c r="A47" s="184"/>
      <c r="W47" s="196"/>
      <c r="X47" s="196"/>
      <c r="Y47" s="196"/>
    </row>
    <row r="48" spans="1:26" ht="18" customHeight="1" x14ac:dyDescent="0.25">
      <c r="A48" s="184"/>
      <c r="W48" s="978"/>
      <c r="X48" s="978"/>
      <c r="Y48" s="196"/>
    </row>
    <row r="49" spans="1:25" ht="18" customHeight="1" x14ac:dyDescent="0.25">
      <c r="A49" s="184"/>
      <c r="W49" s="978"/>
      <c r="X49" s="978"/>
      <c r="Y49" s="196"/>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2:U12"/>
    <mergeCell ref="A6:Z6"/>
    <mergeCell ref="F8:S8"/>
    <mergeCell ref="F9:S9"/>
    <mergeCell ref="F10:S10"/>
    <mergeCell ref="F11:S11"/>
    <mergeCell ref="AK23:AR23"/>
    <mergeCell ref="J24:R24"/>
    <mergeCell ref="AK24:AR24"/>
    <mergeCell ref="J25:R25"/>
    <mergeCell ref="AK25:AR25"/>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ECE DRAUGHT SURVEY CODE</vt:lpstr>
      <vt:lpstr>Draught survey report</vt:lpstr>
      <vt:lpstr>ECE DRAUGHT SURVEY CODE D2</vt:lpstr>
      <vt:lpstr>D3</vt:lpstr>
      <vt:lpstr>Deductions</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2026-02-20T16:03:22Z</dcterms:modified>
</cp:coreProperties>
</file>