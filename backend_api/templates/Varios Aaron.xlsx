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templates\"/>
    </mc:Choice>
  </mc:AlternateContent>
  <xr:revisionPtr revIDLastSave="0" documentId="8_{626A8F5C-398A-4DE1-AFD0-53993CB2DCCA}" xr6:coauthVersionLast="47" xr6:coauthVersionMax="47" xr10:uidLastSave="{00000000-0000-0000-0000-000000000000}"/>
  <bookViews>
    <workbookView xWindow="-108" yWindow="-108" windowWidth="23256" windowHeight="12456" tabRatio="628" activeTab="4" xr2:uid="{B2BD2644-4EF3-4074-8D38-FAF1D655D046}"/>
  </bookViews>
  <sheets>
    <sheet name="Deudas Marzo" sheetId="1" r:id="rId1"/>
    <sheet name="Deudas " sheetId="5" state="hidden" r:id="rId2"/>
    <sheet name="Presupuesto matrimonio" sheetId="2" r:id="rId3"/>
    <sheet name="Gastos " sheetId="7" r:id="rId4"/>
    <sheet name="Luna de miel" sheetId="11" r:id="rId5"/>
    <sheet name="Sheet1" sheetId="9" state="hidden" r:id="rId6"/>
    <sheet name="Gastos casado" sheetId="6" r:id="rId7"/>
  </sheets>
  <definedNames>
    <definedName name="_xlnm._FilterDatabase" localSheetId="0" hidden="1">'Deudas Marzo'!$A$1:$I$12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P2" i="7" s="1"/>
  <c r="P28" i="7"/>
  <c r="B12" i="6" l="1"/>
  <c r="H10" i="2"/>
  <c r="B17" i="6" l="1"/>
  <c r="N5" i="7"/>
  <c r="N4" i="7"/>
  <c r="D8" i="6" l="1"/>
  <c r="D9" i="6"/>
  <c r="D13" i="6"/>
  <c r="D7" i="6"/>
  <c r="D11" i="6"/>
  <c r="D10" i="6"/>
  <c r="D3" i="6"/>
  <c r="D2" i="6"/>
  <c r="D6" i="6"/>
  <c r="D5" i="6"/>
  <c r="D12" i="6"/>
  <c r="D4" i="6"/>
  <c r="B18" i="6"/>
  <c r="B19" i="6" s="1"/>
  <c r="G3" i="7"/>
  <c r="O8" i="11" l="1"/>
  <c r="B31" i="11" l="1"/>
  <c r="G24" i="11"/>
  <c r="Q8" i="11"/>
  <c r="J24" i="11"/>
  <c r="C44" i="11"/>
  <c r="C43" i="11"/>
  <c r="C42" i="11"/>
  <c r="C41" i="11"/>
  <c r="C40" i="11"/>
  <c r="C39" i="11"/>
  <c r="H4" i="11" l="1"/>
  <c r="H12" i="11"/>
  <c r="H13" i="11"/>
  <c r="H14" i="11"/>
  <c r="H15" i="11"/>
  <c r="H16" i="11"/>
  <c r="H17" i="11"/>
  <c r="B30" i="11"/>
  <c r="H5" i="11"/>
  <c r="H21" i="11"/>
  <c r="H22" i="11"/>
  <c r="H23" i="11"/>
  <c r="H20" i="11"/>
  <c r="P7" i="11"/>
  <c r="P5" i="11"/>
  <c r="P4" i="11"/>
  <c r="P6" i="11"/>
  <c r="H24" i="11"/>
  <c r="H3" i="11"/>
  <c r="P3" i="11"/>
  <c r="P8" i="11"/>
  <c r="G10" i="1" l="1"/>
  <c r="F22" i="9" l="1"/>
  <c r="F23" i="9" s="1"/>
  <c r="E17" i="9"/>
  <c r="E23" i="9" s="1"/>
  <c r="D9" i="9"/>
  <c r="D23" i="9" s="1"/>
  <c r="B2" i="9" l="1"/>
  <c r="C2" i="9"/>
  <c r="C9" i="9" s="1"/>
  <c r="C23" i="9" s="1"/>
  <c r="B9" i="9" l="1"/>
  <c r="B23" i="9" s="1"/>
  <c r="G23" i="9" s="1"/>
  <c r="G24" i="9" s="1"/>
  <c r="C15" i="2" l="1"/>
  <c r="H5" i="2" l="1"/>
  <c r="H9" i="2"/>
  <c r="H11" i="2"/>
  <c r="H13" i="2"/>
  <c r="C14" i="2"/>
  <c r="H14" i="2" l="1"/>
  <c r="P4" i="7" s="1"/>
  <c r="D12" i="2" l="1"/>
  <c r="D13" i="2"/>
  <c r="D2" i="2"/>
  <c r="D3" i="2"/>
  <c r="D4" i="2"/>
  <c r="D5" i="2"/>
  <c r="D6" i="2"/>
  <c r="D7" i="2"/>
  <c r="D8" i="2"/>
  <c r="D9" i="2"/>
  <c r="D10" i="2"/>
  <c r="D11" i="2"/>
  <c r="F3" i="7" l="1"/>
  <c r="I3" i="7"/>
  <c r="O3" i="7" l="1"/>
  <c r="F5" i="7"/>
  <c r="I5" i="7"/>
  <c r="F4" i="7"/>
  <c r="I4" i="7"/>
  <c r="O4" i="7" l="1"/>
  <c r="O5" i="7"/>
  <c r="D12" i="5" l="1"/>
  <c r="D8" i="5"/>
  <c r="D9" i="5"/>
  <c r="D10" i="5"/>
  <c r="D11" i="5"/>
  <c r="D7" i="5"/>
  <c r="D6" i="5"/>
  <c r="D5" i="5"/>
  <c r="F5" i="5" s="1"/>
  <c r="D4" i="5"/>
  <c r="D3" i="5"/>
  <c r="D2" i="5"/>
  <c r="F2" i="5" s="1"/>
  <c r="E3" i="5" l="1"/>
  <c r="F3" i="5" s="1"/>
  <c r="E4" i="5" s="1"/>
  <c r="F4" i="5" s="1"/>
  <c r="F6" i="5" s="1"/>
  <c r="F7" i="5" s="1"/>
  <c r="F8" i="5" s="1"/>
  <c r="F9" i="5" s="1"/>
  <c r="F10" i="5" s="1"/>
  <c r="F11" i="5" s="1"/>
  <c r="F12" i="5" s="1"/>
  <c r="F13" i="5" s="1"/>
  <c r="A6" i="1" l="1"/>
  <c r="B6" i="1" l="1"/>
  <c r="F3" i="1" l="1"/>
  <c r="F4" i="1"/>
  <c r="F5" i="1"/>
  <c r="F6" i="1"/>
  <c r="F7" i="1"/>
  <c r="F8" i="1"/>
  <c r="F9" i="1"/>
  <c r="F10" i="1"/>
  <c r="A18" i="1"/>
  <c r="A19" i="1" s="1"/>
  <c r="B19" i="1" s="1"/>
  <c r="P3" i="7" l="1"/>
  <c r="P34" i="7"/>
  <c r="B32" i="11"/>
  <c r="B35" i="11"/>
  <c r="P5" i="7"/>
  <c r="P6" i="7"/>
  <c r="P11" i="7"/>
  <c r="P13" i="7"/>
  <c r="P15" i="7"/>
  <c r="P19" i="7"/>
  <c r="P29" i="7"/>
  <c r="P32" i="7"/>
  <c r="X3" i="11"/>
  <c r="X5" i="11"/>
  <c r="X7" i="11"/>
  <c r="X4" i="11"/>
  <c r="X6" i="11"/>
  <c r="X8" i="11"/>
  <c r="W9" i="11"/>
  <c r="X9" i="11"/>
</calcChain>
</file>

<file path=xl/sharedStrings.xml><?xml version="1.0" encoding="utf-8"?>
<sst xmlns="http://schemas.openxmlformats.org/spreadsheetml/2006/main" count="392" uniqueCount="242">
  <si>
    <t>Carne</t>
  </si>
  <si>
    <t>prestamo</t>
  </si>
  <si>
    <t>tarjeta bac colones</t>
  </si>
  <si>
    <t>monitor emma</t>
  </si>
  <si>
    <t>tarjeta BP</t>
  </si>
  <si>
    <t>Frio</t>
  </si>
  <si>
    <t>celular aaron</t>
  </si>
  <si>
    <t>celular luisa</t>
  </si>
  <si>
    <t>Deudas</t>
  </si>
  <si>
    <t>Verduras</t>
  </si>
  <si>
    <t>2da quincena</t>
  </si>
  <si>
    <t>Pagos mensuales</t>
  </si>
  <si>
    <t>1ra quincena</t>
  </si>
  <si>
    <t>Articulo</t>
  </si>
  <si>
    <t>Monto</t>
  </si>
  <si>
    <t>Link</t>
  </si>
  <si>
    <t>Cocina</t>
  </si>
  <si>
    <t>Refrigeradora</t>
  </si>
  <si>
    <t>TV</t>
  </si>
  <si>
    <t>Lavadora</t>
  </si>
  <si>
    <t>https://www.tiendamonge.com/olla-arrocera-black-decker-20-tazas-rc620s-silver-164700</t>
  </si>
  <si>
    <t>Arrocera</t>
  </si>
  <si>
    <t>https://www.tiendamonge.com/licuadora-horno-cafetera-plancha-black-decker-cbbd1747-combo-193199</t>
  </si>
  <si>
    <t>Horno, licuadora, cafetera y plancha</t>
  </si>
  <si>
    <t>Hotel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</si>
  <si>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</si>
  <si>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</si>
  <si>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</si>
  <si>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</si>
  <si>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</si>
  <si>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</si>
  <si>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</si>
  <si>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</si>
  <si>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</si>
  <si>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</si>
  <si>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</si>
  <si>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Deuda</t>
  </si>
  <si>
    <t>Tour</t>
  </si>
  <si>
    <t>Transporte</t>
  </si>
  <si>
    <t>Detalle</t>
  </si>
  <si>
    <t>Total</t>
  </si>
  <si>
    <t>Anillo Matrimonio</t>
  </si>
  <si>
    <t>%</t>
  </si>
  <si>
    <t>Total mes</t>
  </si>
  <si>
    <t>Deuda tras aplicación de pagos</t>
  </si>
  <si>
    <t>Aguinaldo</t>
  </si>
  <si>
    <t xml:space="preserve"> </t>
  </si>
  <si>
    <t>Quincena</t>
  </si>
  <si>
    <t>1ra</t>
  </si>
  <si>
    <t>2da</t>
  </si>
  <si>
    <t>Row Labels</t>
  </si>
  <si>
    <t>Grand Total</t>
  </si>
  <si>
    <t>Sum of Monto</t>
  </si>
  <si>
    <t>Cama + colchon</t>
  </si>
  <si>
    <t>Muebles y colchoneria duran</t>
  </si>
  <si>
    <t>Febrero</t>
  </si>
  <si>
    <t>Joyeria Mavi</t>
  </si>
  <si>
    <t>Lugar para la boda</t>
  </si>
  <si>
    <t>Tarjeta</t>
  </si>
  <si>
    <t>Luisa</t>
  </si>
  <si>
    <t>Matrimonio</t>
  </si>
  <si>
    <t>Luna de Miel</t>
  </si>
  <si>
    <t>Gasto</t>
  </si>
  <si>
    <t>Ingreso</t>
  </si>
  <si>
    <t>Alquiler Casa</t>
  </si>
  <si>
    <t>Carro</t>
  </si>
  <si>
    <t>Alimentación</t>
  </si>
  <si>
    <t>Servicios Basicos</t>
  </si>
  <si>
    <t>Saldo</t>
  </si>
  <si>
    <t>Gasolina</t>
  </si>
  <si>
    <t>Salario Aaron</t>
  </si>
  <si>
    <t>Salario Hazel</t>
  </si>
  <si>
    <t>Gastos totales</t>
  </si>
  <si>
    <t>Gastos deudas</t>
  </si>
  <si>
    <t>Emma</t>
  </si>
  <si>
    <t>Tarjeta BP</t>
  </si>
  <si>
    <t>Tarjeta bac</t>
  </si>
  <si>
    <t>Bac</t>
  </si>
  <si>
    <t>Gastos quincenas</t>
  </si>
  <si>
    <t>Gasto segunda quince</t>
  </si>
  <si>
    <t>Gasto 1ra quincena</t>
  </si>
  <si>
    <t>Ingresos</t>
  </si>
  <si>
    <t>Barcelona</t>
  </si>
  <si>
    <t>Madrid</t>
  </si>
  <si>
    <t>Suiza</t>
  </si>
  <si>
    <t>Fecha</t>
  </si>
  <si>
    <t>España</t>
  </si>
  <si>
    <t>Lugar</t>
  </si>
  <si>
    <t>Hazel</t>
  </si>
  <si>
    <t>Italia</t>
  </si>
  <si>
    <t>Quien lo paga</t>
  </si>
  <si>
    <t>Aaron</t>
  </si>
  <si>
    <t>Te de cocina</t>
  </si>
  <si>
    <t>Casa</t>
  </si>
  <si>
    <t>Boda</t>
  </si>
  <si>
    <t>Fotografo</t>
  </si>
  <si>
    <t>23 de marzo</t>
  </si>
  <si>
    <t>Comedor y sillones</t>
  </si>
  <si>
    <t>Muebleria elizabeth</t>
  </si>
  <si>
    <t>Costa Rica</t>
  </si>
  <si>
    <t>Kolbi</t>
  </si>
  <si>
    <t xml:space="preserve">Traje </t>
  </si>
  <si>
    <t>https://www.tiendamonge.com/pantalla-hd-telstar-compactos-43-ttl043280kk-183204</t>
  </si>
  <si>
    <t>Superavid / Deficit</t>
  </si>
  <si>
    <t>Oscar de la Renta - Siman</t>
  </si>
  <si>
    <t>Abono</t>
  </si>
  <si>
    <t>Saldo restante</t>
  </si>
  <si>
    <t>https://www.tiendamonge.com/cocina-electrica-telstar-24-pulgadas-tce024310fr-disco-4-quemadores-inoxidable-191198</t>
  </si>
  <si>
    <t>https://www.walmart.co.cr/refrigeradora-oster-mod-os-nfmi1502esdi-409lts-14pc-inverter-con-dispensador-de-agua-panel-tactil-color-gris-metalico-2/p</t>
  </si>
  <si>
    <t>https://www.gollo.com/lavadora-samsung-superior-17-kg-wa17cg6441bw-6080180237/p</t>
  </si>
  <si>
    <t>El Castillo</t>
  </si>
  <si>
    <t>Capri</t>
  </si>
  <si>
    <t>Foto Agüero</t>
  </si>
  <si>
    <t>Desayuno</t>
  </si>
  <si>
    <t>Almuerzo</t>
  </si>
  <si>
    <t>Cena</t>
  </si>
  <si>
    <t>Roma</t>
  </si>
  <si>
    <t>Napoles</t>
  </si>
  <si>
    <t>Zurich</t>
  </si>
  <si>
    <t>Total comidas</t>
  </si>
  <si>
    <t>Sourvenir</t>
  </si>
  <si>
    <t>Iberia</t>
  </si>
  <si>
    <t>Familia Hazel</t>
  </si>
  <si>
    <t>Vueling</t>
  </si>
  <si>
    <t>Alemania</t>
  </si>
  <si>
    <t>Munich</t>
  </si>
  <si>
    <t>Rootemborgh</t>
  </si>
  <si>
    <t>Innsbruck</t>
  </si>
  <si>
    <t>Souvenir Madrid</t>
  </si>
  <si>
    <t>Souvenir Roma</t>
  </si>
  <si>
    <t>Souvenir Capri</t>
  </si>
  <si>
    <t>Souvenir Munich</t>
  </si>
  <si>
    <t>Souvenir Rootemborgh</t>
  </si>
  <si>
    <t>Souvenir Innsbruck</t>
  </si>
  <si>
    <t>Souvenir Barcelona</t>
  </si>
  <si>
    <t>Metro Madrid</t>
  </si>
  <si>
    <t>Metro Barcelona</t>
  </si>
  <si>
    <t>Metro Roma</t>
  </si>
  <si>
    <t>Metro Munich</t>
  </si>
  <si>
    <t>Metro</t>
  </si>
  <si>
    <t>Total Souvenirs</t>
  </si>
  <si>
    <t>Tolal Metros</t>
  </si>
  <si>
    <t>Totales</t>
  </si>
  <si>
    <t>Luisa compras 23/11</t>
  </si>
  <si>
    <t>Inglaterra</t>
  </si>
  <si>
    <t>Column1</t>
  </si>
  <si>
    <t>Total Ahorros</t>
  </si>
  <si>
    <t>Allianz Arena</t>
  </si>
  <si>
    <t>26 de marzo</t>
  </si>
  <si>
    <t>Austria</t>
  </si>
  <si>
    <t>Deutsche Bahn</t>
  </si>
  <si>
    <t>Avianca</t>
  </si>
  <si>
    <t>Transportes</t>
  </si>
  <si>
    <t>Hospedaje</t>
  </si>
  <si>
    <t>Tours</t>
  </si>
  <si>
    <t>Hora salida</t>
  </si>
  <si>
    <t>Hora llegada</t>
  </si>
  <si>
    <t>Origen</t>
  </si>
  <si>
    <t>Destino</t>
  </si>
  <si>
    <t>Aerolinea</t>
  </si>
  <si>
    <t>Costo</t>
  </si>
  <si>
    <t>% de gasto</t>
  </si>
  <si>
    <t>Tipo</t>
  </si>
  <si>
    <t>Pais</t>
  </si>
  <si>
    <t>Avion</t>
  </si>
  <si>
    <t>24 de marzo</t>
  </si>
  <si>
    <t>Tren</t>
  </si>
  <si>
    <t>28 de marzo</t>
  </si>
  <si>
    <t>30 de marzo</t>
  </si>
  <si>
    <t>Tren Italia</t>
  </si>
  <si>
    <t>Caremar</t>
  </si>
  <si>
    <t>Ferry</t>
  </si>
  <si>
    <t>Intecity</t>
  </si>
  <si>
    <t>Coliseo, Foro Romano, Paliatino</t>
  </si>
  <si>
    <t>Camp Nou</t>
  </si>
  <si>
    <t>ETIAS y ETAS</t>
  </si>
  <si>
    <t>Seguro de viaje</t>
  </si>
  <si>
    <t>Totales paises</t>
  </si>
  <si>
    <t>27 al 30</t>
  </si>
  <si>
    <t>3 de abril</t>
  </si>
  <si>
    <t>25 de marzo</t>
  </si>
  <si>
    <t>OBB NightJet</t>
  </si>
  <si>
    <t>Pagado</t>
  </si>
  <si>
    <t>22 de marzo</t>
  </si>
  <si>
    <t>22 al 23</t>
  </si>
  <si>
    <t>23 al 26</t>
  </si>
  <si>
    <t>Hotel Positano 2</t>
  </si>
  <si>
    <t>Alexis y Diana</t>
  </si>
  <si>
    <t>Hotel Villa de Barajas</t>
  </si>
  <si>
    <t>30 al 1</t>
  </si>
  <si>
    <t>1 al 3</t>
  </si>
  <si>
    <t>Superavit Luna de miel</t>
  </si>
  <si>
    <t>Gasto luna de miel</t>
  </si>
  <si>
    <t>Deudas generales</t>
  </si>
  <si>
    <t>Compras casa</t>
  </si>
  <si>
    <t>gastos mes</t>
  </si>
  <si>
    <t>Gastos regreso</t>
  </si>
  <si>
    <t>Mes hazel</t>
  </si>
  <si>
    <t>Total Inicio</t>
  </si>
  <si>
    <t>Venta ERP</t>
  </si>
  <si>
    <t>Monte Titlis</t>
  </si>
  <si>
    <t>Compras super 26/12</t>
  </si>
  <si>
    <t>Omega 3</t>
  </si>
  <si>
    <t>Fecha pago</t>
  </si>
  <si>
    <t>Compras super 11/01</t>
  </si>
  <si>
    <t>Ahorro Hazel</t>
  </si>
  <si>
    <t>Compras Super 19/01</t>
  </si>
  <si>
    <t>Column2</t>
  </si>
  <si>
    <t>Horas extra marzo</t>
  </si>
  <si>
    <t>En Alojamiento</t>
  </si>
  <si>
    <t>29 de marzo</t>
  </si>
  <si>
    <t>Hotel Madrid Rio</t>
  </si>
  <si>
    <t>Deudas Aaron</t>
  </si>
  <si>
    <t>Super 01/02</t>
  </si>
  <si>
    <t>Iryo</t>
  </si>
  <si>
    <t>21 de marzo</t>
  </si>
  <si>
    <t>Olympia Hotel Zurich</t>
  </si>
  <si>
    <t>Hotel Best Front Maritim</t>
  </si>
  <si>
    <t>1 de abril</t>
  </si>
  <si>
    <t>27 de febrero</t>
  </si>
  <si>
    <t>13 de marzo</t>
  </si>
  <si>
    <t>Montepulciano</t>
  </si>
  <si>
    <t>Zoo Barcelona</t>
  </si>
  <si>
    <t>Acuario Barcelona</t>
  </si>
  <si>
    <t>Extras</t>
  </si>
  <si>
    <t>Gastos mensuales</t>
  </si>
  <si>
    <t>Instacredit</t>
  </si>
  <si>
    <t>Sinpe actividad</t>
  </si>
  <si>
    <t>Super 26-02</t>
  </si>
  <si>
    <t>Alquiler casa</t>
  </si>
  <si>
    <t>Beto y Coopealianza</t>
  </si>
  <si>
    <t>BAC PRESTAMO</t>
  </si>
  <si>
    <t>Musica</t>
  </si>
  <si>
    <t>Regalo suegra</t>
  </si>
  <si>
    <t>Regalía jefa y congres</t>
  </si>
  <si>
    <t>Internet</t>
  </si>
  <si>
    <t>Luz</t>
  </si>
  <si>
    <t>Agua</t>
  </si>
  <si>
    <t>Super 10 03</t>
  </si>
  <si>
    <t>Bogotá</t>
  </si>
  <si>
    <t>31 de marzo</t>
  </si>
  <si>
    <t>27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</si>
</sst>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43" fontId="0" fillId="0" borderId="0" xfId="1" applyFont="1"/>
    <xf numFmtId="43" fontId="0" fillId="2" borderId="0" xfId="1" applyFont="1" applyFill="1"/>
    <xf numFmtId="43" fontId="0" fillId="0" borderId="0" xfId="1" applyFont="1" applyFill="1"/>
    <xf numFmtId="43" fontId="0" fillId="0" borderId="0" xfId="0" applyNumberFormat="1"/>
    <xf numFmtId="43" fontId="2" fillId="2" borderId="0" xfId="1" applyFont="1" applyFill="1"/>
    <xf numFmtId="43" fontId="2" fillId="3" borderId="0" xfId="1" applyFont="1" applyFill="1"/>
    <xf numFmtId="0" fontId="0" fillId="0" borderId="0" xfId="0" applyAlignment="1">
      <alignment horizontal="left"/>
    </xf>
    <xf numFmtId="43" fontId="0" fillId="0" borderId="0" xfId="1" applyFont="1" applyAlignment="1">
      <alignment horizontal="center"/>
    </xf>
    <xf numFmtId="0" fontId="0" fillId="0" borderId="0" xfId="0" pivotButton="1"/>
    <xf numFmtId="0" fontId="0" fillId="0" borderId="1" xfId="0" applyBorder="1"/>
    <xf numFmtId="43" fontId="0" fillId="0" borderId="1" xfId="1" applyFont="1" applyBorder="1"/>
    <xf numFmtId="0" fontId="2" fillId="0" borderId="1" xfId="0" applyFont="1" applyBorder="1"/>
    <xf numFmtId="43" fontId="2" fillId="0" borderId="1" xfId="1" applyFont="1" applyBorder="1"/>
    <xf numFmtId="43" fontId="0" fillId="4" borderId="0" xfId="1" applyFont="1" applyFill="1"/>
    <xf numFmtId="43" fontId="0" fillId="5" borderId="0" xfId="1" applyFont="1" applyFill="1"/>
    <xf numFmtId="43" fontId="0" fillId="6" borderId="0" xfId="1" applyFont="1" applyFill="1"/>
    <xf numFmtId="0" fontId="2" fillId="0" borderId="0" xfId="0" applyFont="1"/>
    <xf numFmtId="43" fontId="2" fillId="0" borderId="0" xfId="1" applyFont="1" applyFill="1"/>
    <xf numFmtId="43" fontId="2" fillId="0" borderId="0" xfId="1" applyFont="1"/>
    <xf numFmtId="43" fontId="0" fillId="7" borderId="1" xfId="1" applyFont="1" applyFill="1" applyBorder="1"/>
    <xf numFmtId="43" fontId="0" fillId="0" borderId="0" xfId="1" applyFont="1" applyBorder="1"/>
    <xf numFmtId="0" fontId="0" fillId="7" borderId="1" xfId="0" applyFill="1" applyBorder="1"/>
    <xf numFmtId="43" fontId="0" fillId="0" borderId="1" xfId="1" applyFont="1" applyFill="1" applyBorder="1"/>
    <xf numFmtId="43" fontId="6" fillId="0" borderId="0" xfId="0" applyNumberFormat="1" applyFont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2" fillId="0" borderId="8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4" fillId="8" borderId="1" xfId="0" applyFont="1" applyFill="1" applyBorder="1"/>
    <xf numFmtId="0" fontId="0" fillId="10" borderId="1" xfId="0" applyFill="1" applyBorder="1"/>
    <xf numFmtId="43" fontId="0" fillId="10" borderId="1" xfId="1" applyFont="1" applyFill="1" applyBorder="1"/>
    <xf numFmtId="0" fontId="5" fillId="10" borderId="1" xfId="2" applyFill="1" applyBorder="1"/>
    <xf numFmtId="0" fontId="0" fillId="5" borderId="1" xfId="0" applyFill="1" applyBorder="1"/>
    <xf numFmtId="43" fontId="0" fillId="5" borderId="1" xfId="1" applyFont="1" applyFill="1" applyBorder="1"/>
    <xf numFmtId="0" fontId="5" fillId="5" borderId="1" xfId="2" applyFill="1" applyBorder="1"/>
    <xf numFmtId="0" fontId="0" fillId="9" borderId="1" xfId="0" applyFill="1" applyBorder="1"/>
    <xf numFmtId="43" fontId="0" fillId="9" borderId="1" xfId="1" applyFont="1" applyFill="1" applyBorder="1"/>
    <xf numFmtId="0" fontId="0" fillId="2" borderId="1" xfId="0" applyFill="1" applyBorder="1"/>
    <xf numFmtId="43" fontId="0" fillId="2" borderId="1" xfId="1" applyFont="1" applyFill="1" applyBorder="1"/>
    <xf numFmtId="0" fontId="7" fillId="2" borderId="1" xfId="2" applyFont="1" applyFill="1" applyBorder="1"/>
    <xf numFmtId="0" fontId="0" fillId="4" borderId="1" xfId="0" applyFill="1" applyBorder="1"/>
    <xf numFmtId="43" fontId="0" fillId="4" borderId="1" xfId="1" applyFont="1" applyFill="1" applyBorder="1"/>
    <xf numFmtId="164" fontId="0" fillId="0" borderId="1" xfId="0" applyNumberFormat="1" applyBorder="1"/>
    <xf numFmtId="164" fontId="0" fillId="5" borderId="1" xfId="0" applyNumberFormat="1" applyFill="1" applyBorder="1"/>
    <xf numFmtId="164" fontId="0" fillId="0" borderId="0" xfId="0" applyNumberFormat="1"/>
    <xf numFmtId="164" fontId="2" fillId="0" borderId="1" xfId="0" applyNumberFormat="1" applyFont="1" applyBorder="1"/>
    <xf numFmtId="20" fontId="0" fillId="0" borderId="1" xfId="0" applyNumberFormat="1" applyBorder="1"/>
    <xf numFmtId="43" fontId="2" fillId="0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43" fontId="0" fillId="2" borderId="0" xfId="0" applyNumberFormat="1" applyFill="1"/>
    <xf numFmtId="0" fontId="0" fillId="2" borderId="0" xfId="0" applyFill="1"/>
    <xf numFmtId="0" fontId="0" fillId="7" borderId="0" xfId="0" applyFill="1"/>
    <xf numFmtId="0" fontId="0" fillId="7" borderId="3" xfId="0" applyFill="1" applyBorder="1"/>
    <xf numFmtId="43" fontId="0" fillId="7" borderId="3" xfId="1" applyFont="1" applyFill="1" applyBorder="1"/>
    <xf numFmtId="43" fontId="0" fillId="0" borderId="1" xfId="1" applyFont="1" applyFill="1" applyBorder="1" applyAlignment="1">
      <alignment horizontal="left"/>
    </xf>
    <xf numFmtId="43" fontId="0" fillId="0" borderId="2" xfId="1" applyFont="1" applyFill="1" applyBorder="1"/>
    <xf numFmtId="43" fontId="0" fillId="0" borderId="3" xfId="1" applyFont="1" applyFill="1" applyBorder="1"/>
    <xf numFmtId="43" fontId="0" fillId="0" borderId="10" xfId="1" applyFont="1" applyFill="1" applyBorder="1"/>
    <xf numFmtId="0" fontId="0" fillId="0" borderId="10" xfId="0" applyBorder="1"/>
    <xf numFmtId="43" fontId="0" fillId="0" borderId="0" xfId="1" applyFont="1" applyFill="1" applyBorder="1"/>
    <xf numFmtId="43" fontId="0" fillId="0" borderId="1" xfId="0" applyNumberFormat="1" applyBorder="1"/>
    <xf numFmtId="0" fontId="0" fillId="0" borderId="14" xfId="0" applyBorder="1"/>
    <xf numFmtId="43" fontId="0" fillId="0" borderId="0" xfId="1" applyFont="1" applyAlignment="1">
      <alignment horizontal="center"/>
    </xf>
    <xf numFmtId="0" fontId="2" fillId="0" borderId="9" xfId="0" applyFont="1" applyBorder="1" applyAlignment="1">
      <alignment horizontal="center"/>
    </xf>
    <xf numFmtId="20" fontId="0" fillId="5" borderId="11" xfId="0" applyNumberFormat="1" applyFill="1" applyBorder="1" applyAlignment="1">
      <alignment horizontal="center" vertical="center"/>
    </xf>
    <xf numFmtId="20" fontId="0" fillId="5" borderId="12" xfId="0" applyNumberFormat="1" applyFill="1" applyBorder="1" applyAlignment="1">
      <alignment horizontal="center" vertical="center"/>
    </xf>
    <xf numFmtId="20" fontId="0" fillId="5" borderId="8" xfId="0" applyNumberFormat="1" applyFill="1" applyBorder="1" applyAlignment="1">
      <alignment horizontal="center" vertical="center"/>
    </xf>
    <xf numFmtId="20" fontId="0" fillId="5" borderId="13" xfId="0" applyNumberFormat="1" applyFill="1" applyBorder="1" applyAlignment="1">
      <alignment horizontal="center" vertical="center"/>
    </xf>
    <xf numFmtId="20" fontId="0" fillId="5" borderId="0" xfId="0" applyNumberFormat="1" applyFill="1" applyAlignment="1">
      <alignment horizontal="center" vertical="center"/>
    </xf>
    <xf numFmtId="20" fontId="0" fillId="5" borderId="14" xfId="0" applyNumberFormat="1" applyFill="1" applyBorder="1" applyAlignment="1">
      <alignment horizontal="center" vertical="center"/>
    </xf>
    <xf numFmtId="20" fontId="0" fillId="5" borderId="7" xfId="0" applyNumberFormat="1" applyFill="1" applyBorder="1" applyAlignment="1">
      <alignment horizontal="center" vertical="center"/>
    </xf>
    <xf numFmtId="20" fontId="0" fillId="5" borderId="9" xfId="0" applyNumberFormat="1" applyFill="1" applyBorder="1" applyAlignment="1">
      <alignment horizontal="center" vertical="center"/>
    </xf>
    <xf numFmtId="20" fontId="0" fillId="5" borderId="6" xfId="0" applyNumberForma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5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5050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5050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5050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Avila" refreshedDate="45909.664657407404" createdVersion="8" refreshedVersion="8" minRefreshableVersion="3" recordCount="12" xr:uid="{5DA12E16-D8C5-4F3D-AA58-CB558240B2CB}">
  <cacheSource type="worksheet">
    <worksheetSource name="Table2"/>
  </cacheSource>
  <cacheFields count="6">
    <cacheField name="Lugar" numFmtId="0">
      <sharedItems count="2">
        <s v="Casa"/>
        <s v="Boda"/>
      </sharedItems>
    </cacheField>
    <cacheField name="Articulo" numFmtId="0">
      <sharedItems/>
    </cacheField>
    <cacheField name="Monto" numFmtId="43">
      <sharedItems containsString="0" containsBlank="1" containsNumber="1" containsInteger="1" minValue="34900" maxValue="650000"/>
    </cacheField>
    <cacheField name="%" numFmtId="43">
      <sharedItems containsSemiMixedTypes="0" containsString="0" containsNumber="1" minValue="0" maxValue="25.794827938576564"/>
    </cacheField>
    <cacheField name="Link" numFmtId="0">
      <sharedItems/>
    </cacheField>
    <cacheField name="Quien lo paga" numFmtId="0">
      <sharedItems count="5">
        <s v="Hazel"/>
        <s v="Luisa"/>
        <s v="Aaron"/>
        <s v="Familia de Hazel"/>
        <s v="Te de coci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Avila" refreshedDate="46029.36175034722" createdVersion="8" refreshedVersion="8" minRefreshableVersion="3" recordCount="8" xr:uid="{BE9E72A0-F08A-4F43-BA8A-FBF3D923C5E8}">
  <cacheSource type="worksheet">
    <worksheetSource ref="G2:I9" sheet="Deudas Marzo"/>
  </cacheSource>
  <cacheFields count="3">
    <cacheField name="Monto" numFmtId="43">
      <sharedItems containsString="0" containsBlank="1" containsNumber="1" minValue="10000" maxValue="318592.40000000002"/>
    </cacheField>
    <cacheField name="Detalle" numFmtId="0">
      <sharedItems/>
    </cacheField>
    <cacheField name="Quincena" numFmtId="43">
      <sharedItems containsBlank="1" count="3">
        <s v="1ra"/>
        <s v="2da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Cocina"/>
    <n v="399990"/>
    <n v="15.873343426386521"/>
    <s v="https://www.tiendamonge.com/cocina-electrica-general-electric-30-pulgadas-jcbs631sfss-vitro-acero-inoxidable-148823"/>
    <x v="0"/>
  </r>
  <r>
    <x v="0"/>
    <s v="Refrigeradora"/>
    <n v="409900"/>
    <n v="16.266615341573125"/>
    <s v="https://www.tiendamonge.com/refrigeradora-automatica-samsung-14-cp-rt38dg6224s9ap-silver-190487"/>
    <x v="1"/>
  </r>
  <r>
    <x v="0"/>
    <s v="Cama + colchon"/>
    <n v="182500"/>
    <n v="7.2423939981388035"/>
    <s v="Muebles y colchoneria duran"/>
    <x v="2"/>
  </r>
  <r>
    <x v="0"/>
    <s v="TV"/>
    <n v="270000"/>
    <n v="10.714774682177957"/>
    <s v="https://www.walmart.co.cr/pantalla-marca-samsung-led-smart-4k-65-samsung/p"/>
    <x v="2"/>
  </r>
  <r>
    <x v="0"/>
    <s v="Lavadora"/>
    <n v="284995"/>
    <n v="11.30984152054558"/>
    <s v="https://www.pricesmart.com/es-cr/producto/ge-lavadora-de-carga-superior-24-kg-4-5-cu-ft-lga74215wbab0-482193/482193"/>
    <x v="3"/>
  </r>
  <r>
    <x v="0"/>
    <s v="Arrocera"/>
    <n v="34900"/>
    <n v="1.3849838385481876"/>
    <s v="https://www.tiendamonge.com/olla-arrocera-black-decker-20-tazas-rc620s-silver-164700"/>
    <x v="4"/>
  </r>
  <r>
    <x v="0"/>
    <s v="Horno, licuadora, cafetera y plancha"/>
    <n v="87900"/>
    <n v="3.4882544243090461"/>
    <s v="https://www.tiendamonge.com/licuadora-horno-cafetera-plancha-black-decker-cbbd1747-combo-193199"/>
    <x v="4"/>
  </r>
  <r>
    <x v="0"/>
    <s v="Comedor y sillones"/>
    <n v="225000"/>
    <n v="6.7463396147046399"/>
    <s v="Muebleria elizabeth"/>
    <x v="2"/>
  </r>
  <r>
    <x v="1"/>
    <s v="Anillo Matrimonio"/>
    <n v="220000"/>
    <n v="8.7305571484412976"/>
    <s v="Joyeria Mavi"/>
    <x v="2"/>
  </r>
  <r>
    <x v="1"/>
    <s v="Lugar para la boda"/>
    <n v="650000"/>
    <n v="25.794827938576564"/>
    <s v="A definir"/>
    <x v="2"/>
  </r>
  <r>
    <x v="1"/>
    <s v="Saxofon"/>
    <n v="200000"/>
    <n v="7.9368701349466342"/>
    <s v="Solon"/>
    <x v="2"/>
  </r>
  <r>
    <x v="1"/>
    <s v="Fotografo"/>
    <m/>
    <n v="0"/>
    <s v="A definir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64589"/>
    <s v="Carne"/>
    <x v="0"/>
  </r>
  <r>
    <n v="10000"/>
    <s v="Frio"/>
    <x v="0"/>
  </r>
  <r>
    <n v="10560.03"/>
    <s v="celular aaron"/>
    <x v="0"/>
  </r>
  <r>
    <n v="25579.99"/>
    <s v="Kolbi"/>
    <x v="0"/>
  </r>
  <r>
    <n v="10560"/>
    <s v="celular luisa"/>
    <x v="0"/>
  </r>
  <r>
    <n v="40000"/>
    <s v="Verduras"/>
    <x v="0"/>
  </r>
  <r>
    <m/>
    <s v="UH"/>
    <x v="1"/>
  </r>
  <r>
    <n v="318592.40000000002"/>
    <s v="Carr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FD4E1-AF3A-4E89-8CC0-183AEECF62F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8:L21" firstHeaderRow="1" firstDataRow="1" firstDataCol="1"/>
  <pivotFields count="3">
    <pivotField dataField="1" numFmtId="43" showAll="0"/>
    <pivotField showAll="0"/>
    <pivotField axis="axisRow" showAll="0">
      <items count="4">
        <item x="0"/>
        <item x="1"/>
        <item m="1"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Monto" fld="0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FDDF8-F5A2-43E7-AF40-67D64B4034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6" firstHeaderRow="1" firstDataRow="1" firstDataCol="1" rowPageCount="1" colPageCount="1"/>
  <pivotFields count="6">
    <pivotField axis="axisRow" showAll="0">
      <items count="3">
        <item x="1"/>
        <item x="0"/>
        <item t="default"/>
      </items>
    </pivotField>
    <pivotField showAll="0"/>
    <pivotField dataField="1" showAll="0"/>
    <pivotField numFmtId="43" showAll="0"/>
    <pivotField showAll="0"/>
    <pivotField axis="axisPage" multipleItemSelectionAllowed="1" showAll="0">
      <items count="6">
        <item x="2"/>
        <item h="1" x="3"/>
        <item h="1" x="0"/>
        <item h="1" x="1"/>
        <item h="1" x="4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Sum of Monto" fld="2" baseField="0" baseItem="0"/>
  </dataFields>
  <formats count="2">
    <format dxfId="25">
      <pivotArea collapsedLevelsAreSubtotals="1" fieldPosition="0">
        <references count="1">
          <reference field="0" count="0"/>
        </references>
      </pivotArea>
    </format>
    <format dxfId="2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E66936-9FF8-407A-AFE4-FC1425E63C1D}" name="Table2" displayName="Table2" ref="A1:I14" totalsRowCount="1" headerRowDxfId="23" dataDxfId="22">
  <tableColumns count="9">
    <tableColumn id="1" xr3:uid="{FA45FD35-EE00-4738-8CCB-2DE87B146F39}" name="Lugar" dataDxfId="21"/>
    <tableColumn id="2" xr3:uid="{7E9F0BDC-6720-4BB8-862A-10299784ACAC}" name="Articulo" dataDxfId="20"/>
    <tableColumn id="3" xr3:uid="{38EB8E23-1B73-4785-99CE-8EF61A22C8B8}" name="Monto" totalsRowFunction="sum" dataDxfId="19" totalsRowDxfId="18" dataCellStyle="Comma"/>
    <tableColumn id="4" xr3:uid="{63A1C2A5-2C2B-42AF-B4C4-BAD5FE45F9D2}" name="%" dataDxfId="17" totalsRowDxfId="16" dataCellStyle="Comma">
      <calculatedColumnFormula>+Table2[[#This Row],[Monto]]/Table2[[#Totals],[Monto]]*100</calculatedColumnFormula>
    </tableColumn>
    <tableColumn id="5" xr3:uid="{8B4EE40A-75C4-41D6-BD4E-CCFA50E3FA46}" name="Link" dataDxfId="15"/>
    <tableColumn id="6" xr3:uid="{01C6A93C-7232-4034-AAF1-B5C5A4352EC0}" name="Quien lo paga" dataDxfId="14"/>
    <tableColumn id="7" xr3:uid="{9A8D00CA-545F-4BE9-9770-6A3205FD36A1}" name="Abono" dataDxfId="13"/>
    <tableColumn id="8" xr3:uid="{18797C9E-0066-4596-867E-C48F3A6EC28E}" name="Saldo restante" totalsRowFunction="custom" dataDxfId="12" totalsRowDxfId="11" dataCellStyle="Comma">
      <calculatedColumnFormula>+Table2[[#This Row],[Monto]]-Table2[[#This Row],[Abono]]</calculatedColumnFormula>
      <totalsRowFormula>+H13+H12+H11+H10+H9</totalsRowFormula>
    </tableColumn>
    <tableColumn id="9" xr3:uid="{E95C117A-2C4B-44FD-8A15-7696E4EE66F5}" name="Column1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AC71D-D29E-49A5-92CA-14E97D79431E}" name="Table1" displayName="Table1" ref="A1:Q6" totalsRowCount="1" headerRowDxfId="58" dataDxfId="57" headerRowCellStyle="Comma" dataCellStyle="Comma">
  <autoFilter ref="A1:Q5" xr:uid="{F4CAC71D-D29E-49A5-92CA-14E97D79431E}"/>
  <tableColumns count="17">
    <tableColumn id="1" xr3:uid="{82B85099-C683-4A15-BFCA-6F64793D0D36}" name="Mes" totalsRowLabel="Superavid / Deficit"/>
    <tableColumn id="2" xr3:uid="{D743165B-1C8A-4217-A656-A0CB04B1D6A9}" name="1ra quincena" dataDxfId="56" totalsRowDxfId="55" dataCellStyle="Comma"/>
    <tableColumn id="3" xr3:uid="{3DABFA84-A820-4139-B1AB-4A1482F1B853}" name="2da quincena" dataDxfId="54" totalsRowDxfId="53" dataCellStyle="Comma"/>
    <tableColumn id="4" xr3:uid="{B2797280-E8EA-48BE-BFDF-1438F333786E}" name="Alexis y Diana" dataDxfId="52" totalsRowDxfId="51" dataCellStyle="Comma"/>
    <tableColumn id="5" xr3:uid="{95BC9441-D500-4F31-9B50-1DB58C8C3A27}" name="Luisa" dataDxfId="50" totalsRowDxfId="49" dataCellStyle="Comma"/>
    <tableColumn id="6" xr3:uid="{E5B4CF4E-AA6F-4727-8783-9CF344F4F8C5}" name="Ingresos" dataDxfId="48" totalsRowDxfId="47" dataCellStyle="Comma">
      <calculatedColumnFormula>+E2+D2+C2+B2</calculatedColumnFormula>
    </tableColumn>
    <tableColumn id="7" xr3:uid="{B7D607D9-E2D3-4FCE-BE24-8CCAD62BAA3C}" name="Gasto 1ra quincena" dataDxfId="46" totalsRowDxfId="45" dataCellStyle="Comma"/>
    <tableColumn id="8" xr3:uid="{7F7B8851-595A-42E5-8947-084FB25BB67E}" name="Gasto segunda quince" dataDxfId="44" totalsRowDxfId="43" dataCellStyle="Comma"/>
    <tableColumn id="9" xr3:uid="{91160E16-058F-4F9E-B3FA-F45C087C96E7}" name="Gastos quincenas" dataDxfId="42" totalsRowDxfId="41" dataCellStyle="Comma">
      <calculatedColumnFormula>+H2+G2</calculatedColumnFormula>
    </tableColumn>
    <tableColumn id="10" xr3:uid="{35D6D7E6-C08D-4B33-AF09-46619365D4D4}" name="Bac" dataDxfId="40" totalsRowDxfId="39" dataCellStyle="Comma"/>
    <tableColumn id="11" xr3:uid="{4B946048-C936-47D6-98E3-F6472280CF4A}" name="Tarjeta bac" dataDxfId="38" totalsRowDxfId="37" dataCellStyle="Comma"/>
    <tableColumn id="12" xr3:uid="{64787562-51C5-46D9-900A-E62F50C607C9}" name="Tarjeta BP" dataDxfId="36" totalsRowDxfId="35" dataCellStyle="Comma"/>
    <tableColumn id="14" xr3:uid="{F8CEEE6D-C81F-4AB2-85AF-5A93A1AB255E}" name="Emma" dataDxfId="34" totalsRowDxfId="33" dataCellStyle="Comma"/>
    <tableColumn id="15" xr3:uid="{E984F5BF-4980-4380-9F86-22184379B3C8}" name="Gastos deudas" dataDxfId="32" totalsRowDxfId="31" dataCellStyle="Comma">
      <calculatedColumnFormula>+#REF!+L2+K2+J2+M2</calculatedColumnFormula>
    </tableColumn>
    <tableColumn id="16" xr3:uid="{9A6A0BF9-FB65-487D-91C7-A90B0AA4D79C}" name="Gastos totales" dataDxfId="30" totalsRowDxfId="29" dataCellStyle="Comma">
      <calculatedColumnFormula>+N2+I2</calculatedColumnFormula>
    </tableColumn>
    <tableColumn id="17" xr3:uid="{03055467-1F84-4FCD-AFCB-6FEA6BD73015}" name="Column2" totalsRowFunction="custom" dataDxfId="28" totalsRowDxfId="27" dataCellStyle="Comma">
      <calculatedColumnFormula>+'Deudas Marzo'!K13</calculatedColumnFormula>
      <totalsRowFormula>+P5+P4+P3</totalsRowFormula>
    </tableColumn>
    <tableColumn id="18" xr3:uid="{B6C7CA53-61B3-4E77-AEF2-79760AD93A69}" name="Column1" dataDxfId="26" dataCellStyle="Comm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B6B9D0-0AB6-439F-9503-8F29C596243A}" name="Table3" displayName="Table3" ref="A1:F23" totalsRowShown="0" headerRowDxfId="9" headerRowBorderDxfId="8" tableBorderDxfId="7" totalsRowBorderDxfId="6">
  <tableColumns count="6">
    <tableColumn id="1" xr3:uid="{781976AC-0E0D-4CA1-AB43-2172109B0971}" name="Lugar" dataDxfId="5"/>
    <tableColumn id="2" xr3:uid="{DACD9774-EA44-4F97-B276-EFB3CEABE698}" name="Desayuno" dataDxfId="4">
      <calculatedColumnFormula>9*3*2</calculatedColumnFormula>
    </tableColumn>
    <tableColumn id="3" xr3:uid="{BB52C284-FFBC-4E56-B248-1847385ED6BB}" name="Almuerzo" dataDxfId="3">
      <calculatedColumnFormula>20*3*2</calculatedColumnFormula>
    </tableColumn>
    <tableColumn id="4" xr3:uid="{394D1F15-82F2-4E28-9495-01F17B67F07A}" name="Cena" dataDxfId="2"/>
    <tableColumn id="5" xr3:uid="{1D523840-C785-4CC4-B3D9-2032BD481C2C}" name="Sourvenir" dataDxfId="1"/>
    <tableColumn id="6" xr3:uid="{DE52EC9B-7A0E-4DC6-9C84-A8A298FADB66}" name="Metr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endamonge.com/cocina-electrica-telstar-24-pulgadas-tce024310fr-disco-4-quemadores-inoxidable-191198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tiendamonge.com/pantalla-hd-telstar-compactos-43-ttl043280kk-183204" TargetMode="Externa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gollo.com/lavadora-samsung-superior-17-kg-wa17cg6441bw-6080180237/p" TargetMode="External"/><Relationship Id="rId4" Type="http://schemas.openxmlformats.org/officeDocument/2006/relationships/hyperlink" Target="https://www.walmart.co.cr/refrigeradora-oster-mod-os-nfmi1502esdi-409lts-14pc-inverter-con-dispensador-de-agua-panel-tactil-color-gris-metalico-2/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F9E5-2376-440C-BF4B-59E3CFD4EFBD}">
  <dimension ref="A1:S35"/>
  <sheetViews>
    <sheetView showGridLines="0" zoomScaleNormal="100" workbookViewId="0">
      <selection activeCell="K1" sqref="K1"/>
    </sheetView>
  </sheetViews>
  <sheetFormatPr defaultColWidth="17.5703125" defaultRowHeight="15" x14ac:dyDescent="0.25"/>
  <cols>
    <col min="1" max="1" width="11.28515625" style="1" bestFit="1" customWidth="1"/>
    <col min="2" max="2" width="13.28515625" style="1" bestFit="1" customWidth="1"/>
    <col min="3" max="3" width="17" bestFit="1" customWidth="1"/>
    <col min="4" max="4" width="8.28515625" customWidth="1"/>
    <col min="5" max="5" width="6.85546875" bestFit="1" customWidth="1"/>
    <col min="6" max="6" width="7.85546875" bestFit="1" customWidth="1"/>
    <col min="7" max="7" width="11.28515625" style="1" bestFit="1" customWidth="1"/>
    <col min="8" max="8" width="11.5703125" bestFit="1" customWidth="1"/>
    <col min="9" max="9" width="10.140625" bestFit="1" customWidth="1"/>
    <col min="10" max="10" width="10.28515625" customWidth="1"/>
    <col min="11" max="11" width="12.42578125" style="1" bestFit="1" customWidth="1"/>
    <col min="12" max="12" width="12.140625" style="3" bestFit="1" customWidth="1"/>
    <col min="13" max="13" width="12.5703125" style="1" bestFit="1" customWidth="1"/>
    <col min="14" max="14" width="11.28515625" bestFit="1" customWidth="1"/>
    <col min="15" max="15" width="21.28515625" style="1" bestFit="1" customWidth="1"/>
    <col min="16" max="17" width="11.28515625" style="1" bestFit="1" customWidth="1"/>
    <col min="18" max="18" width="10.28515625" bestFit="1" customWidth="1"/>
  </cols>
  <sheetData>
    <row r="1" spans="1:19" x14ac:dyDescent="0.25">
      <c r="A1" s="68" t="s">
        <v>8</v>
      </c>
      <c r="B1" s="68"/>
      <c r="C1" s="68"/>
      <c r="D1" s="8"/>
      <c r="E1" s="8"/>
      <c r="G1" s="68" t="s">
        <v>11</v>
      </c>
      <c r="H1" s="68"/>
      <c r="K1" s="1">
        <v>-272168.59000000003</v>
      </c>
      <c r="L1" s="3" t="s">
        <v>58</v>
      </c>
      <c r="N1" s="1"/>
    </row>
    <row r="2" spans="1:19" x14ac:dyDescent="0.25">
      <c r="A2" s="1">
        <v>88768.24</v>
      </c>
      <c r="B2" s="3">
        <v>324037.88</v>
      </c>
      <c r="C2" t="s">
        <v>1</v>
      </c>
      <c r="F2" t="s">
        <v>42</v>
      </c>
      <c r="G2" s="1" t="s">
        <v>14</v>
      </c>
      <c r="H2" s="1" t="s">
        <v>39</v>
      </c>
      <c r="I2" s="4" t="s">
        <v>47</v>
      </c>
      <c r="J2" s="4"/>
      <c r="K2" s="3">
        <v>-35000</v>
      </c>
      <c r="L2" s="3" t="s">
        <v>143</v>
      </c>
      <c r="N2" s="1"/>
    </row>
    <row r="3" spans="1:19" x14ac:dyDescent="0.25">
      <c r="A3" s="3">
        <v>34734.699999999997</v>
      </c>
      <c r="B3" s="3">
        <v>1213045.1000000001</v>
      </c>
      <c r="C3" t="s">
        <v>2</v>
      </c>
      <c r="D3" s="1"/>
      <c r="E3" s="4"/>
      <c r="F3" s="4">
        <f t="shared" ref="F3:F10" si="0">+G3/$G$10*100</f>
        <v>13.459366691046299</v>
      </c>
      <c r="G3" s="3">
        <v>64589</v>
      </c>
      <c r="H3" t="s">
        <v>0</v>
      </c>
      <c r="I3" s="1" t="s">
        <v>48</v>
      </c>
      <c r="J3" s="1"/>
      <c r="K3" s="3">
        <v>-10000</v>
      </c>
      <c r="L3" s="3" t="s">
        <v>201</v>
      </c>
      <c r="N3" s="1"/>
    </row>
    <row r="4" spans="1:19" x14ac:dyDescent="0.25">
      <c r="A4" s="3">
        <v>4300</v>
      </c>
      <c r="B4" s="3">
        <v>37777.93</v>
      </c>
      <c r="C4" t="s">
        <v>3</v>
      </c>
      <c r="E4" s="4"/>
      <c r="F4" s="4">
        <f t="shared" si="0"/>
        <v>2.083848130648609</v>
      </c>
      <c r="G4" s="3">
        <v>10000</v>
      </c>
      <c r="H4" t="s">
        <v>5</v>
      </c>
      <c r="I4" s="1" t="s">
        <v>48</v>
      </c>
      <c r="J4" s="1"/>
      <c r="K4" s="3">
        <v>-8000</v>
      </c>
      <c r="L4" s="3" t="s">
        <v>202</v>
      </c>
      <c r="N4" s="1"/>
    </row>
    <row r="5" spans="1:19" x14ac:dyDescent="0.25">
      <c r="A5" s="3">
        <v>12900</v>
      </c>
      <c r="B5" s="3">
        <v>290789.19</v>
      </c>
      <c r="C5" t="s">
        <v>4</v>
      </c>
      <c r="E5" s="4"/>
      <c r="F5" s="4">
        <f t="shared" si="0"/>
        <v>2.2005498775093231</v>
      </c>
      <c r="G5" s="3">
        <v>10560.03</v>
      </c>
      <c r="H5" t="s">
        <v>6</v>
      </c>
      <c r="I5" s="1" t="s">
        <v>48</v>
      </c>
      <c r="J5" s="1"/>
      <c r="K5" s="3">
        <v>-10000</v>
      </c>
      <c r="L5" s="3" t="s">
        <v>204</v>
      </c>
      <c r="N5" s="1"/>
    </row>
    <row r="6" spans="1:19" x14ac:dyDescent="0.25">
      <c r="A6" s="3">
        <f>SUM(A2:A5)</f>
        <v>140702.94</v>
      </c>
      <c r="B6" s="3">
        <f>SUM(B2:B5)</f>
        <v>1865650.0999999999</v>
      </c>
      <c r="E6" s="4"/>
      <c r="F6" s="4">
        <f t="shared" si="0"/>
        <v>5.330481434351011</v>
      </c>
      <c r="G6" s="3">
        <v>25579.99</v>
      </c>
      <c r="H6" t="s">
        <v>100</v>
      </c>
      <c r="I6" s="1" t="s">
        <v>48</v>
      </c>
      <c r="J6" s="1"/>
      <c r="K6" s="3">
        <v>-20000</v>
      </c>
      <c r="L6" s="3" t="s">
        <v>206</v>
      </c>
      <c r="N6" s="1"/>
      <c r="R6" s="4"/>
    </row>
    <row r="7" spans="1:19" x14ac:dyDescent="0.25">
      <c r="E7" s="4"/>
      <c r="F7" s="4">
        <f t="shared" si="0"/>
        <v>2.2005436259649307</v>
      </c>
      <c r="G7" s="3">
        <v>10560</v>
      </c>
      <c r="H7" t="s">
        <v>7</v>
      </c>
      <c r="I7" s="1" t="s">
        <v>48</v>
      </c>
      <c r="J7" s="1"/>
      <c r="K7" s="1">
        <v>-24000</v>
      </c>
      <c r="L7" s="3" t="s">
        <v>213</v>
      </c>
      <c r="M7"/>
      <c r="N7" s="1"/>
    </row>
    <row r="8" spans="1:19" x14ac:dyDescent="0.25">
      <c r="E8" s="4"/>
      <c r="F8" s="4">
        <f t="shared" si="0"/>
        <v>8.3353925225944359</v>
      </c>
      <c r="G8" s="3">
        <v>40000</v>
      </c>
      <c r="H8" t="s">
        <v>9</v>
      </c>
      <c r="I8" s="1" t="s">
        <v>48</v>
      </c>
      <c r="J8" s="1"/>
      <c r="K8" s="1">
        <v>-5000</v>
      </c>
      <c r="L8" s="3" t="s">
        <v>226</v>
      </c>
      <c r="M8"/>
      <c r="N8" s="4"/>
    </row>
    <row r="9" spans="1:19" x14ac:dyDescent="0.25">
      <c r="E9" s="4"/>
      <c r="F9" s="4">
        <f t="shared" si="0"/>
        <v>66.389817717885393</v>
      </c>
      <c r="G9" s="1">
        <v>318592.40000000002</v>
      </c>
      <c r="H9" t="s">
        <v>65</v>
      </c>
      <c r="I9" s="1" t="s">
        <v>49</v>
      </c>
      <c r="J9" s="1"/>
      <c r="K9" s="1">
        <v>-10000</v>
      </c>
      <c r="L9" s="3" t="s">
        <v>227</v>
      </c>
      <c r="M9"/>
    </row>
    <row r="10" spans="1:19" x14ac:dyDescent="0.25">
      <c r="F10" s="4">
        <f t="shared" si="0"/>
        <v>100</v>
      </c>
      <c r="G10" s="1">
        <f>SUM(G3:G9)</f>
        <v>479881.42000000004</v>
      </c>
      <c r="J10" s="1"/>
      <c r="K10" s="1">
        <v>-10000</v>
      </c>
      <c r="L10" s="3" t="s">
        <v>228</v>
      </c>
      <c r="M10"/>
      <c r="R10" s="1"/>
    </row>
    <row r="11" spans="1:19" x14ac:dyDescent="0.25">
      <c r="K11" s="1">
        <v>-84000</v>
      </c>
      <c r="L11" s="3" t="s">
        <v>230</v>
      </c>
      <c r="M11"/>
      <c r="R11" s="4"/>
    </row>
    <row r="12" spans="1:19" x14ac:dyDescent="0.25">
      <c r="B12" s="3"/>
      <c r="K12" s="1">
        <v>-10000</v>
      </c>
      <c r="L12" s="3" t="s">
        <v>238</v>
      </c>
      <c r="M12"/>
      <c r="R12" s="4"/>
    </row>
    <row r="13" spans="1:19" x14ac:dyDescent="0.25">
      <c r="B13" s="3"/>
      <c r="J13" s="1"/>
      <c r="K13" s="1">
        <f>SUM(K1:K12)</f>
        <v>-498168.59</v>
      </c>
      <c r="L13" s="3" t="s">
        <v>40</v>
      </c>
      <c r="M13"/>
    </row>
    <row r="14" spans="1:19" x14ac:dyDescent="0.25">
      <c r="M14"/>
      <c r="R14" s="4"/>
      <c r="S14" s="1"/>
    </row>
    <row r="15" spans="1:19" x14ac:dyDescent="0.25">
      <c r="M15"/>
    </row>
    <row r="16" spans="1:19" x14ac:dyDescent="0.25">
      <c r="A16" s="1">
        <v>-600000</v>
      </c>
      <c r="B16" s="1" t="s">
        <v>12</v>
      </c>
      <c r="M16"/>
    </row>
    <row r="17" spans="1:13" x14ac:dyDescent="0.25">
      <c r="A17" s="1">
        <v>-600000</v>
      </c>
      <c r="B17" s="1" t="s">
        <v>10</v>
      </c>
      <c r="H17" s="1"/>
      <c r="I17" s="1"/>
      <c r="J17" s="1"/>
      <c r="M17"/>
    </row>
    <row r="18" spans="1:13" x14ac:dyDescent="0.25">
      <c r="A18" s="1">
        <f>+G10</f>
        <v>479881.42000000004</v>
      </c>
      <c r="B18" s="1" t="s">
        <v>8</v>
      </c>
      <c r="H18" s="1"/>
      <c r="I18" s="1"/>
      <c r="J18" s="1"/>
      <c r="K18" s="9" t="s">
        <v>50</v>
      </c>
      <c r="L18" t="s">
        <v>52</v>
      </c>
      <c r="M18"/>
    </row>
    <row r="19" spans="1:13" x14ac:dyDescent="0.25">
      <c r="A19" s="1">
        <f>SUM(A16:A18)</f>
        <v>-720118.58</v>
      </c>
      <c r="B19" s="1">
        <f>+A19*7</f>
        <v>-5040830.0599999996</v>
      </c>
      <c r="H19" s="1"/>
      <c r="I19" s="1"/>
      <c r="J19" s="1"/>
      <c r="K19" s="7" t="s">
        <v>48</v>
      </c>
      <c r="L19" s="4">
        <v>161289.02000000002</v>
      </c>
      <c r="M19"/>
    </row>
    <row r="20" spans="1:13" x14ac:dyDescent="0.25">
      <c r="I20" s="1"/>
      <c r="J20" s="1"/>
      <c r="K20" s="7" t="s">
        <v>49</v>
      </c>
      <c r="L20" s="4">
        <v>318592.40000000002</v>
      </c>
      <c r="M20"/>
    </row>
    <row r="21" spans="1:13" x14ac:dyDescent="0.25">
      <c r="H21" s="1"/>
      <c r="I21" s="1"/>
      <c r="J21" s="1"/>
      <c r="K21" s="7" t="s">
        <v>51</v>
      </c>
      <c r="L21" s="4">
        <v>479881.42000000004</v>
      </c>
      <c r="M21"/>
    </row>
    <row r="22" spans="1:13" x14ac:dyDescent="0.25">
      <c r="H22" s="1"/>
      <c r="I22" s="1"/>
      <c r="J22" s="1"/>
      <c r="K22"/>
      <c r="L22"/>
      <c r="M22"/>
    </row>
    <row r="23" spans="1:13" x14ac:dyDescent="0.25">
      <c r="H23" s="1"/>
      <c r="I23" s="1"/>
      <c r="J23" s="1"/>
      <c r="K23"/>
      <c r="L23"/>
      <c r="M23"/>
    </row>
    <row r="24" spans="1:13" x14ac:dyDescent="0.25">
      <c r="H24" s="1"/>
      <c r="I24" s="1"/>
      <c r="J24" s="1"/>
    </row>
    <row r="25" spans="1:13" x14ac:dyDescent="0.25">
      <c r="H25" s="1"/>
      <c r="I25" s="1"/>
      <c r="J25" s="1"/>
    </row>
    <row r="26" spans="1:13" x14ac:dyDescent="0.25">
      <c r="H26" s="1"/>
      <c r="I26" s="1"/>
      <c r="J26" s="1"/>
    </row>
    <row r="27" spans="1:13" x14ac:dyDescent="0.25">
      <c r="H27" s="1"/>
      <c r="I27" s="1"/>
      <c r="J27" s="1"/>
    </row>
    <row r="35" spans="7:7" x14ac:dyDescent="0.25">
      <c r="G35" s="1" t="s">
        <v>46</v>
      </c>
    </row>
  </sheetData>
  <mergeCells count="2">
    <mergeCell ref="A1:C1"/>
    <mergeCell ref="G1:H1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AF06-FAB1-469C-B135-17573482FD47}">
  <dimension ref="A1:F13"/>
  <sheetViews>
    <sheetView showGridLines="0" workbookViewId="0">
      <pane ySplit="1" topLeftCell="A2" activePane="bottomLeft" state="frozen"/>
      <selection pane="bottomLeft" activeCell="B2" sqref="B2:C2"/>
    </sheetView>
  </sheetViews>
  <sheetFormatPr defaultRowHeight="15" x14ac:dyDescent="0.25"/>
  <cols>
    <col min="1" max="1" width="10.5703125" bestFit="1" customWidth="1"/>
    <col min="2" max="2" width="13.7109375" style="1" bestFit="1" customWidth="1"/>
    <col min="3" max="3" width="14.140625" style="1" bestFit="1" customWidth="1"/>
    <col min="4" max="4" width="12.5703125" bestFit="1" customWidth="1"/>
    <col min="5" max="5" width="12.5703125" style="1" bestFit="1" customWidth="1"/>
    <col min="6" max="6" width="30.140625" style="1" bestFit="1" customWidth="1"/>
  </cols>
  <sheetData>
    <row r="1" spans="1:6" x14ac:dyDescent="0.25">
      <c r="A1" t="s">
        <v>35</v>
      </c>
      <c r="B1" s="1" t="s">
        <v>12</v>
      </c>
      <c r="C1" s="1" t="s">
        <v>10</v>
      </c>
      <c r="D1" t="s">
        <v>43</v>
      </c>
      <c r="E1" s="1" t="s">
        <v>36</v>
      </c>
      <c r="F1" s="1" t="s">
        <v>44</v>
      </c>
    </row>
    <row r="2" spans="1:6" x14ac:dyDescent="0.25">
      <c r="A2" t="s">
        <v>25</v>
      </c>
      <c r="B2" s="1">
        <v>100000</v>
      </c>
      <c r="C2" s="1">
        <v>200000</v>
      </c>
      <c r="D2" s="1">
        <f t="shared" ref="D2:D7" si="0">+C2+B2</f>
        <v>300000</v>
      </c>
      <c r="E2" s="1">
        <v>1235742.17</v>
      </c>
      <c r="F2" s="1">
        <f>+E2-D2-124000</f>
        <v>811742.16999999993</v>
      </c>
    </row>
    <row r="3" spans="1:6" x14ac:dyDescent="0.25">
      <c r="A3" t="s">
        <v>26</v>
      </c>
      <c r="B3" s="1">
        <v>260000</v>
      </c>
      <c r="C3" s="1">
        <v>280000</v>
      </c>
      <c r="D3" s="1">
        <f t="shared" si="0"/>
        <v>540000</v>
      </c>
      <c r="E3" s="1">
        <f>+F2</f>
        <v>811742.16999999993</v>
      </c>
      <c r="F3" s="1">
        <f>+E3-D3</f>
        <v>271742.16999999993</v>
      </c>
    </row>
    <row r="4" spans="1:6" x14ac:dyDescent="0.25">
      <c r="A4" t="s">
        <v>27</v>
      </c>
      <c r="B4" s="1">
        <v>225000</v>
      </c>
      <c r="C4" s="1">
        <v>300000</v>
      </c>
      <c r="D4" s="1">
        <f t="shared" si="0"/>
        <v>525000</v>
      </c>
      <c r="E4" s="1">
        <f>+F3</f>
        <v>271742.16999999993</v>
      </c>
      <c r="F4" s="3">
        <f>+D4-E4</f>
        <v>253257.83000000007</v>
      </c>
    </row>
    <row r="5" spans="1:6" x14ac:dyDescent="0.25">
      <c r="A5" t="s">
        <v>28</v>
      </c>
      <c r="B5" s="1">
        <v>270000</v>
      </c>
      <c r="C5" s="1">
        <v>300000</v>
      </c>
      <c r="D5" s="4">
        <f t="shared" si="0"/>
        <v>570000</v>
      </c>
      <c r="E5" s="1">
        <v>32367.78</v>
      </c>
      <c r="F5" s="2">
        <f>+D5-E5</f>
        <v>537632.22</v>
      </c>
    </row>
    <row r="6" spans="1:6" x14ac:dyDescent="0.25">
      <c r="A6" t="s">
        <v>29</v>
      </c>
      <c r="B6" s="1">
        <v>240000</v>
      </c>
      <c r="C6" s="1">
        <v>300000</v>
      </c>
      <c r="D6" s="4">
        <f t="shared" si="0"/>
        <v>540000</v>
      </c>
      <c r="F6" s="2">
        <f>+F5+D6</f>
        <v>1077632.22</v>
      </c>
    </row>
    <row r="7" spans="1:6" x14ac:dyDescent="0.25">
      <c r="A7" t="s">
        <v>30</v>
      </c>
      <c r="B7" s="1">
        <v>270000</v>
      </c>
      <c r="C7" s="1">
        <v>300000</v>
      </c>
      <c r="D7" s="4">
        <f t="shared" si="0"/>
        <v>570000</v>
      </c>
      <c r="F7" s="2">
        <f t="shared" ref="F7:F12" si="1">+D7+F6</f>
        <v>1647632.22</v>
      </c>
    </row>
    <row r="8" spans="1:6" x14ac:dyDescent="0.25">
      <c r="A8" t="s">
        <v>31</v>
      </c>
      <c r="B8" s="1">
        <v>240000</v>
      </c>
      <c r="C8" s="1">
        <v>300000</v>
      </c>
      <c r="D8" s="4">
        <f t="shared" ref="D8:D11" si="2">+C8+B8</f>
        <v>540000</v>
      </c>
      <c r="F8" s="2">
        <f t="shared" si="1"/>
        <v>2187632.2199999997</v>
      </c>
    </row>
    <row r="9" spans="1:6" x14ac:dyDescent="0.25">
      <c r="A9" t="s">
        <v>32</v>
      </c>
      <c r="B9" s="1">
        <v>270000</v>
      </c>
      <c r="C9" s="1">
        <v>300000</v>
      </c>
      <c r="D9" s="4">
        <f t="shared" si="2"/>
        <v>570000</v>
      </c>
      <c r="F9" s="2">
        <f t="shared" si="1"/>
        <v>2757632.2199999997</v>
      </c>
    </row>
    <row r="10" spans="1:6" x14ac:dyDescent="0.25">
      <c r="A10" t="s">
        <v>33</v>
      </c>
      <c r="B10" s="1">
        <v>240000</v>
      </c>
      <c r="C10" s="1">
        <v>300000</v>
      </c>
      <c r="D10" s="4">
        <f t="shared" si="2"/>
        <v>540000</v>
      </c>
      <c r="F10" s="2">
        <f t="shared" si="1"/>
        <v>3297632.2199999997</v>
      </c>
    </row>
    <row r="11" spans="1:6" x14ac:dyDescent="0.25">
      <c r="A11" t="s">
        <v>34</v>
      </c>
      <c r="B11" s="1">
        <v>270000</v>
      </c>
      <c r="C11" s="1">
        <v>300000</v>
      </c>
      <c r="D11" s="4">
        <f t="shared" si="2"/>
        <v>570000</v>
      </c>
      <c r="F11" s="2">
        <f t="shared" si="1"/>
        <v>3867632.2199999997</v>
      </c>
    </row>
    <row r="12" spans="1:6" x14ac:dyDescent="0.25">
      <c r="A12" t="s">
        <v>45</v>
      </c>
      <c r="B12" s="1">
        <v>1400000</v>
      </c>
      <c r="D12" s="4">
        <f>+B12</f>
        <v>1400000</v>
      </c>
      <c r="F12" s="5">
        <f t="shared" si="1"/>
        <v>5267632.22</v>
      </c>
    </row>
    <row r="13" spans="1:6" x14ac:dyDescent="0.25">
      <c r="F13" s="6">
        <f>+F12-525778.56</f>
        <v>4741853.66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4741-1781-4692-BF52-B1272657DB4C}">
  <dimension ref="A1:K24"/>
  <sheetViews>
    <sheetView showGridLines="0" topLeftCell="C1" workbookViewId="0">
      <selection activeCell="H11" sqref="H11"/>
    </sheetView>
  </sheetViews>
  <sheetFormatPr defaultRowHeight="15" x14ac:dyDescent="0.25"/>
  <cols>
    <col min="1" max="1" width="5.7109375" bestFit="1" customWidth="1"/>
    <col min="2" max="2" width="33" bestFit="1" customWidth="1"/>
    <col min="3" max="3" width="12.5703125" style="1" bestFit="1" customWidth="1"/>
    <col min="4" max="4" width="6.85546875" style="1" bestFit="1" customWidth="1"/>
    <col min="5" max="5" width="136.5703125" bestFit="1" customWidth="1"/>
    <col min="6" max="6" width="12.85546875" bestFit="1" customWidth="1"/>
    <col min="7" max="7" width="11.28515625" bestFit="1" customWidth="1"/>
    <col min="8" max="8" width="15.140625" style="1" bestFit="1" customWidth="1"/>
    <col min="9" max="9" width="17.28515625" style="3" customWidth="1"/>
    <col min="10" max="10" width="13" bestFit="1" customWidth="1"/>
    <col min="11" max="11" width="13.28515625" bestFit="1" customWidth="1"/>
  </cols>
  <sheetData>
    <row r="1" spans="1:11" x14ac:dyDescent="0.25">
      <c r="A1" s="34" t="s">
        <v>87</v>
      </c>
      <c r="B1" s="10" t="s">
        <v>13</v>
      </c>
      <c r="C1" s="11" t="s">
        <v>14</v>
      </c>
      <c r="D1" s="11" t="s">
        <v>42</v>
      </c>
      <c r="E1" s="10" t="s">
        <v>15</v>
      </c>
      <c r="F1" s="10" t="s">
        <v>90</v>
      </c>
      <c r="G1" s="10" t="s">
        <v>105</v>
      </c>
      <c r="H1" s="11" t="s">
        <v>106</v>
      </c>
      <c r="I1" s="63" t="s">
        <v>145</v>
      </c>
      <c r="J1" s="9" t="s">
        <v>90</v>
      </c>
      <c r="K1" t="s">
        <v>91</v>
      </c>
    </row>
    <row r="2" spans="1:11" x14ac:dyDescent="0.25">
      <c r="A2" s="35" t="s">
        <v>93</v>
      </c>
      <c r="B2" s="35" t="s">
        <v>16</v>
      </c>
      <c r="C2" s="36">
        <v>270000</v>
      </c>
      <c r="D2" s="36">
        <f>+Table2[[#This Row],[Monto]]/Table2[[#Totals],[Monto]]*100</f>
        <v>10.494402985074627</v>
      </c>
      <c r="E2" s="37" t="s">
        <v>107</v>
      </c>
      <c r="F2" s="35" t="s">
        <v>88</v>
      </c>
      <c r="G2" s="35"/>
      <c r="H2" s="36"/>
      <c r="I2" s="61"/>
    </row>
    <row r="3" spans="1:11" x14ac:dyDescent="0.25">
      <c r="A3" s="38" t="s">
        <v>93</v>
      </c>
      <c r="B3" s="38" t="s">
        <v>17</v>
      </c>
      <c r="C3" s="39">
        <v>350000</v>
      </c>
      <c r="D3" s="39">
        <f>+Table2[[#This Row],[Monto]]/Table2[[#Totals],[Monto]]*100</f>
        <v>13.603855721393035</v>
      </c>
      <c r="E3" s="40" t="s">
        <v>108</v>
      </c>
      <c r="F3" s="38" t="s">
        <v>59</v>
      </c>
      <c r="G3" s="38"/>
      <c r="H3" s="39"/>
      <c r="I3" s="23"/>
      <c r="J3" s="9" t="s">
        <v>50</v>
      </c>
      <c r="K3" t="s">
        <v>52</v>
      </c>
    </row>
    <row r="4" spans="1:11" x14ac:dyDescent="0.25">
      <c r="A4" s="41" t="s">
        <v>93</v>
      </c>
      <c r="B4" s="41" t="s">
        <v>53</v>
      </c>
      <c r="C4" s="42">
        <v>182500</v>
      </c>
      <c r="D4" s="42">
        <f>+Table2[[#This Row],[Monto]]/Table2[[#Totals],[Monto]]*100</f>
        <v>7.0934390547263675</v>
      </c>
      <c r="E4" s="41" t="s">
        <v>54</v>
      </c>
      <c r="F4" s="41" t="s">
        <v>91</v>
      </c>
      <c r="G4" s="41"/>
      <c r="H4" s="42"/>
      <c r="I4" s="23"/>
      <c r="J4" s="7" t="s">
        <v>94</v>
      </c>
      <c r="K4" s="4">
        <v>1070000</v>
      </c>
    </row>
    <row r="5" spans="1:11" x14ac:dyDescent="0.25">
      <c r="A5" s="43" t="s">
        <v>93</v>
      </c>
      <c r="B5" s="43" t="s">
        <v>18</v>
      </c>
      <c r="C5" s="44"/>
      <c r="D5" s="44">
        <f>+Table2[[#This Row],[Monto]]/Table2[[#Totals],[Monto]]*100</f>
        <v>0</v>
      </c>
      <c r="E5" s="45" t="s">
        <v>102</v>
      </c>
      <c r="F5" s="43" t="s">
        <v>88</v>
      </c>
      <c r="G5" s="43"/>
      <c r="H5" s="44">
        <f>+Table2[[#This Row],[Monto]]-Table2[[#This Row],[Abono]]</f>
        <v>0</v>
      </c>
      <c r="I5" s="23"/>
      <c r="J5" s="7" t="s">
        <v>93</v>
      </c>
      <c r="K5" s="4">
        <v>677500</v>
      </c>
    </row>
    <row r="6" spans="1:11" x14ac:dyDescent="0.25">
      <c r="A6" s="35" t="s">
        <v>93</v>
      </c>
      <c r="B6" s="35" t="s">
        <v>19</v>
      </c>
      <c r="C6" s="36">
        <v>300000</v>
      </c>
      <c r="D6" s="36">
        <f>+Table2[[#This Row],[Monto]]/Table2[[#Totals],[Monto]]*100</f>
        <v>11.66044776119403</v>
      </c>
      <c r="E6" s="37" t="s">
        <v>109</v>
      </c>
      <c r="F6" s="35" t="s">
        <v>122</v>
      </c>
      <c r="G6" s="35"/>
      <c r="H6" s="36"/>
      <c r="I6" s="23"/>
      <c r="J6" s="7" t="s">
        <v>51</v>
      </c>
      <c r="K6" s="4">
        <v>1747500</v>
      </c>
    </row>
    <row r="7" spans="1:11" x14ac:dyDescent="0.25">
      <c r="A7" s="46" t="s">
        <v>93</v>
      </c>
      <c r="B7" s="46" t="s">
        <v>21</v>
      </c>
      <c r="C7" s="47">
        <v>34900</v>
      </c>
      <c r="D7" s="47">
        <f>+Table2[[#This Row],[Monto]]/Table2[[#Totals],[Monto]]*100</f>
        <v>1.3564987562189055</v>
      </c>
      <c r="E7" s="46" t="s">
        <v>20</v>
      </c>
      <c r="F7" s="46" t="s">
        <v>92</v>
      </c>
      <c r="G7" s="46"/>
      <c r="H7" s="47"/>
      <c r="I7" s="23"/>
    </row>
    <row r="8" spans="1:11" x14ac:dyDescent="0.25">
      <c r="A8" s="46" t="s">
        <v>93</v>
      </c>
      <c r="B8" s="46" t="s">
        <v>23</v>
      </c>
      <c r="C8" s="47">
        <v>87900</v>
      </c>
      <c r="D8" s="47">
        <f>+Table2[[#This Row],[Monto]]/Table2[[#Totals],[Monto]]*100</f>
        <v>3.4165111940298512</v>
      </c>
      <c r="E8" s="46" t="s">
        <v>22</v>
      </c>
      <c r="F8" s="46" t="s">
        <v>92</v>
      </c>
      <c r="G8" s="46"/>
      <c r="H8" s="47"/>
      <c r="I8" s="23"/>
    </row>
    <row r="9" spans="1:11" x14ac:dyDescent="0.25">
      <c r="A9" s="43" t="s">
        <v>93</v>
      </c>
      <c r="B9" s="43" t="s">
        <v>97</v>
      </c>
      <c r="C9" s="44"/>
      <c r="D9" s="44">
        <f>+Table2[[#This Row],[Monto]]/Table2[[#Totals],[Monto]]*100</f>
        <v>0</v>
      </c>
      <c r="E9" s="43" t="s">
        <v>98</v>
      </c>
      <c r="F9" s="43" t="s">
        <v>91</v>
      </c>
      <c r="G9" s="43"/>
      <c r="H9" s="44">
        <f>+Table2[[#This Row],[Monto]]-Table2[[#This Row],[Abono]]</f>
        <v>0</v>
      </c>
      <c r="I9" s="23"/>
    </row>
    <row r="10" spans="1:11" x14ac:dyDescent="0.25">
      <c r="A10" s="43" t="s">
        <v>94</v>
      </c>
      <c r="B10" s="43" t="s">
        <v>41</v>
      </c>
      <c r="C10" s="44">
        <v>285000</v>
      </c>
      <c r="D10" s="44">
        <f>+Table2[[#This Row],[Monto]]/Table2[[#Totals],[Monto]]*100</f>
        <v>11.077425373134329</v>
      </c>
      <c r="E10" s="43" t="s">
        <v>56</v>
      </c>
      <c r="F10" s="43" t="s">
        <v>91</v>
      </c>
      <c r="G10" s="44">
        <v>285000</v>
      </c>
      <c r="H10" s="44">
        <f>+Table2[[#This Row],[Monto]]-Table2[[#This Row],[Abono]]</f>
        <v>0</v>
      </c>
      <c r="I10" s="23" t="s">
        <v>219</v>
      </c>
    </row>
    <row r="11" spans="1:11" x14ac:dyDescent="0.25">
      <c r="A11" s="43" t="s">
        <v>94</v>
      </c>
      <c r="B11" s="43" t="s">
        <v>57</v>
      </c>
      <c r="C11" s="44">
        <v>832500</v>
      </c>
      <c r="D11" s="44">
        <f>+Table2[[#This Row],[Monto]]/Table2[[#Totals],[Monto]]*100</f>
        <v>32.357742537313435</v>
      </c>
      <c r="E11" s="43" t="s">
        <v>110</v>
      </c>
      <c r="F11" s="43" t="s">
        <v>91</v>
      </c>
      <c r="G11" s="44">
        <v>832500</v>
      </c>
      <c r="H11" s="44">
        <f>+Table2[[#This Row],[Monto]]-Table2[[#This Row],[Abono]]</f>
        <v>0</v>
      </c>
      <c r="I11" s="23" t="s">
        <v>219</v>
      </c>
    </row>
    <row r="12" spans="1:11" x14ac:dyDescent="0.25">
      <c r="A12" s="43" t="s">
        <v>94</v>
      </c>
      <c r="B12" s="43" t="s">
        <v>101</v>
      </c>
      <c r="C12" s="44">
        <v>90000</v>
      </c>
      <c r="D12" s="44">
        <f>+Table2[[#This Row],[Monto]]/Table2[[#Totals],[Monto]]*100</f>
        <v>3.4981343283582085</v>
      </c>
      <c r="E12" s="43" t="s">
        <v>104</v>
      </c>
      <c r="F12" s="43" t="s">
        <v>91</v>
      </c>
      <c r="G12" s="44">
        <v>190000</v>
      </c>
      <c r="H12" s="44"/>
      <c r="I12" s="23"/>
    </row>
    <row r="13" spans="1:11" x14ac:dyDescent="0.25">
      <c r="A13" s="43" t="s">
        <v>94</v>
      </c>
      <c r="B13" s="43" t="s">
        <v>95</v>
      </c>
      <c r="C13" s="44">
        <v>140000</v>
      </c>
      <c r="D13" s="44">
        <f>+Table2[[#This Row],[Monto]]/Table2[[#Totals],[Monto]]*100</f>
        <v>5.4415422885572138</v>
      </c>
      <c r="E13" s="43" t="s">
        <v>112</v>
      </c>
      <c r="F13" s="43" t="s">
        <v>91</v>
      </c>
      <c r="G13" s="44">
        <v>42000</v>
      </c>
      <c r="H13" s="44">
        <f>+Table2[[#This Row],[Monto]]-Table2[[#This Row],[Abono]]</f>
        <v>98000</v>
      </c>
      <c r="I13" s="62" t="s">
        <v>220</v>
      </c>
    </row>
    <row r="14" spans="1:11" x14ac:dyDescent="0.25">
      <c r="C14" s="4">
        <f>SUBTOTAL(109,Table2[Monto])</f>
        <v>2572800</v>
      </c>
      <c r="D14" s="4"/>
      <c r="H14" s="4">
        <f>+H13+H12+H11+H10+H9</f>
        <v>98000</v>
      </c>
      <c r="I14"/>
    </row>
    <row r="15" spans="1:11" x14ac:dyDescent="0.25">
      <c r="C15" s="1">
        <f>+C13+C12+C11+C10+C9</f>
        <v>1347500</v>
      </c>
    </row>
    <row r="22" spans="2:2" ht="12.6" customHeight="1" x14ac:dyDescent="0.25">
      <c r="B22" s="1"/>
    </row>
    <row r="23" spans="2:2" x14ac:dyDescent="0.25">
      <c r="B23" s="1"/>
    </row>
    <row r="24" spans="2:2" x14ac:dyDescent="0.25">
      <c r="B24" s="1"/>
    </row>
  </sheetData>
  <hyperlinks>
    <hyperlink ref="E5" r:id="rId2" xr:uid="{AE3DD220-E2E0-4640-B452-AC6037A1FAE9}"/>
    <hyperlink ref="E2" r:id="rId3" xr:uid="{1EB83914-9A8F-4460-9105-F119F425E324}"/>
    <hyperlink ref="E3" r:id="rId4" xr:uid="{85E3D559-B1D6-47E6-8BDA-938FE3A01AD6}"/>
    <hyperlink ref="E6" r:id="rId5" xr:uid="{EB558D27-EA64-46CF-B629-087DBD0FFD5E}"/>
  </hyperlinks>
  <pageMargins left="0.7" right="0.7" top="0.75" bottom="0.75" header="0.3" footer="0.3"/>
  <pageSetup paperSize="9" orientation="portrait" r:id="rId6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D907-1750-4972-AE50-2FE967934219}">
  <dimension ref="A1:Q37"/>
  <sheetViews>
    <sheetView showGridLines="0" topLeftCell="D1" zoomScale="118" zoomScaleNormal="118" zoomScaleSheetLayoutView="120" workbookViewId="0">
      <pane ySplit="1" topLeftCell="A2" activePane="bottomLeft" state="frozen"/>
      <selection pane="bottomLeft" activeCell="P22" sqref="P22:P24"/>
    </sheetView>
  </sheetViews>
  <sheetFormatPr defaultRowHeight="15" x14ac:dyDescent="0.25"/>
  <cols>
    <col min="1" max="1" width="17.140625" bestFit="1" customWidth="1"/>
    <col min="2" max="2" width="15.42578125" bestFit="1" customWidth="1"/>
    <col min="3" max="3" width="15.85546875" bestFit="1" customWidth="1"/>
    <col min="4" max="4" width="16.140625" bestFit="1" customWidth="1"/>
    <col min="5" max="5" width="10.28515625" bestFit="1" customWidth="1"/>
    <col min="6" max="6" width="11.42578125" bestFit="1" customWidth="1"/>
    <col min="7" max="7" width="20.85546875" bestFit="1" customWidth="1"/>
    <col min="8" max="8" width="23.28515625" bestFit="1" customWidth="1"/>
    <col min="9" max="9" width="19.7109375" bestFit="1" customWidth="1"/>
    <col min="10" max="10" width="10.28515625" bestFit="1" customWidth="1"/>
    <col min="11" max="11" width="13.7109375" bestFit="1" customWidth="1"/>
    <col min="12" max="12" width="12.85546875" bestFit="1" customWidth="1"/>
    <col min="13" max="13" width="9.85546875" bestFit="1" customWidth="1"/>
    <col min="14" max="14" width="16.85546875" bestFit="1" customWidth="1"/>
    <col min="15" max="15" width="16.5703125" bestFit="1" customWidth="1"/>
    <col min="16" max="16" width="13.28515625" bestFit="1" customWidth="1"/>
    <col min="17" max="17" width="21" bestFit="1" customWidth="1"/>
  </cols>
  <sheetData>
    <row r="1" spans="1:17" x14ac:dyDescent="0.25">
      <c r="A1" t="s">
        <v>35</v>
      </c>
      <c r="B1" s="1" t="s">
        <v>12</v>
      </c>
      <c r="C1" s="1" t="s">
        <v>10</v>
      </c>
      <c r="D1" s="1" t="s">
        <v>187</v>
      </c>
      <c r="E1" s="1" t="s">
        <v>59</v>
      </c>
      <c r="F1" s="1" t="s">
        <v>81</v>
      </c>
      <c r="G1" s="1" t="s">
        <v>80</v>
      </c>
      <c r="H1" s="1" t="s">
        <v>79</v>
      </c>
      <c r="I1" s="1" t="s">
        <v>78</v>
      </c>
      <c r="J1" s="1" t="s">
        <v>77</v>
      </c>
      <c r="K1" s="1" t="s">
        <v>76</v>
      </c>
      <c r="L1" s="1" t="s">
        <v>75</v>
      </c>
      <c r="M1" s="1" t="s">
        <v>74</v>
      </c>
      <c r="N1" s="1" t="s">
        <v>73</v>
      </c>
      <c r="O1" s="1" t="s">
        <v>72</v>
      </c>
      <c r="P1" s="1" t="s">
        <v>207</v>
      </c>
      <c r="Q1" s="1" t="s">
        <v>145</v>
      </c>
    </row>
    <row r="2" spans="1:17" x14ac:dyDescent="0.25">
      <c r="A2" t="s">
        <v>55</v>
      </c>
      <c r="B2" s="2"/>
      <c r="C2" s="2"/>
      <c r="D2" s="2"/>
      <c r="E2" s="2"/>
      <c r="F2" s="2"/>
      <c r="G2" s="16"/>
      <c r="H2" s="16"/>
      <c r="I2" s="16"/>
      <c r="J2" s="15"/>
      <c r="K2" s="15"/>
      <c r="L2" s="15"/>
      <c r="M2" s="15"/>
      <c r="N2" s="15"/>
      <c r="O2" s="14"/>
      <c r="P2" s="1">
        <f>+'Deudas Marzo'!K13</f>
        <v>-498168.59</v>
      </c>
      <c r="Q2" s="15"/>
    </row>
    <row r="3" spans="1:17" x14ac:dyDescent="0.25">
      <c r="A3" t="s">
        <v>25</v>
      </c>
      <c r="B3" s="2">
        <v>-700000</v>
      </c>
      <c r="C3" s="2"/>
      <c r="D3" s="2">
        <v>-35000</v>
      </c>
      <c r="E3" s="2"/>
      <c r="F3" s="2">
        <f>+E3+D3+C3+B3</f>
        <v>-735000</v>
      </c>
      <c r="G3" s="16">
        <f>+GETPIVOTDATA("Monto",'Deudas Marzo'!$K$18,"Quincena","1ra")</f>
        <v>161289.02000000002</v>
      </c>
      <c r="H3" s="16">
        <v>40000</v>
      </c>
      <c r="I3" s="16">
        <f>+H3+G3</f>
        <v>201289.02000000002</v>
      </c>
      <c r="J3" s="15"/>
      <c r="K3" s="15"/>
      <c r="L3" s="15"/>
      <c r="M3" s="15"/>
      <c r="N3" s="15"/>
      <c r="O3" s="14">
        <f t="shared" ref="O3:O5" si="0">+N3+I3</f>
        <v>201289.02000000002</v>
      </c>
      <c r="P3" s="1">
        <f>+P2+Table1[[#This Row],[Ingresos]]+Table1[[#This Row],[Gastos totales]]</f>
        <v>-1031879.5700000001</v>
      </c>
      <c r="Q3" s="15"/>
    </row>
    <row r="4" spans="1:17" x14ac:dyDescent="0.25">
      <c r="A4" s="17" t="s">
        <v>60</v>
      </c>
      <c r="B4" s="18"/>
      <c r="C4" s="18"/>
      <c r="D4" s="18"/>
      <c r="E4" s="18"/>
      <c r="F4" s="18">
        <f>+E4+D4+C4+B4</f>
        <v>0</v>
      </c>
      <c r="G4" s="18"/>
      <c r="H4" s="18"/>
      <c r="I4" s="18">
        <f>+H4+G4</f>
        <v>0</v>
      </c>
      <c r="J4" s="18"/>
      <c r="K4" s="18"/>
      <c r="L4" s="18"/>
      <c r="M4" s="18"/>
      <c r="N4" s="18">
        <f>+L4+K4+J4+M4</f>
        <v>0</v>
      </c>
      <c r="O4" s="18">
        <f t="shared" si="0"/>
        <v>0</v>
      </c>
      <c r="P4" s="19">
        <f>+Table2[[#Totals],[Saldo restante]]</f>
        <v>98000</v>
      </c>
      <c r="Q4" s="15"/>
    </row>
    <row r="5" spans="1:17" x14ac:dyDescent="0.25">
      <c r="A5" s="17" t="s">
        <v>61</v>
      </c>
      <c r="B5" s="18"/>
      <c r="C5" s="18"/>
      <c r="D5" s="18"/>
      <c r="E5" s="18"/>
      <c r="F5" s="18">
        <f>+E5+D5+C5+B5</f>
        <v>0</v>
      </c>
      <c r="G5" s="18"/>
      <c r="H5" s="18"/>
      <c r="I5" s="18">
        <f>+H5+G5</f>
        <v>0</v>
      </c>
      <c r="J5" s="18"/>
      <c r="K5" s="18"/>
      <c r="L5" s="18"/>
      <c r="M5" s="18"/>
      <c r="N5" s="18">
        <f>+L5+K5+J5+M5</f>
        <v>0</v>
      </c>
      <c r="O5" s="18">
        <f t="shared" si="0"/>
        <v>0</v>
      </c>
      <c r="P5" s="19">
        <f ca="1">+'Luna de miel'!B35</f>
        <v>668869.85999999987</v>
      </c>
      <c r="Q5" s="15"/>
    </row>
    <row r="6" spans="1:17" x14ac:dyDescent="0.25">
      <c r="A6" t="s">
        <v>103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24">
        <f ca="1">+P5+P4+P3</f>
        <v>-265009.7100000002</v>
      </c>
    </row>
    <row r="7" spans="1:17" x14ac:dyDescent="0.25">
      <c r="H7" s="1"/>
      <c r="I7" s="1"/>
      <c r="J7" s="1"/>
      <c r="N7" s="1"/>
      <c r="P7" s="1"/>
      <c r="Q7" t="s">
        <v>59</v>
      </c>
    </row>
    <row r="8" spans="1:17" x14ac:dyDescent="0.25">
      <c r="H8" s="1"/>
      <c r="I8" s="1"/>
      <c r="J8" s="1"/>
      <c r="P8" s="1">
        <v>-800000</v>
      </c>
      <c r="Q8" t="s">
        <v>205</v>
      </c>
    </row>
    <row r="9" spans="1:17" x14ac:dyDescent="0.25">
      <c r="H9" s="1"/>
      <c r="I9" s="1"/>
      <c r="J9" s="1"/>
      <c r="P9" s="1">
        <v>-58000</v>
      </c>
      <c r="Q9" t="s">
        <v>234</v>
      </c>
    </row>
    <row r="10" spans="1:17" x14ac:dyDescent="0.25">
      <c r="H10" s="1"/>
      <c r="I10" s="1"/>
      <c r="J10" s="1"/>
      <c r="P10" s="1">
        <v>-300000</v>
      </c>
      <c r="Q10" t="s">
        <v>233</v>
      </c>
    </row>
    <row r="11" spans="1:17" x14ac:dyDescent="0.25">
      <c r="P11" s="1">
        <f ca="1">SUM(P6:P10)</f>
        <v>-1423009.7100000002</v>
      </c>
      <c r="Q11" t="s">
        <v>146</v>
      </c>
    </row>
    <row r="12" spans="1:17" x14ac:dyDescent="0.25">
      <c r="P12" s="1"/>
      <c r="Q12" t="s">
        <v>93</v>
      </c>
    </row>
    <row r="13" spans="1:17" x14ac:dyDescent="0.25">
      <c r="E13" s="1"/>
      <c r="P13" s="1">
        <f ca="1">+P12+P11</f>
        <v>-1423009.7100000002</v>
      </c>
      <c r="Q13" s="1" t="s">
        <v>191</v>
      </c>
    </row>
    <row r="14" spans="1:17" x14ac:dyDescent="0.25">
      <c r="P14" s="1">
        <v>1000000</v>
      </c>
      <c r="Q14" t="s">
        <v>192</v>
      </c>
    </row>
    <row r="15" spans="1:17" x14ac:dyDescent="0.25">
      <c r="P15" s="1">
        <f ca="1">+P14+P13</f>
        <v>-423009.7100000002</v>
      </c>
    </row>
    <row r="16" spans="1:17" x14ac:dyDescent="0.25">
      <c r="P16" s="1">
        <v>-700000</v>
      </c>
      <c r="Q16" t="s">
        <v>47</v>
      </c>
    </row>
    <row r="17" spans="16:17" x14ac:dyDescent="0.25">
      <c r="P17" s="1">
        <v>-200000</v>
      </c>
      <c r="Q17" t="s">
        <v>197</v>
      </c>
    </row>
    <row r="18" spans="16:17" x14ac:dyDescent="0.25">
      <c r="P18" s="1">
        <v>-160000</v>
      </c>
      <c r="Q18" t="s">
        <v>208</v>
      </c>
    </row>
    <row r="19" spans="16:17" x14ac:dyDescent="0.25">
      <c r="P19" s="4">
        <f ca="1">+P17+P16+P15+P18</f>
        <v>-1483009.7100000002</v>
      </c>
    </row>
    <row r="20" spans="16:17" x14ac:dyDescent="0.25">
      <c r="P20" s="4">
        <v>318000</v>
      </c>
      <c r="Q20" t="s">
        <v>65</v>
      </c>
    </row>
    <row r="21" spans="16:17" x14ac:dyDescent="0.25">
      <c r="P21" s="4">
        <v>51000</v>
      </c>
      <c r="Q21" t="s">
        <v>193</v>
      </c>
    </row>
    <row r="22" spans="16:17" x14ac:dyDescent="0.25">
      <c r="P22" s="4">
        <v>310000</v>
      </c>
      <c r="Q22" t="s">
        <v>194</v>
      </c>
    </row>
    <row r="23" spans="16:17" x14ac:dyDescent="0.25">
      <c r="P23" s="4">
        <v>150000</v>
      </c>
      <c r="Q23" t="s">
        <v>195</v>
      </c>
    </row>
    <row r="24" spans="16:17" x14ac:dyDescent="0.25">
      <c r="P24" s="4">
        <v>250000</v>
      </c>
      <c r="Q24" t="s">
        <v>229</v>
      </c>
    </row>
    <row r="25" spans="16:17" x14ac:dyDescent="0.25">
      <c r="P25" s="4">
        <v>89000</v>
      </c>
      <c r="Q25" t="s">
        <v>231</v>
      </c>
    </row>
    <row r="26" spans="16:17" x14ac:dyDescent="0.25">
      <c r="P26" s="1">
        <v>350000</v>
      </c>
      <c r="Q26" t="s">
        <v>16</v>
      </c>
    </row>
    <row r="27" spans="16:17" x14ac:dyDescent="0.25">
      <c r="P27" s="1">
        <v>40000</v>
      </c>
      <c r="Q27" t="s">
        <v>232</v>
      </c>
    </row>
    <row r="28" spans="16:17" x14ac:dyDescent="0.25">
      <c r="P28" s="4">
        <f>+P23+P22+P21+P20+P24+P25+P26+P27</f>
        <v>1558000</v>
      </c>
      <c r="Q28" t="s">
        <v>196</v>
      </c>
    </row>
    <row r="29" spans="16:17" x14ac:dyDescent="0.25">
      <c r="P29" s="4">
        <f ca="1">+P28+P19</f>
        <v>144990.2899999998</v>
      </c>
    </row>
    <row r="30" spans="16:17" x14ac:dyDescent="0.25">
      <c r="P30" s="4">
        <v>-84000</v>
      </c>
      <c r="Q30" t="s">
        <v>59</v>
      </c>
    </row>
    <row r="31" spans="16:17" x14ac:dyDescent="0.25">
      <c r="P31" s="4">
        <v>-13000</v>
      </c>
      <c r="Q31" t="s">
        <v>59</v>
      </c>
    </row>
    <row r="32" spans="16:17" x14ac:dyDescent="0.25">
      <c r="P32" s="55">
        <f ca="1">+P31+P30+P29</f>
        <v>47990.289999999804</v>
      </c>
      <c r="Q32" s="56" t="s">
        <v>198</v>
      </c>
    </row>
    <row r="33" spans="16:17" x14ac:dyDescent="0.25">
      <c r="P33" s="1">
        <v>-1000000</v>
      </c>
      <c r="Q33" t="s">
        <v>199</v>
      </c>
    </row>
    <row r="34" spans="16:17" x14ac:dyDescent="0.25">
      <c r="P34" s="4">
        <f ca="1">+P33+P32</f>
        <v>-952009.7100000002</v>
      </c>
    </row>
    <row r="35" spans="16:17" x14ac:dyDescent="0.25">
      <c r="P35" s="4"/>
    </row>
    <row r="36" spans="16:17" x14ac:dyDescent="0.25">
      <c r="P36" s="4"/>
    </row>
    <row r="37" spans="16:17" x14ac:dyDescent="0.25">
      <c r="P37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E655-8A55-47D3-B86D-0C858B83D47F}">
  <dimension ref="A1:AE44"/>
  <sheetViews>
    <sheetView showGridLines="0" tabSelected="1" workbookViewId="0">
      <selection activeCell="B4" sqref="B4"/>
    </sheetView>
  </sheetViews>
  <sheetFormatPr defaultColWidth="14.42578125" defaultRowHeight="15" x14ac:dyDescent="0.25"/>
  <cols>
    <col min="1" max="1" width="15.7109375" bestFit="1" customWidth="1"/>
    <col min="2" max="2" width="13" bestFit="1" customWidth="1"/>
    <col min="3" max="3" width="12.28515625" bestFit="1" customWidth="1"/>
    <col min="4" max="5" width="14.42578125" bestFit="1" customWidth="1"/>
    <col min="6" max="6" width="14.28515625" bestFit="1" customWidth="1"/>
    <col min="7" max="7" width="7.42578125" style="1" bestFit="1" customWidth="1"/>
    <col min="8" max="8" width="10.42578125" bestFit="1" customWidth="1"/>
    <col min="9" max="9" width="5.85546875" bestFit="1" customWidth="1"/>
    <col min="10" max="10" width="13" style="1" bestFit="1" customWidth="1"/>
    <col min="11" max="11" width="11.85546875" bestFit="1" customWidth="1"/>
    <col min="12" max="13" width="7.5703125" bestFit="1" customWidth="1"/>
    <col min="14" max="14" width="22.42578125" bestFit="1" customWidth="1"/>
    <col min="15" max="15" width="11.5703125" style="1" bestFit="1" customWidth="1"/>
    <col min="16" max="16" width="10.42578125" bestFit="1" customWidth="1"/>
    <col min="17" max="17" width="11.5703125" bestFit="1" customWidth="1"/>
    <col min="18" max="18" width="15.85546875" bestFit="1" customWidth="1"/>
    <col min="19" max="19" width="11.28515625" bestFit="1" customWidth="1"/>
    <col min="20" max="20" width="11.5703125" bestFit="1" customWidth="1"/>
    <col min="21" max="21" width="9.42578125" bestFit="1" customWidth="1"/>
    <col min="22" max="22" width="30.140625" bestFit="1" customWidth="1"/>
    <col min="23" max="23" width="11.5703125" style="1" bestFit="1" customWidth="1"/>
    <col min="24" max="24" width="10.42578125" bestFit="1" customWidth="1"/>
    <col min="25" max="25" width="11.28515625" bestFit="1" customWidth="1"/>
    <col min="31" max="31" width="5.7109375" bestFit="1" customWidth="1"/>
  </cols>
  <sheetData>
    <row r="1" spans="1:31" x14ac:dyDescent="0.25">
      <c r="A1" s="69" t="s">
        <v>152</v>
      </c>
      <c r="B1" s="69"/>
      <c r="C1" s="69"/>
      <c r="D1" s="69"/>
      <c r="E1" s="69"/>
      <c r="F1" s="69"/>
      <c r="G1" s="69"/>
      <c r="H1" s="69"/>
      <c r="I1" s="69"/>
      <c r="J1" s="53"/>
      <c r="L1" s="69" t="s">
        <v>153</v>
      </c>
      <c r="M1" s="69"/>
      <c r="N1" s="69"/>
      <c r="O1" s="69"/>
      <c r="P1" s="69"/>
      <c r="Q1" s="54"/>
      <c r="R1" s="54"/>
      <c r="T1" s="69" t="s">
        <v>154</v>
      </c>
      <c r="U1" s="69"/>
      <c r="V1" s="69"/>
      <c r="W1" s="69"/>
      <c r="X1" s="69"/>
    </row>
    <row r="2" spans="1:31" x14ac:dyDescent="0.25">
      <c r="A2" s="22" t="s">
        <v>85</v>
      </c>
      <c r="B2" s="22" t="s">
        <v>155</v>
      </c>
      <c r="C2" s="22" t="s">
        <v>156</v>
      </c>
      <c r="D2" s="22" t="s">
        <v>157</v>
      </c>
      <c r="E2" s="22" t="s">
        <v>158</v>
      </c>
      <c r="F2" s="22" t="s">
        <v>159</v>
      </c>
      <c r="G2" s="20" t="s">
        <v>160</v>
      </c>
      <c r="H2" s="22" t="s">
        <v>161</v>
      </c>
      <c r="I2" s="22" t="s">
        <v>162</v>
      </c>
      <c r="J2" s="20" t="s">
        <v>182</v>
      </c>
      <c r="L2" s="58" t="s">
        <v>85</v>
      </c>
      <c r="M2" s="58" t="s">
        <v>163</v>
      </c>
      <c r="N2" s="58" t="s">
        <v>24</v>
      </c>
      <c r="O2" s="59" t="s">
        <v>160</v>
      </c>
      <c r="P2" s="58" t="s">
        <v>161</v>
      </c>
      <c r="Q2" s="58" t="s">
        <v>182</v>
      </c>
      <c r="R2" s="57" t="s">
        <v>203</v>
      </c>
      <c r="T2" s="22" t="s">
        <v>85</v>
      </c>
      <c r="U2" s="22" t="s">
        <v>163</v>
      </c>
      <c r="V2" s="22" t="s">
        <v>37</v>
      </c>
      <c r="W2" s="20" t="s">
        <v>160</v>
      </c>
      <c r="X2" s="22" t="s">
        <v>161</v>
      </c>
    </row>
    <row r="3" spans="1:31" x14ac:dyDescent="0.25">
      <c r="A3" s="10" t="s">
        <v>183</v>
      </c>
      <c r="B3" s="52">
        <v>7.2916666666666671E-2</v>
      </c>
      <c r="C3" s="52">
        <v>0.20833333333333334</v>
      </c>
      <c r="D3" s="10" t="s">
        <v>99</v>
      </c>
      <c r="E3" s="10" t="s">
        <v>239</v>
      </c>
      <c r="F3" s="10" t="s">
        <v>151</v>
      </c>
      <c r="G3" s="23">
        <v>0</v>
      </c>
      <c r="H3" s="48" t="e">
        <f>+G3/$G$24*100</f>
        <v>#DIV/0!</v>
      </c>
      <c r="I3" s="10" t="s">
        <v>164</v>
      </c>
      <c r="J3" s="11">
        <v>796379.68</v>
      </c>
      <c r="L3" s="10" t="s">
        <v>184</v>
      </c>
      <c r="M3" s="10" t="s">
        <v>86</v>
      </c>
      <c r="N3" s="10" t="s">
        <v>188</v>
      </c>
      <c r="O3" s="23">
        <v>43868.1</v>
      </c>
      <c r="P3" s="48">
        <f t="shared" ref="P3:P8" si="0">+O3/$O$8*100</f>
        <v>12.54437869822485</v>
      </c>
      <c r="Q3" s="48"/>
      <c r="R3" s="48" t="s">
        <v>209</v>
      </c>
      <c r="T3" s="10" t="s">
        <v>240</v>
      </c>
      <c r="U3" s="10" t="s">
        <v>86</v>
      </c>
      <c r="V3" s="10" t="s">
        <v>222</v>
      </c>
      <c r="W3" s="23">
        <v>23880.69</v>
      </c>
      <c r="X3" s="48">
        <f t="shared" ref="X3:X9" ca="1" si="1">+W3/$W$9*100</f>
        <v>9.0461898060796138</v>
      </c>
      <c r="Y3" s="64"/>
    </row>
    <row r="4" spans="1:31" x14ac:dyDescent="0.25">
      <c r="A4" s="10" t="s">
        <v>183</v>
      </c>
      <c r="B4" s="52">
        <v>0.32291666666666669</v>
      </c>
      <c r="C4" s="52">
        <v>0.97222222222222221</v>
      </c>
      <c r="D4" s="10" t="s">
        <v>239</v>
      </c>
      <c r="E4" s="10" t="s">
        <v>83</v>
      </c>
      <c r="F4" s="10" t="s">
        <v>151</v>
      </c>
      <c r="G4" s="23">
        <v>0</v>
      </c>
      <c r="H4" s="48" t="e">
        <f>+G4/$G$24*100</f>
        <v>#DIV/0!</v>
      </c>
      <c r="I4" s="10" t="s">
        <v>164</v>
      </c>
      <c r="J4" s="1">
        <v>0</v>
      </c>
      <c r="L4" s="10" t="s">
        <v>185</v>
      </c>
      <c r="M4" s="10" t="s">
        <v>84</v>
      </c>
      <c r="N4" s="10" t="s">
        <v>216</v>
      </c>
      <c r="O4" s="23">
        <v>180726.9</v>
      </c>
      <c r="P4" s="48">
        <f t="shared" si="0"/>
        <v>51.680074463134098</v>
      </c>
      <c r="Q4" s="48"/>
      <c r="R4" s="48" t="s">
        <v>215</v>
      </c>
      <c r="T4" s="10" t="s">
        <v>240</v>
      </c>
      <c r="U4" s="10" t="s">
        <v>86</v>
      </c>
      <c r="V4" s="10" t="s">
        <v>174</v>
      </c>
      <c r="W4" s="23">
        <v>30003.68</v>
      </c>
      <c r="X4" s="48">
        <f t="shared" ca="1" si="1"/>
        <v>11.365625706831537</v>
      </c>
      <c r="Y4" s="64"/>
    </row>
    <row r="5" spans="1:31" x14ac:dyDescent="0.25">
      <c r="A5" s="10" t="s">
        <v>96</v>
      </c>
      <c r="B5" s="52">
        <v>0.83333333333333337</v>
      </c>
      <c r="C5" s="52">
        <v>0.93055555555555558</v>
      </c>
      <c r="D5" s="10" t="s">
        <v>83</v>
      </c>
      <c r="E5" s="10" t="s">
        <v>118</v>
      </c>
      <c r="F5" s="10" t="s">
        <v>121</v>
      </c>
      <c r="G5" s="23"/>
      <c r="H5" s="48" t="e">
        <f>+G5/$G$24*100</f>
        <v>#DIV/0!</v>
      </c>
      <c r="I5" s="10" t="s">
        <v>164</v>
      </c>
      <c r="J5" s="23">
        <v>110784</v>
      </c>
      <c r="L5" s="10" t="s">
        <v>178</v>
      </c>
      <c r="M5" s="10" t="s">
        <v>89</v>
      </c>
      <c r="N5" s="10" t="s">
        <v>186</v>
      </c>
      <c r="O5" s="11"/>
      <c r="P5" s="48">
        <f>+Q5/$O$8*100</f>
        <v>43.751723782950265</v>
      </c>
      <c r="Q5" s="23">
        <v>153001.20000000001</v>
      </c>
      <c r="R5" s="23" t="s">
        <v>182</v>
      </c>
      <c r="T5" s="10" t="s">
        <v>240</v>
      </c>
      <c r="U5" s="10" t="s">
        <v>86</v>
      </c>
      <c r="V5" s="10" t="s">
        <v>223</v>
      </c>
      <c r="W5" s="23">
        <v>32380.240000000002</v>
      </c>
      <c r="X5" s="48">
        <f t="shared" ca="1" si="1"/>
        <v>12.265884989353799</v>
      </c>
      <c r="Y5" s="64"/>
    </row>
    <row r="6" spans="1:31" x14ac:dyDescent="0.25">
      <c r="A6" s="38" t="s">
        <v>165</v>
      </c>
      <c r="B6" s="70" t="s">
        <v>84</v>
      </c>
      <c r="C6" s="71"/>
      <c r="D6" s="71"/>
      <c r="E6" s="71"/>
      <c r="F6" s="72"/>
      <c r="G6" s="39">
        <v>0</v>
      </c>
      <c r="H6" s="38"/>
      <c r="I6" s="38" t="s">
        <v>166</v>
      </c>
      <c r="J6" s="39"/>
      <c r="L6" s="10" t="s">
        <v>189</v>
      </c>
      <c r="M6" s="10" t="s">
        <v>86</v>
      </c>
      <c r="N6" s="10" t="s">
        <v>217</v>
      </c>
      <c r="O6" s="23"/>
      <c r="P6" s="48">
        <f t="shared" si="0"/>
        <v>0</v>
      </c>
      <c r="Q6" s="48">
        <v>130530.04</v>
      </c>
      <c r="R6" s="23" t="s">
        <v>182</v>
      </c>
      <c r="T6" s="10" t="s">
        <v>241</v>
      </c>
      <c r="U6" s="10" t="s">
        <v>89</v>
      </c>
      <c r="V6" s="10" t="s">
        <v>173</v>
      </c>
      <c r="W6" s="23">
        <v>35729.919999999998</v>
      </c>
      <c r="X6" s="48">
        <f t="shared" ca="1" si="1"/>
        <v>13.534769643424882</v>
      </c>
      <c r="Y6" s="64"/>
    </row>
    <row r="7" spans="1:31" x14ac:dyDescent="0.25">
      <c r="A7" s="38" t="s">
        <v>165</v>
      </c>
      <c r="B7" s="73"/>
      <c r="C7" s="74"/>
      <c r="D7" s="74"/>
      <c r="E7" s="74"/>
      <c r="F7" s="75"/>
      <c r="G7" s="39">
        <v>0</v>
      </c>
      <c r="H7" s="38"/>
      <c r="I7" s="38"/>
      <c r="J7" s="39"/>
      <c r="L7" s="10" t="s">
        <v>190</v>
      </c>
      <c r="M7" s="10" t="s">
        <v>86</v>
      </c>
      <c r="N7" s="10" t="s">
        <v>211</v>
      </c>
      <c r="O7" s="11">
        <v>125108.25</v>
      </c>
      <c r="P7" s="48">
        <f>+Q7/$O$8*100</f>
        <v>0</v>
      </c>
      <c r="Q7" s="11"/>
      <c r="R7" s="48" t="s">
        <v>209</v>
      </c>
      <c r="T7" s="10" t="s">
        <v>148</v>
      </c>
      <c r="U7" s="10" t="s">
        <v>124</v>
      </c>
      <c r="V7" s="10" t="s">
        <v>147</v>
      </c>
      <c r="W7" s="23">
        <v>18752.3</v>
      </c>
      <c r="X7" s="48">
        <f t="shared" ca="1" si="1"/>
        <v>7.1035160667697106</v>
      </c>
      <c r="Y7" s="64"/>
    </row>
    <row r="8" spans="1:31" x14ac:dyDescent="0.25">
      <c r="A8" s="38" t="s">
        <v>165</v>
      </c>
      <c r="B8" s="73"/>
      <c r="C8" s="74"/>
      <c r="D8" s="74"/>
      <c r="E8" s="74"/>
      <c r="F8" s="75"/>
      <c r="G8" s="39">
        <v>0</v>
      </c>
      <c r="H8" s="38"/>
      <c r="I8" s="38" t="s">
        <v>166</v>
      </c>
      <c r="J8" s="39"/>
      <c r="O8" s="18">
        <f>SUM(O3:O7)</f>
        <v>349703.25</v>
      </c>
      <c r="P8" s="50">
        <f t="shared" si="0"/>
        <v>100</v>
      </c>
      <c r="Q8" s="50">
        <f>SUM(Q3:Q7)</f>
        <v>283531.24</v>
      </c>
      <c r="R8" s="50"/>
      <c r="T8" s="10"/>
      <c r="U8" s="10" t="s">
        <v>84</v>
      </c>
      <c r="V8" s="10" t="s">
        <v>200</v>
      </c>
      <c r="W8" s="11">
        <v>123239.34</v>
      </c>
      <c r="X8" s="48">
        <f t="shared" ca="1" si="1"/>
        <v>46.684013787540465</v>
      </c>
      <c r="Y8" s="64"/>
    </row>
    <row r="9" spans="1:31" x14ac:dyDescent="0.25">
      <c r="A9" s="38" t="s">
        <v>180</v>
      </c>
      <c r="B9" s="73"/>
      <c r="C9" s="74"/>
      <c r="D9" s="74"/>
      <c r="E9" s="74"/>
      <c r="F9" s="75"/>
      <c r="G9" s="39">
        <v>0</v>
      </c>
      <c r="H9" s="38"/>
      <c r="I9" s="38" t="s">
        <v>166</v>
      </c>
      <c r="J9" s="39"/>
      <c r="O9" s="3"/>
      <c r="V9" s="67"/>
      <c r="W9" s="18">
        <f ca="1">SUM(W3:W9)</f>
        <v>263986.17</v>
      </c>
      <c r="X9" s="50">
        <f t="shared" ca="1" si="1"/>
        <v>100</v>
      </c>
    </row>
    <row r="10" spans="1:31" x14ac:dyDescent="0.25">
      <c r="A10" s="38" t="s">
        <v>180</v>
      </c>
      <c r="B10" s="73"/>
      <c r="C10" s="74"/>
      <c r="D10" s="74"/>
      <c r="E10" s="74"/>
      <c r="F10" s="75"/>
      <c r="G10" s="39">
        <v>0</v>
      </c>
      <c r="H10" s="38"/>
      <c r="I10" s="38" t="s">
        <v>166</v>
      </c>
      <c r="J10" s="39"/>
      <c r="O10" s="3"/>
    </row>
    <row r="11" spans="1:31" x14ac:dyDescent="0.25">
      <c r="A11" s="38" t="s">
        <v>180</v>
      </c>
      <c r="B11" s="76"/>
      <c r="C11" s="77"/>
      <c r="D11" s="77"/>
      <c r="E11" s="77"/>
      <c r="F11" s="78"/>
      <c r="G11" s="39">
        <v>0</v>
      </c>
      <c r="H11" s="38"/>
      <c r="I11" s="38" t="s">
        <v>166</v>
      </c>
      <c r="J11" s="39"/>
      <c r="O11" s="3"/>
      <c r="W11" s="65"/>
      <c r="X11" s="50"/>
      <c r="AE11" s="48"/>
    </row>
    <row r="12" spans="1:31" x14ac:dyDescent="0.25">
      <c r="A12" s="10" t="s">
        <v>148</v>
      </c>
      <c r="B12" s="52">
        <v>0.2326388888888889</v>
      </c>
      <c r="C12" s="52">
        <v>0.38611111111111113</v>
      </c>
      <c r="D12" s="10" t="s">
        <v>118</v>
      </c>
      <c r="E12" s="10" t="s">
        <v>125</v>
      </c>
      <c r="F12" s="10" t="s">
        <v>150</v>
      </c>
      <c r="G12" s="11"/>
      <c r="H12" s="48" t="e">
        <f t="shared" ref="H12:H17" si="2">+G12/$G$24*100</f>
        <v>#DIV/0!</v>
      </c>
      <c r="I12" s="10" t="s">
        <v>166</v>
      </c>
      <c r="J12" s="23">
        <v>43407.37</v>
      </c>
      <c r="O12" s="3"/>
    </row>
    <row r="13" spans="1:31" x14ac:dyDescent="0.25">
      <c r="A13" s="10" t="s">
        <v>148</v>
      </c>
      <c r="B13" s="52">
        <v>0.83819444444444446</v>
      </c>
      <c r="C13" s="52">
        <v>0.4201388888888889</v>
      </c>
      <c r="D13" s="10" t="s">
        <v>125</v>
      </c>
      <c r="E13" s="10" t="s">
        <v>116</v>
      </c>
      <c r="F13" s="10" t="s">
        <v>181</v>
      </c>
      <c r="G13" s="23"/>
      <c r="H13" s="48" t="e">
        <f t="shared" si="2"/>
        <v>#DIV/0!</v>
      </c>
      <c r="I13" s="10" t="s">
        <v>166</v>
      </c>
      <c r="J13" s="23">
        <v>131399</v>
      </c>
      <c r="O13" s="3"/>
    </row>
    <row r="14" spans="1:31" x14ac:dyDescent="0.25">
      <c r="A14" s="10" t="s">
        <v>167</v>
      </c>
      <c r="B14" s="52">
        <v>0.2298611111111111</v>
      </c>
      <c r="C14" s="52">
        <v>0.34166666666666667</v>
      </c>
      <c r="D14" s="10" t="s">
        <v>116</v>
      </c>
      <c r="E14" s="10" t="s">
        <v>117</v>
      </c>
      <c r="F14" s="10" t="s">
        <v>169</v>
      </c>
      <c r="G14" s="23"/>
      <c r="H14" s="48" t="e">
        <f t="shared" si="2"/>
        <v>#DIV/0!</v>
      </c>
      <c r="I14" s="10" t="s">
        <v>166</v>
      </c>
      <c r="J14" s="23">
        <v>25799.759999999998</v>
      </c>
      <c r="O14" s="3"/>
    </row>
    <row r="15" spans="1:31" x14ac:dyDescent="0.25">
      <c r="A15" s="10" t="s">
        <v>167</v>
      </c>
      <c r="B15" s="52">
        <v>0.375</v>
      </c>
      <c r="C15" s="52">
        <v>0.43541666666666667</v>
      </c>
      <c r="D15" s="10" t="s">
        <v>117</v>
      </c>
      <c r="E15" s="10" t="s">
        <v>111</v>
      </c>
      <c r="F15" s="10" t="s">
        <v>170</v>
      </c>
      <c r="G15" s="23"/>
      <c r="H15" s="48" t="e">
        <f t="shared" si="2"/>
        <v>#DIV/0!</v>
      </c>
      <c r="I15" s="10" t="s">
        <v>171</v>
      </c>
      <c r="J15" s="23">
        <v>50279.040000000001</v>
      </c>
      <c r="O15" s="3"/>
    </row>
    <row r="16" spans="1:31" x14ac:dyDescent="0.25">
      <c r="A16" s="10" t="s">
        <v>167</v>
      </c>
      <c r="B16" s="52">
        <v>0.65138888888888891</v>
      </c>
      <c r="C16" s="52">
        <v>0.70833333333333337</v>
      </c>
      <c r="D16" s="10" t="s">
        <v>111</v>
      </c>
      <c r="E16" s="10" t="s">
        <v>117</v>
      </c>
      <c r="F16" s="10" t="s">
        <v>170</v>
      </c>
      <c r="G16" s="23">
        <v>0</v>
      </c>
      <c r="H16" s="48" t="e">
        <f t="shared" si="2"/>
        <v>#DIV/0!</v>
      </c>
      <c r="I16" s="10" t="s">
        <v>171</v>
      </c>
      <c r="J16" s="11"/>
      <c r="O16" s="3"/>
    </row>
    <row r="17" spans="1:24" x14ac:dyDescent="0.25">
      <c r="A17" s="10" t="s">
        <v>167</v>
      </c>
      <c r="B17" s="52">
        <v>0.86805555555555558</v>
      </c>
      <c r="C17" s="52">
        <v>0.9604166666666667</v>
      </c>
      <c r="D17" s="10" t="s">
        <v>117</v>
      </c>
      <c r="E17" s="10" t="s">
        <v>116</v>
      </c>
      <c r="F17" s="10" t="s">
        <v>172</v>
      </c>
      <c r="G17" s="23">
        <v>0</v>
      </c>
      <c r="H17" s="48" t="e">
        <f t="shared" si="2"/>
        <v>#DIV/0!</v>
      </c>
      <c r="I17" s="10" t="s">
        <v>166</v>
      </c>
      <c r="J17" s="11"/>
      <c r="O17" s="3"/>
    </row>
    <row r="18" spans="1:24" x14ac:dyDescent="0.25">
      <c r="A18" s="10" t="s">
        <v>210</v>
      </c>
      <c r="B18" s="52">
        <v>0.25694444444444442</v>
      </c>
      <c r="C18" s="52">
        <v>0.4465277777777778</v>
      </c>
      <c r="D18" s="10" t="s">
        <v>116</v>
      </c>
      <c r="E18" s="10" t="s">
        <v>221</v>
      </c>
      <c r="F18" s="10" t="s">
        <v>169</v>
      </c>
      <c r="G18" s="23"/>
      <c r="H18" s="10"/>
      <c r="I18" s="10" t="s">
        <v>166</v>
      </c>
      <c r="J18" s="23">
        <v>35940</v>
      </c>
      <c r="O18" s="3"/>
    </row>
    <row r="19" spans="1:24" x14ac:dyDescent="0.25">
      <c r="A19" s="10" t="s">
        <v>210</v>
      </c>
      <c r="B19" s="52">
        <v>0.8</v>
      </c>
      <c r="C19" s="52">
        <v>0.93055555555555558</v>
      </c>
      <c r="D19" s="10" t="s">
        <v>221</v>
      </c>
      <c r="E19" s="10" t="s">
        <v>116</v>
      </c>
      <c r="F19" s="10" t="s">
        <v>172</v>
      </c>
      <c r="G19" s="11">
        <v>0</v>
      </c>
      <c r="H19" s="10"/>
      <c r="I19" s="10" t="s">
        <v>166</v>
      </c>
      <c r="J19" s="11"/>
    </row>
    <row r="20" spans="1:24" x14ac:dyDescent="0.25">
      <c r="A20" s="10" t="s">
        <v>168</v>
      </c>
      <c r="B20" s="52">
        <v>0.27083333333333331</v>
      </c>
      <c r="C20" s="52">
        <v>0.34722222222222221</v>
      </c>
      <c r="D20" s="10" t="s">
        <v>116</v>
      </c>
      <c r="E20" s="10" t="s">
        <v>82</v>
      </c>
      <c r="F20" s="10" t="s">
        <v>123</v>
      </c>
      <c r="G20" s="11"/>
      <c r="H20" s="48" t="e">
        <f>+G20/$G$24*100</f>
        <v>#DIV/0!</v>
      </c>
      <c r="I20" s="10" t="s">
        <v>164</v>
      </c>
      <c r="J20" s="23">
        <v>74170.03</v>
      </c>
    </row>
    <row r="21" spans="1:24" x14ac:dyDescent="0.25">
      <c r="A21" s="10" t="s">
        <v>218</v>
      </c>
      <c r="B21" s="52">
        <v>0.23958333333333334</v>
      </c>
      <c r="C21" s="52">
        <v>0.37638888888888888</v>
      </c>
      <c r="D21" s="10" t="s">
        <v>82</v>
      </c>
      <c r="E21" s="10" t="s">
        <v>83</v>
      </c>
      <c r="F21" s="10" t="s">
        <v>214</v>
      </c>
      <c r="G21" s="23"/>
      <c r="H21" s="48" t="e">
        <f>+G21/$G$24*100</f>
        <v>#DIV/0!</v>
      </c>
      <c r="I21" s="10" t="s">
        <v>166</v>
      </c>
      <c r="J21" s="23">
        <v>49306.32</v>
      </c>
      <c r="W21" s="21"/>
      <c r="X21" s="50"/>
    </row>
    <row r="22" spans="1:24" x14ac:dyDescent="0.25">
      <c r="A22" s="10" t="s">
        <v>179</v>
      </c>
      <c r="B22" s="52">
        <v>0.34027777777777779</v>
      </c>
      <c r="C22" s="52">
        <v>0.4826388888888889</v>
      </c>
      <c r="D22" s="10" t="s">
        <v>83</v>
      </c>
      <c r="E22" s="10" t="s">
        <v>239</v>
      </c>
      <c r="F22" s="10" t="s">
        <v>151</v>
      </c>
      <c r="G22" s="23">
        <v>0</v>
      </c>
      <c r="H22" s="48" t="e">
        <f>+G22/$G$24*100</f>
        <v>#DIV/0!</v>
      </c>
      <c r="I22" s="10" t="s">
        <v>164</v>
      </c>
      <c r="J22" s="11"/>
      <c r="W22" s="21"/>
      <c r="X22" s="50"/>
    </row>
    <row r="23" spans="1:24" x14ac:dyDescent="0.25">
      <c r="A23" s="10" t="s">
        <v>179</v>
      </c>
      <c r="B23" s="52">
        <v>0.58680555555555558</v>
      </c>
      <c r="C23" s="52">
        <v>0.64236111111111116</v>
      </c>
      <c r="D23" s="10" t="s">
        <v>239</v>
      </c>
      <c r="E23" s="10" t="s">
        <v>99</v>
      </c>
      <c r="F23" s="10"/>
      <c r="G23" s="23"/>
      <c r="H23" s="48" t="e">
        <f>+G23/$G$24*100</f>
        <v>#DIV/0!</v>
      </c>
      <c r="I23" s="10"/>
      <c r="J23" s="11"/>
      <c r="W23" s="21"/>
      <c r="X23" s="50"/>
    </row>
    <row r="24" spans="1:24" x14ac:dyDescent="0.25">
      <c r="G24" s="19">
        <f>SUM(G3:G23)</f>
        <v>0</v>
      </c>
      <c r="H24" s="50" t="e">
        <f>+G24/$G$24*100</f>
        <v>#DIV/0!</v>
      </c>
      <c r="J24" s="1">
        <f>SUM(J3:J23)</f>
        <v>1317465.2000000002</v>
      </c>
      <c r="W24" s="21"/>
      <c r="X24" s="50"/>
    </row>
    <row r="25" spans="1:24" x14ac:dyDescent="0.25">
      <c r="K25" s="1"/>
      <c r="M25" s="4"/>
    </row>
    <row r="26" spans="1:24" x14ac:dyDescent="0.25">
      <c r="K26" s="1"/>
      <c r="L26" s="1"/>
    </row>
    <row r="27" spans="1:24" x14ac:dyDescent="0.25">
      <c r="K27" s="4"/>
      <c r="M27" s="4"/>
    </row>
    <row r="28" spans="1:24" x14ac:dyDescent="0.25">
      <c r="A28" s="69" t="s">
        <v>142</v>
      </c>
      <c r="B28" s="69"/>
    </row>
    <row r="29" spans="1:24" x14ac:dyDescent="0.25">
      <c r="A29" s="22" t="s">
        <v>39</v>
      </c>
      <c r="B29" s="22" t="s">
        <v>14</v>
      </c>
    </row>
    <row r="30" spans="1:24" x14ac:dyDescent="0.25">
      <c r="A30" s="10" t="s">
        <v>38</v>
      </c>
      <c r="B30" s="48">
        <f>+G24</f>
        <v>0</v>
      </c>
      <c r="F30" s="1"/>
    </row>
    <row r="31" spans="1:24" x14ac:dyDescent="0.25">
      <c r="A31" s="10" t="s">
        <v>24</v>
      </c>
      <c r="B31" s="48">
        <f>+O8</f>
        <v>349703.25</v>
      </c>
    </row>
    <row r="32" spans="1:24" x14ac:dyDescent="0.25">
      <c r="A32" s="10" t="s">
        <v>37</v>
      </c>
      <c r="B32" s="48">
        <f ca="1">+W9</f>
        <v>263986.17</v>
      </c>
      <c r="F32" s="4"/>
    </row>
    <row r="33" spans="1:3" x14ac:dyDescent="0.25">
      <c r="A33" s="60" t="s">
        <v>175</v>
      </c>
      <c r="B33" s="11"/>
    </row>
    <row r="34" spans="1:3" x14ac:dyDescent="0.25">
      <c r="A34" s="60" t="s">
        <v>176</v>
      </c>
      <c r="B34" s="11">
        <v>55180.44</v>
      </c>
      <c r="C34" t="s">
        <v>220</v>
      </c>
    </row>
    <row r="35" spans="1:3" x14ac:dyDescent="0.25">
      <c r="A35" s="12" t="s">
        <v>40</v>
      </c>
      <c r="B35" s="51">
        <f ca="1">SUM(B30:B34)</f>
        <v>668869.85999999987</v>
      </c>
    </row>
    <row r="37" spans="1:3" x14ac:dyDescent="0.25">
      <c r="A37" s="54" t="s">
        <v>177</v>
      </c>
      <c r="B37" s="54"/>
      <c r="C37" s="54"/>
    </row>
    <row r="38" spans="1:3" x14ac:dyDescent="0.25">
      <c r="A38" s="22" t="s">
        <v>163</v>
      </c>
      <c r="B38" s="22" t="s">
        <v>160</v>
      </c>
      <c r="C38" s="22" t="s">
        <v>161</v>
      </c>
    </row>
    <row r="39" spans="1:3" x14ac:dyDescent="0.25">
      <c r="A39" s="38" t="s">
        <v>89</v>
      </c>
      <c r="B39" s="49">
        <v>423768.95</v>
      </c>
      <c r="C39" s="49">
        <f t="shared" ref="C39:C44" si="3">+B39/$B$44*100</f>
        <v>27.699173743306609</v>
      </c>
    </row>
    <row r="40" spans="1:3" x14ac:dyDescent="0.25">
      <c r="A40" s="38" t="s">
        <v>144</v>
      </c>
      <c r="B40" s="49">
        <v>415536.47999999992</v>
      </c>
      <c r="C40" s="49">
        <f t="shared" si="3"/>
        <v>27.161067737978563</v>
      </c>
    </row>
    <row r="41" spans="1:3" x14ac:dyDescent="0.25">
      <c r="A41" s="38" t="s">
        <v>86</v>
      </c>
      <c r="B41" s="49">
        <v>324621.13</v>
      </c>
      <c r="C41" s="49">
        <f t="shared" si="3"/>
        <v>21.218489652482848</v>
      </c>
    </row>
    <row r="42" spans="1:3" x14ac:dyDescent="0.25">
      <c r="A42" s="10" t="s">
        <v>149</v>
      </c>
      <c r="B42" s="48">
        <v>238198.03999999998</v>
      </c>
      <c r="C42" s="48">
        <f t="shared" si="3"/>
        <v>15.569543014595801</v>
      </c>
    </row>
    <row r="43" spans="1:3" x14ac:dyDescent="0.25">
      <c r="A43" s="10" t="s">
        <v>124</v>
      </c>
      <c r="B43" s="48">
        <v>127772.84</v>
      </c>
      <c r="C43" s="48">
        <f t="shared" si="3"/>
        <v>8.3517258516361732</v>
      </c>
    </row>
    <row r="44" spans="1:3" x14ac:dyDescent="0.25">
      <c r="A44" s="12" t="s">
        <v>40</v>
      </c>
      <c r="B44" s="51">
        <v>1529897.44</v>
      </c>
      <c r="C44" s="48">
        <f t="shared" si="3"/>
        <v>100</v>
      </c>
    </row>
  </sheetData>
  <mergeCells count="5">
    <mergeCell ref="A1:I1"/>
    <mergeCell ref="L1:P1"/>
    <mergeCell ref="T1:X1"/>
    <mergeCell ref="A28:B28"/>
    <mergeCell ref="B6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2F8A-A0EF-4238-9BF6-0F606D003913}">
  <dimension ref="A1:G24"/>
  <sheetViews>
    <sheetView showGridLines="0" workbookViewId="0">
      <selection activeCell="G24" sqref="G24"/>
    </sheetView>
  </sheetViews>
  <sheetFormatPr defaultRowHeight="15" x14ac:dyDescent="0.25"/>
  <cols>
    <col min="1" max="1" width="19.28515625" bestFit="1" customWidth="1"/>
    <col min="2" max="2" width="9" bestFit="1" customWidth="1"/>
    <col min="3" max="3" width="8.85546875" bestFit="1" customWidth="1"/>
    <col min="4" max="4" width="5.28515625" bestFit="1" customWidth="1"/>
    <col min="5" max="5" width="8.85546875" bestFit="1" customWidth="1"/>
    <col min="6" max="6" width="5.7109375" bestFit="1" customWidth="1"/>
    <col min="7" max="7" width="11.28515625" bestFit="1" customWidth="1"/>
  </cols>
  <sheetData>
    <row r="1" spans="1:6" x14ac:dyDescent="0.25">
      <c r="A1" s="27" t="s">
        <v>87</v>
      </c>
      <c r="B1" s="28" t="s">
        <v>113</v>
      </c>
      <c r="C1" s="28" t="s">
        <v>114</v>
      </c>
      <c r="D1" s="28" t="s">
        <v>115</v>
      </c>
      <c r="E1" s="28" t="s">
        <v>120</v>
      </c>
      <c r="F1" s="29" t="s">
        <v>139</v>
      </c>
    </row>
    <row r="2" spans="1:6" x14ac:dyDescent="0.25">
      <c r="A2" s="25" t="s">
        <v>83</v>
      </c>
      <c r="B2" s="10">
        <f t="shared" ref="B2" si="0">9*3*2</f>
        <v>54</v>
      </c>
      <c r="C2" s="10">
        <f t="shared" ref="C2" si="1">20*3*2</f>
        <v>120</v>
      </c>
      <c r="D2" s="10"/>
      <c r="E2" s="10"/>
      <c r="F2" s="29"/>
    </row>
    <row r="3" spans="1:6" x14ac:dyDescent="0.25">
      <c r="A3" s="25" t="s">
        <v>82</v>
      </c>
      <c r="B3" s="10"/>
      <c r="C3" s="10">
        <v>30</v>
      </c>
      <c r="D3" s="10">
        <v>50</v>
      </c>
      <c r="E3" s="10"/>
      <c r="F3" s="26"/>
    </row>
    <row r="4" spans="1:6" x14ac:dyDescent="0.25">
      <c r="A4" s="25" t="s">
        <v>116</v>
      </c>
      <c r="B4" s="10"/>
      <c r="C4" s="10">
        <v>80</v>
      </c>
      <c r="D4" s="10">
        <v>48</v>
      </c>
      <c r="E4" s="10"/>
      <c r="F4" s="26"/>
    </row>
    <row r="5" spans="1:6" x14ac:dyDescent="0.25">
      <c r="A5" s="25" t="s">
        <v>111</v>
      </c>
      <c r="B5" s="10"/>
      <c r="C5" s="10"/>
      <c r="D5" s="10">
        <v>70</v>
      </c>
      <c r="E5" s="10"/>
      <c r="F5" s="26"/>
    </row>
    <row r="6" spans="1:6" x14ac:dyDescent="0.25">
      <c r="A6" s="25" t="s">
        <v>125</v>
      </c>
      <c r="B6" s="10">
        <v>120</v>
      </c>
      <c r="C6" s="10">
        <v>60</v>
      </c>
      <c r="D6" s="10">
        <v>180</v>
      </c>
      <c r="E6" s="10"/>
      <c r="F6" s="26"/>
    </row>
    <row r="7" spans="1:6" x14ac:dyDescent="0.25">
      <c r="A7" s="25" t="s">
        <v>126</v>
      </c>
      <c r="B7" s="10"/>
      <c r="C7" s="10">
        <v>50</v>
      </c>
      <c r="D7" s="10"/>
      <c r="E7" s="10"/>
      <c r="F7" s="26"/>
    </row>
    <row r="8" spans="1:6" x14ac:dyDescent="0.25">
      <c r="A8" s="25" t="s">
        <v>127</v>
      </c>
      <c r="B8" s="10"/>
      <c r="C8" s="10">
        <v>40</v>
      </c>
      <c r="D8" s="10"/>
      <c r="E8" s="10"/>
      <c r="F8" s="26"/>
    </row>
    <row r="9" spans="1:6" x14ac:dyDescent="0.25">
      <c r="A9" s="32" t="s">
        <v>119</v>
      </c>
      <c r="B9" s="12">
        <f>SUBTOTAL(109,B2:B8)</f>
        <v>174</v>
      </c>
      <c r="C9" s="12">
        <f>SUBTOTAL(109,C2:C8)</f>
        <v>380</v>
      </c>
      <c r="D9" s="12">
        <f>SUBTOTAL(109,D2:D8)</f>
        <v>348</v>
      </c>
      <c r="E9" s="12"/>
      <c r="F9" s="33"/>
    </row>
    <row r="10" spans="1:6" x14ac:dyDescent="0.25">
      <c r="A10" s="25" t="s">
        <v>128</v>
      </c>
      <c r="B10" s="10"/>
      <c r="C10" s="10"/>
      <c r="D10" s="10"/>
      <c r="E10" s="10">
        <v>50</v>
      </c>
      <c r="F10" s="26"/>
    </row>
    <row r="11" spans="1:6" x14ac:dyDescent="0.25">
      <c r="A11" s="25" t="s">
        <v>134</v>
      </c>
      <c r="B11" s="10"/>
      <c r="C11" s="10"/>
      <c r="D11" s="10"/>
      <c r="E11" s="10">
        <v>50</v>
      </c>
      <c r="F11" s="26"/>
    </row>
    <row r="12" spans="1:6" x14ac:dyDescent="0.25">
      <c r="A12" s="25" t="s">
        <v>129</v>
      </c>
      <c r="B12" s="10"/>
      <c r="C12" s="10"/>
      <c r="D12" s="10"/>
      <c r="E12" s="10">
        <v>50</v>
      </c>
      <c r="F12" s="26"/>
    </row>
    <row r="13" spans="1:6" x14ac:dyDescent="0.25">
      <c r="A13" s="25" t="s">
        <v>130</v>
      </c>
      <c r="B13" s="10"/>
      <c r="C13" s="10"/>
      <c r="D13" s="10"/>
      <c r="E13" s="10">
        <v>80</v>
      </c>
      <c r="F13" s="26"/>
    </row>
    <row r="14" spans="1:6" x14ac:dyDescent="0.25">
      <c r="A14" s="25" t="s">
        <v>131</v>
      </c>
      <c r="B14" s="10"/>
      <c r="C14" s="10"/>
      <c r="D14" s="10"/>
      <c r="E14" s="10">
        <v>50</v>
      </c>
      <c r="F14" s="26"/>
    </row>
    <row r="15" spans="1:6" x14ac:dyDescent="0.25">
      <c r="A15" s="25" t="s">
        <v>132</v>
      </c>
      <c r="B15" s="10"/>
      <c r="C15" s="10"/>
      <c r="D15" s="10"/>
      <c r="E15" s="10">
        <v>50</v>
      </c>
      <c r="F15" s="26"/>
    </row>
    <row r="16" spans="1:6" x14ac:dyDescent="0.25">
      <c r="A16" s="25" t="s">
        <v>133</v>
      </c>
      <c r="B16" s="10"/>
      <c r="C16" s="10"/>
      <c r="D16" s="10"/>
      <c r="E16" s="10">
        <v>50</v>
      </c>
      <c r="F16" s="26"/>
    </row>
    <row r="17" spans="1:7" x14ac:dyDescent="0.25">
      <c r="A17" s="32" t="s">
        <v>140</v>
      </c>
      <c r="B17" s="12"/>
      <c r="C17" s="12"/>
      <c r="D17" s="12"/>
      <c r="E17" s="12">
        <f>SUBTOTAL(109,E2:E16)</f>
        <v>380</v>
      </c>
      <c r="F17" s="33"/>
    </row>
    <row r="18" spans="1:7" x14ac:dyDescent="0.25">
      <c r="A18" s="25" t="s">
        <v>135</v>
      </c>
      <c r="B18" s="10"/>
      <c r="C18" s="10"/>
      <c r="D18" s="10"/>
      <c r="E18" s="10"/>
      <c r="F18" s="26">
        <v>22.4</v>
      </c>
    </row>
    <row r="19" spans="1:7" x14ac:dyDescent="0.25">
      <c r="A19" s="25" t="s">
        <v>136</v>
      </c>
      <c r="B19" s="10"/>
      <c r="C19" s="10"/>
      <c r="D19" s="10"/>
      <c r="E19" s="10"/>
      <c r="F19" s="26">
        <v>24</v>
      </c>
    </row>
    <row r="20" spans="1:7" x14ac:dyDescent="0.25">
      <c r="A20" s="25" t="s">
        <v>137</v>
      </c>
      <c r="B20" s="10"/>
      <c r="C20" s="10"/>
      <c r="D20" s="10"/>
      <c r="E20" s="10"/>
      <c r="F20" s="26">
        <v>20</v>
      </c>
    </row>
    <row r="21" spans="1:7" x14ac:dyDescent="0.25">
      <c r="A21" s="25" t="s">
        <v>138</v>
      </c>
      <c r="B21" s="10"/>
      <c r="C21" s="10"/>
      <c r="D21" s="10"/>
      <c r="E21" s="10"/>
      <c r="F21" s="26">
        <v>20</v>
      </c>
    </row>
    <row r="22" spans="1:7" x14ac:dyDescent="0.25">
      <c r="A22" s="32" t="s">
        <v>141</v>
      </c>
      <c r="B22" s="12"/>
      <c r="C22" s="12"/>
      <c r="D22" s="12"/>
      <c r="E22" s="12"/>
      <c r="F22" s="33">
        <f>SUBTOTAL(109,F2:F21)</f>
        <v>86.4</v>
      </c>
    </row>
    <row r="23" spans="1:7" x14ac:dyDescent="0.25">
      <c r="A23" s="30" t="s">
        <v>142</v>
      </c>
      <c r="B23" s="31">
        <f>SUBTOTAL(109,B2:B22)</f>
        <v>174</v>
      </c>
      <c r="C23" s="31">
        <f>SUBTOTAL(109,C2:C22)</f>
        <v>380</v>
      </c>
      <c r="D23" s="31">
        <f>SUBTOTAL(109,D2:D22)</f>
        <v>348</v>
      </c>
      <c r="E23" s="31">
        <f>SUBTOTAL(109,E2:E22)</f>
        <v>380</v>
      </c>
      <c r="F23" s="31">
        <f>SUBTOTAL(109,F4:F22)</f>
        <v>86.4</v>
      </c>
      <c r="G23" s="1">
        <f>SUM(Table3[[#This Row],[Desayuno]:[Metro]])</f>
        <v>1368.4</v>
      </c>
    </row>
    <row r="24" spans="1:7" x14ac:dyDescent="0.25">
      <c r="G24" s="1">
        <f>+G23*570.18</f>
        <v>780234.31200000003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FFA5-EDF8-4D3D-8717-93FBDAD67D37}">
  <dimension ref="A1:D20"/>
  <sheetViews>
    <sheetView showGridLines="0" workbookViewId="0">
      <selection activeCell="C15" sqref="C15"/>
    </sheetView>
  </sheetViews>
  <sheetFormatPr defaultRowHeight="15" x14ac:dyDescent="0.25"/>
  <cols>
    <col min="1" max="1" width="17.140625" bestFit="1" customWidth="1"/>
    <col min="2" max="3" width="12.5703125" style="1" bestFit="1" customWidth="1"/>
    <col min="4" max="4" width="6.85546875" bestFit="1" customWidth="1"/>
  </cols>
  <sheetData>
    <row r="1" spans="1:4" x14ac:dyDescent="0.25">
      <c r="A1" s="12" t="s">
        <v>39</v>
      </c>
      <c r="B1" s="13" t="s">
        <v>62</v>
      </c>
      <c r="C1" s="13" t="s">
        <v>63</v>
      </c>
      <c r="D1" s="13" t="s">
        <v>42</v>
      </c>
    </row>
    <row r="2" spans="1:4" x14ac:dyDescent="0.25">
      <c r="A2" s="10" t="s">
        <v>64</v>
      </c>
      <c r="B2" s="23">
        <v>320000</v>
      </c>
      <c r="C2" s="23"/>
      <c r="D2" s="66">
        <f t="shared" ref="D2:D7" si="0">+B2/$B$17*100</f>
        <v>26.87574427964481</v>
      </c>
    </row>
    <row r="3" spans="1:4" x14ac:dyDescent="0.25">
      <c r="A3" s="10" t="s">
        <v>65</v>
      </c>
      <c r="B3" s="23">
        <v>318000</v>
      </c>
      <c r="C3" s="23"/>
      <c r="D3" s="66">
        <f t="shared" si="0"/>
        <v>26.70777087789703</v>
      </c>
    </row>
    <row r="4" spans="1:4" x14ac:dyDescent="0.25">
      <c r="A4" s="10" t="s">
        <v>66</v>
      </c>
      <c r="B4" s="23">
        <v>150000</v>
      </c>
      <c r="C4" s="23"/>
      <c r="D4" s="66">
        <f t="shared" si="0"/>
        <v>12.598005131083504</v>
      </c>
    </row>
    <row r="5" spans="1:4" x14ac:dyDescent="0.25">
      <c r="A5" s="10" t="s">
        <v>0</v>
      </c>
      <c r="B5" s="23">
        <v>60000</v>
      </c>
      <c r="C5" s="23"/>
      <c r="D5" s="66">
        <f t="shared" si="0"/>
        <v>5.039202052433402</v>
      </c>
    </row>
    <row r="6" spans="1:4" x14ac:dyDescent="0.25">
      <c r="A6" s="10" t="s">
        <v>9</v>
      </c>
      <c r="B6" s="23">
        <v>40000</v>
      </c>
      <c r="C6" s="23"/>
      <c r="D6" s="66">
        <f t="shared" si="0"/>
        <v>3.3594680349556012</v>
      </c>
    </row>
    <row r="7" spans="1:4" x14ac:dyDescent="0.25">
      <c r="A7" s="10" t="s">
        <v>235</v>
      </c>
      <c r="B7" s="23">
        <v>25030</v>
      </c>
      <c r="C7" s="23"/>
      <c r="D7" s="66">
        <f t="shared" si="0"/>
        <v>2.1021871228734677</v>
      </c>
    </row>
    <row r="8" spans="1:4" x14ac:dyDescent="0.25">
      <c r="A8" s="10" t="s">
        <v>236</v>
      </c>
      <c r="B8" s="23">
        <v>10000</v>
      </c>
      <c r="C8" s="23"/>
      <c r="D8" s="66">
        <f t="shared" ref="D8:D9" si="1">+B8/$B$17*100</f>
        <v>0.8398670087389003</v>
      </c>
    </row>
    <row r="9" spans="1:4" x14ac:dyDescent="0.25">
      <c r="A9" s="10" t="s">
        <v>237</v>
      </c>
      <c r="B9" s="23">
        <v>10000</v>
      </c>
      <c r="C9" s="23"/>
      <c r="D9" s="66">
        <f t="shared" si="1"/>
        <v>0.8398670087389003</v>
      </c>
    </row>
    <row r="10" spans="1:4" x14ac:dyDescent="0.25">
      <c r="A10" s="10" t="s">
        <v>67</v>
      </c>
      <c r="B10" s="23">
        <v>20000</v>
      </c>
      <c r="C10" s="23"/>
      <c r="D10" s="66">
        <f>+B10/$B$17*100</f>
        <v>1.6797340174778006</v>
      </c>
    </row>
    <row r="11" spans="1:4" x14ac:dyDescent="0.25">
      <c r="A11" s="10" t="s">
        <v>69</v>
      </c>
      <c r="B11" s="23">
        <v>40000</v>
      </c>
      <c r="C11" s="23"/>
      <c r="D11" s="66">
        <f>+B11/$B$17*100</f>
        <v>3.3594680349556012</v>
      </c>
    </row>
    <row r="12" spans="1:4" x14ac:dyDescent="0.25">
      <c r="A12" s="10" t="s">
        <v>212</v>
      </c>
      <c r="B12" s="23">
        <f>+'Deudas Marzo'!A5+'Deudas Marzo'!A3</f>
        <v>47634.7</v>
      </c>
      <c r="C12" s="23"/>
      <c r="D12" s="66">
        <f>+B12/$B$17*100</f>
        <v>4.0006813001174892</v>
      </c>
    </row>
    <row r="13" spans="1:4" x14ac:dyDescent="0.25">
      <c r="A13" s="10" t="s">
        <v>225</v>
      </c>
      <c r="B13" s="23">
        <v>150000</v>
      </c>
      <c r="C13" s="23"/>
      <c r="D13" s="66">
        <f>+B13/$B$17*100</f>
        <v>12.598005131083504</v>
      </c>
    </row>
    <row r="14" spans="1:4" x14ac:dyDescent="0.25">
      <c r="A14" s="10" t="s">
        <v>70</v>
      </c>
      <c r="B14" s="23"/>
      <c r="C14" s="23">
        <v>-1400000</v>
      </c>
      <c r="D14" s="10"/>
    </row>
    <row r="15" spans="1:4" x14ac:dyDescent="0.25">
      <c r="A15" s="10" t="s">
        <v>71</v>
      </c>
      <c r="B15" s="23"/>
      <c r="C15" s="23">
        <v>-300000</v>
      </c>
      <c r="D15" s="10"/>
    </row>
    <row r="16" spans="1:4" x14ac:dyDescent="0.25">
      <c r="A16" s="10" t="s">
        <v>224</v>
      </c>
      <c r="B16" s="23"/>
      <c r="C16" s="23">
        <v>-180000</v>
      </c>
      <c r="D16" s="10"/>
    </row>
    <row r="17" spans="1:4" x14ac:dyDescent="0.25">
      <c r="A17" s="10" t="s">
        <v>40</v>
      </c>
      <c r="B17" s="11">
        <f>SUM(B2:B13)</f>
        <v>1190664.7</v>
      </c>
      <c r="C17" s="11"/>
      <c r="D17" s="10"/>
    </row>
    <row r="18" spans="1:4" x14ac:dyDescent="0.25">
      <c r="A18" s="10" t="s">
        <v>68</v>
      </c>
      <c r="B18" s="11">
        <f>+B17+C14+C15+C16</f>
        <v>-689335.3</v>
      </c>
      <c r="C18" s="11"/>
      <c r="D18" s="10"/>
    </row>
    <row r="19" spans="1:4" x14ac:dyDescent="0.25">
      <c r="B19" s="1">
        <f>+B18*12</f>
        <v>-8272023.6000000006</v>
      </c>
    </row>
    <row r="20" spans="1:4" x14ac:dyDescent="0.25">
      <c r="B20" s="1">
        <v>-8400000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Deudas Marzo</vt:lpstr>
      <vt:lpstr>Deudas </vt:lpstr>
      <vt:lpstr>Presupuesto matrimonio</vt:lpstr>
      <vt:lpstr>Gastos </vt:lpstr>
      <vt:lpstr>Luna de miel</vt:lpstr>
      <vt:lpstr>Sheet1</vt:lpstr>
      <vt:lpstr>Gastos casado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Avila</dc:creator>
  <cp:lastModifiedBy>Aaron Avila</cp:lastModifiedBy>
  <dcterms:created xsi:type="dcterms:W3CDTF">2024-10-02T19:50:52Z</dcterms:created>
  <dcterms:modified xsi:type="dcterms:W3CDTF">2026-03-14T01:28:53Z</dcterms:modified>
</cp:coreProperties>
</file>