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b2a11e06c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SL" sheetId="1" r:id="R85f009b009e846e5"/>
    <x:sheet xmlns:r="http://schemas.openxmlformats.org/officeDocument/2006/relationships" name="MCI" sheetId="2" r:id="R65d091125242440e"/>
    <x:sheet xmlns:r="http://schemas.openxmlformats.org/officeDocument/2006/relationships" name="Base SOM" sheetId="3" r:id="Rc378e4d5dffa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-&quot;"/>
    <x:numFmt numFmtId="201" formatCode="0"/>
    <x:numFmt numFmtId="202" formatCode="dd/mm/yyyy"/>
  </x:numFmts>
  <x:fonts count="5">
    <x:font>
      <x:sz val="11"/>
      <x:name val="Carlito"/>
    </x:font>
    <x:font>
      <x:sz val="10"/>
      <x:color rgb="FF203848"/>
      <x:name val="Arial"/>
    </x:font>
    <x:font>
      <x:b/>
      <x:sz val="16"/>
      <x:color rgb="FF203848"/>
      <x:name val="Arial"/>
    </x:font>
    <x:font>
      <x:b/>
      <x:sz val="10"/>
      <x:color rgb="FFFFFFFF"/>
      <x:name val="Arial"/>
    </x:font>
    <x:font>
      <x:b/>
      <x:sz val="10"/>
      <x:color rgb="FF2038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94B60"/>
      </x:patternFill>
    </x:fill>
    <x:fill>
      <x:patternFill patternType="solid">
        <x:fgColor rgb="FFEDF3F6"/>
      </x:patternFill>
    </x:fill>
    <x:fill>
      <x:patternFill patternType="solid">
        <x:fgColor rgb="FFFFF1CF"/>
      </x:patternFill>
    </x:fill>
    <x:fill>
      <x:patternFill patternType="solid">
        <x:fgColor rgb="FFF4F7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4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2626dcb6e4512" /><Relationship Type="http://schemas.openxmlformats.org/officeDocument/2006/relationships/theme" Target="/xl/theme/theme1.xml" Id="R789493a9cfd44c4c" /><Relationship Type="http://schemas.openxmlformats.org/officeDocument/2006/relationships/sharedStrings" Target="/xl/sharedStrings.xml" Id="Rcd0576c54e8b4ced" /><Relationship Type="http://schemas.openxmlformats.org/officeDocument/2006/relationships/worksheet" Target="/xl/worksheets/sheet1.xml" Id="R85f009b009e846e5" /><Relationship Type="http://schemas.openxmlformats.org/officeDocument/2006/relationships/worksheet" Target="/xl/worksheets/sheet2.xml" Id="R65d091125242440e" /><Relationship Type="http://schemas.openxmlformats.org/officeDocument/2006/relationships/worksheet" Target="/xl/worksheets/sheet3.xml" Id="Rc378e4d5dffa4cd5" /></Relationships>
</file>

<file path=xl/tables/table1.xml><?xml version="1.0" encoding="utf-8"?>
<x:table xmlns:x="http://schemas.openxmlformats.org/spreadsheetml/2006/main" id="2" name="ActivosMSL" displayName="ActivosMSL" ref="A14:P100" headerRowCount="1" totalsRowCount="0" totalsRowShown="0">
  <x:tableColumns count="16">
    <x:tableColumn id="1" name="Codigo"/>
    <x:tableColumn id="2" name="Nombre abreviado"/>
    <x:tableColumn id="3" name="Descripcion"/>
    <x:tableColumn id="4" name="Compra registrada"/>
    <x:tableColumn id="5" name="Costo USD"/>
    <x:tableColumn id="6" name="TC CRC/USD"/>
    <x:tableColumn id="7" name="Costo CRC"/>
    <x:tableColumn id="8" name="Dep. mensual CRC"/>
    <x:tableColumn id="9" name="Dep. acumulada estimada CRC"/>
    <x:tableColumn id="10" name="Valor neto estimado CRC"/>
    <x:tableColumn id="11" name="Dep. registrada calendario CRC"/>
    <x:tableColumn id="12" name="Pendiente estimado CRC"/>
    <x:tableColumn id="13" name="Dep. hasta 30/09 CRC"/>
    <x:tableColumn id="14" name="Octubre 19/31 CRC"/>
    <x:tableColumn id="15" name="Vida util meses"/>
    <x:tableColumn id="16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atosSOM" displayName="DatosSOM" ref="A5:U91" headerRowCount="1" totalsRowCount="0" totalsRowShown="0">
  <x:tableColumns count="21">
    <x:tableColumn id="1" name="ID"/>
    <x:tableColumn id="2" name="Codigo"/>
    <x:tableColumn id="3" name="Descripcion original"/>
    <x:tableColumn id="4" name="Compra registrada"/>
    <x:tableColumn id="5" name="Costo USD"/>
    <x:tableColumn id="6" name="TC historico"/>
    <x:tableColumn id="7" name="Costo CRC"/>
    <x:tableColumn id="8" name="Dep. mensual CRC"/>
    <x:tableColumn id="9" name="Vida util meses"/>
    <x:tableColumn id="10" name="Residual CRC"/>
    <x:tableColumn id="11" name="Estado"/>
    <x:tableColumn id="12" name="Clasificacion"/>
    <x:tableColumn id="13" name="Dep. acumulada guardada CRC"/>
    <x:tableColumn id="14" name="Neto guardado CRC"/>
    <x:tableColumn id="15" name="Dep. calendario POSTED CRC"/>
    <x:tableColumn id="16" name="Dep. calendario hasta septiembre CRC"/>
    <x:tableColumn id="17" name="Cuota octubre CRC"/>
    <x:tableColumn id="18" name="Serie"/>
    <x:tableColumn id="19" name="Ubicacion"/>
    <x:tableColumn id="20" name="Observaciones originales"/>
    <x:tableColumn id="21" name="Fecha T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d7d0eb070144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fc23da46dc418b" /></Relationships>
</file>

<file path=xl/worksheets/sheet1.xml><?xml version="1.0" encoding="utf-8"?>
<x:worksheet xmlns:x="http://schemas.openxmlformats.org/spreadsheetml/2006/main">
  <x:sheetPr>
    <x:tabColor rgb="FF294B60"/>
  </x:sheetPr>
  <x:sheetViews>
    <x:sheetView showGridLines="0" workbookViewId="0">
      <x:pane xSplit="2" ySplit="14" topLeftCell="C15" activePane="bottomRight" state="frozen"/>
    </x:sheetView>
  </x:sheetViews>
  <x:sheetFormatPr defaultRowHeight="15"/>
  <x:cols>
    <x:col min="1" max="1" width="22" hidden="0" customWidth="1"/>
    <x:col min="2" max="2" width="31" hidden="0" customWidth="1"/>
    <x:col min="3" max="3" width="62" hidden="0" customWidth="1"/>
    <x:col min="4" max="4" width="2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4" hidden="0" customWidth="1"/>
    <x:col min="16" max="16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3" t="str">
        <x:v>Activos fijos y depreciacion de MSL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3" customHeight="1">
      <x:c r="A4" s="2" t="str">
        <x:v>Corte</x:v>
      </x:c>
      <x:c r="B4" s="12" t="d">
        <x:v>2026-10-19T00:00:00.000Z</x:v>
      </x:c>
      <x:c r="C4" s="2" t="str">
        <x:v>Activos</x:v>
      </x:c>
      <x:c r="D4" s="2" t="n">
        <x:v>86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3" customHeight="1">
      <x:c r="A6" s="13" t="str">
        <x:v>Costo historico CRC</x:v>
      </x:c>
      <x:c r="B6" s="15" t="n">
        <x:f>SUM(G15:G100)</x:f>
        <x:v>11583314.159999995</x:v>
      </x:c>
      <x:c r="C6" s="2"/>
      <x:c r="D6" s="13" t="str">
        <x:v>Valor neto estimado CRC</x:v>
      </x:c>
      <x:c r="E6" s="15" t="n">
        <x:f>SUM(J15:J100)</x:f>
        <x:v>9400543.810000002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3" customHeight="1">
      <x:c r="A7" s="13" t="str">
        <x:v>Dep. estimada CRC</x:v>
      </x:c>
      <x:c r="B7" s="15" t="n">
        <x:f>SUM(I15:I100)</x:f>
        <x:v>2182770.35</x:v>
      </x:c>
      <x:c r="C7" s="2"/>
      <x:c r="D7" s="13" t="str">
        <x:v>Dep. mensual CRC</x:v>
      </x:c>
      <x:c r="E7" s="15" t="n">
        <x:f>SUM(H15:H100)</x:f>
        <x:v>96527.65000000007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3" customHeight="1">
      <x:c r="A9" s="16" t="str">
        <x:v>Fecha de compra: 31/12/2024 fue asignada en la importacion. No es una fecha de compra verificada.</x:v>
      </x:c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</x:row>
    <x:row r="10" ht="23" customHeight="1">
      <x:c r="A10" s="2" t="str">
        <x:v>Estimacion al corte: calendario hasta 30/09/2026 mas 19/31 de la cuota de octubre. No se han contabilizado nuevos asientos.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3" customHeight="1">
      <x:c r="A11" s="2" t="str">
        <x:v>Registrada: calendario POSTED con asiento asociado, hasta agosto 2026. Pendiente: diferencia contra la estimacion al corte.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3" customHeight="1">
      <x:c r="A12" s="2" t="str">
        <x:v>El valor neto estimado NO es precio de mercado ni una oferta de compra. Nombre abreviado derivado de la descripcion original.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58" customHeight="1">
      <x:c r="A14" s="7" t="str">
        <x:v>Codigo</x:v>
      </x:c>
      <x:c r="B14" s="7" t="str">
        <x:v>Nombre abreviado</x:v>
      </x:c>
      <x:c r="C14" s="7" t="str">
        <x:v>Descripcion</x:v>
      </x:c>
      <x:c r="D14" s="7" t="str">
        <x:v>Compra registrada</x:v>
      </x:c>
      <x:c r="E14" s="7" t="str">
        <x:v>Costo USD</x:v>
      </x:c>
      <x:c r="F14" s="7" t="str">
        <x:v>TC CRC/USD</x:v>
      </x:c>
      <x:c r="G14" s="7" t="str">
        <x:v>Costo CRC</x:v>
      </x:c>
      <x:c r="H14" s="7" t="str">
        <x:v>Dep. mensual CRC</x:v>
      </x:c>
      <x:c r="I14" s="7" t="str">
        <x:v>Dep. acumulada estimada CRC</x:v>
      </x:c>
      <x:c r="J14" s="7" t="str">
        <x:v>Valor neto estimado CRC</x:v>
      </x:c>
      <x:c r="K14" s="7" t="str">
        <x:v>Dep. registrada calendario CRC</x:v>
      </x:c>
      <x:c r="L14" s="7" t="str">
        <x:v>Pendiente estimado CRC</x:v>
      </x:c>
      <x:c r="M14" s="7" t="str">
        <x:v>Dep. hasta 30/09 CRC</x:v>
      </x:c>
      <x:c r="N14" s="7" t="str">
        <x:v>Octubre 19/31 CRC</x:v>
      </x:c>
      <x:c r="O14" s="7" t="str">
        <x:v>Vida util meses</x:v>
      </x:c>
      <x:c r="P14" s="7" t="str">
        <x:v>Estado</x:v>
      </x:c>
    </x:row>
    <x:row r="15" ht="46" customHeight="1">
      <x:c r="A15" s="2" t="str">
        <x:f>'Base SOM'!B6</x:f>
        <x:v>MSL-A0001</x:v>
      </x:c>
      <x:c r="B15" s="11" t="str">
        <x:v>ESCRITORIO SPACIO 120X60X75CM</x:v>
      </x:c>
      <x:c r="C15" s="11" t="str">
        <x:f>'Base SOM'!C6</x:f>
        <x:v>ESCRITORIO SPACIO 120X60X75CM LISO COLOR CLARO</x:v>
      </x:c>
      <x:c r="D15" s="10" t="n">
        <x:f>'Base SOM'!D6</x:f>
        <x:v>45657</x:v>
      </x:c>
      <x:c r="E15" s="22" t="n">
        <x:f>'Base SOM'!E6</x:f>
        <x:v>280</x:v>
      </x:c>
      <x:c r="F15" s="22" t="n">
        <x:f>'Base SOM'!F6</x:f>
        <x:v>512.73</x:v>
      </x:c>
      <x:c r="G15" s="22" t="n">
        <x:f>'Base SOM'!G6</x:f>
        <x:v>143564.4</x:v>
      </x:c>
      <x:c r="H15" s="22" t="n">
        <x:f>'Base SOM'!H6</x:f>
        <x:v>1196.37</x:v>
      </x:c>
      <x:c r="I15" s="26" t="n">
        <x:f>MIN(G15-'Base SOM'!J6,M15+N15)</x:f>
        <x:v>27053.399999999998</x:v>
      </x:c>
      <x:c r="J15" s="26" t="n">
        <x:f>G15-I15</x:f>
        <x:v>116511</x:v>
      </x:c>
      <x:c r="K15" s="22" t="n">
        <x:f>'Base SOM'!O6</x:f>
        <x:v>25123.77</x:v>
      </x:c>
      <x:c r="L15" s="22" t="n">
        <x:f>I15-K15</x:f>
        <x:v>1929.6299999999974</x:v>
      </x:c>
      <x:c r="M15" s="22" t="n">
        <x:f>'Base SOM'!P6</x:f>
        <x:v>26320.14</x:v>
      </x:c>
      <x:c r="N15" s="22" t="n">
        <x:f>ROUND('Base SOM'!Q6*DAY($B$4)/DAY(EOMONTH($B$4,0)),2)</x:f>
        <x:v>733.26</x:v>
      </x:c>
      <x:c r="O15" s="23" t="n">
        <x:f>'Base SOM'!I6</x:f>
        <x:v>120</x:v>
      </x:c>
      <x:c r="P15" s="2" t="str">
        <x:f>'Base SOM'!K6</x:f>
        <x:v>ACTIVE</x:v>
      </x:c>
    </x:row>
    <x:row r="16" ht="46" customHeight="1">
      <x:c r="A16" s="17" t="str">
        <x:f>'Base SOM'!B7</x:f>
        <x:v>MSL-A0002</x:v>
      </x:c>
      <x:c r="B16" s="21" t="str">
        <x:v>ESCRITORIO SPACIO 120X60X75CM</x:v>
      </x:c>
      <x:c r="C16" s="21" t="str">
        <x:f>'Base SOM'!C7</x:f>
        <x:v>ESCRITORIO SPACIO 120X60X75CM LISO COLOR CLARO</x:v>
      </x:c>
      <x:c r="D16" s="18" t="n">
        <x:f>'Base SOM'!D7</x:f>
        <x:v>45657</x:v>
      </x:c>
      <x:c r="E16" s="24" t="n">
        <x:f>'Base SOM'!E7</x:f>
        <x:v>280</x:v>
      </x:c>
      <x:c r="F16" s="24" t="n">
        <x:f>'Base SOM'!F7</x:f>
        <x:v>512.73</x:v>
      </x:c>
      <x:c r="G16" s="24" t="n">
        <x:f>'Base SOM'!G7</x:f>
        <x:v>143564.4</x:v>
      </x:c>
      <x:c r="H16" s="24" t="n">
        <x:f>'Base SOM'!H7</x:f>
        <x:v>1196.37</x:v>
      </x:c>
      <x:c r="I16" s="27" t="n">
        <x:f>MIN(G16-'Base SOM'!J7,M16+N16)</x:f>
        <x:v>27053.399999999998</x:v>
      </x:c>
      <x:c r="J16" s="27" t="n">
        <x:f>G16-I16</x:f>
        <x:v>116511</x:v>
      </x:c>
      <x:c r="K16" s="24" t="n">
        <x:f>'Base SOM'!O7</x:f>
        <x:v>25123.77</x:v>
      </x:c>
      <x:c r="L16" s="24" t="n">
        <x:f>I16-K16</x:f>
        <x:v>1929.6299999999974</x:v>
      </x:c>
      <x:c r="M16" s="24" t="n">
        <x:f>'Base SOM'!P7</x:f>
        <x:v>26320.14</x:v>
      </x:c>
      <x:c r="N16" s="24" t="n">
        <x:f>ROUND('Base SOM'!Q7*DAY($B$4)/DAY(EOMONTH($B$4,0)),2)</x:f>
        <x:v>733.26</x:v>
      </x:c>
      <x:c r="O16" s="25" t="n">
        <x:f>'Base SOM'!I7</x:f>
        <x:v>120</x:v>
      </x:c>
      <x:c r="P16" s="17" t="str">
        <x:f>'Base SOM'!K7</x:f>
        <x:v>ACTIVE</x:v>
      </x:c>
    </x:row>
    <x:row r="17" ht="46" customHeight="1">
      <x:c r="A17" s="2" t="str">
        <x:f>'Base SOM'!B8</x:f>
        <x:v>MSL-A0003</x:v>
      </x:c>
      <x:c r="B17" s="11" t="str">
        <x:v>ESCRITORIO SPACIO 120X60X75CM</x:v>
      </x:c>
      <x:c r="C17" s="11" t="str">
        <x:f>'Base SOM'!C8</x:f>
        <x:v>ESCRITORIO SPACIO 120X60X75CM LISO COLOR CLARO</x:v>
      </x:c>
      <x:c r="D17" s="10" t="n">
        <x:f>'Base SOM'!D8</x:f>
        <x:v>45657</x:v>
      </x:c>
      <x:c r="E17" s="22" t="n">
        <x:f>'Base SOM'!E8</x:f>
        <x:v>280</x:v>
      </x:c>
      <x:c r="F17" s="22" t="n">
        <x:f>'Base SOM'!F8</x:f>
        <x:v>512.73</x:v>
      </x:c>
      <x:c r="G17" s="22" t="n">
        <x:f>'Base SOM'!G8</x:f>
        <x:v>143564.4</x:v>
      </x:c>
      <x:c r="H17" s="22" t="n">
        <x:f>'Base SOM'!H8</x:f>
        <x:v>1196.37</x:v>
      </x:c>
      <x:c r="I17" s="26" t="n">
        <x:f>MIN(G17-'Base SOM'!J8,M17+N17)</x:f>
        <x:v>27053.399999999998</x:v>
      </x:c>
      <x:c r="J17" s="26" t="n">
        <x:f>G17-I17</x:f>
        <x:v>116511</x:v>
      </x:c>
      <x:c r="K17" s="22" t="n">
        <x:f>'Base SOM'!O8</x:f>
        <x:v>25123.77</x:v>
      </x:c>
      <x:c r="L17" s="22" t="n">
        <x:f>I17-K17</x:f>
        <x:v>1929.6299999999974</x:v>
      </x:c>
      <x:c r="M17" s="22" t="n">
        <x:f>'Base SOM'!P8</x:f>
        <x:v>26320.14</x:v>
      </x:c>
      <x:c r="N17" s="22" t="n">
        <x:f>ROUND('Base SOM'!Q8*DAY($B$4)/DAY(EOMONTH($B$4,0)),2)</x:f>
        <x:v>733.26</x:v>
      </x:c>
      <x:c r="O17" s="23" t="n">
        <x:f>'Base SOM'!I8</x:f>
        <x:v>120</x:v>
      </x:c>
      <x:c r="P17" s="2" t="str">
        <x:f>'Base SOM'!K8</x:f>
        <x:v>ACTIVE</x:v>
      </x:c>
    </x:row>
    <x:row r="18" ht="46" customHeight="1">
      <x:c r="A18" s="17" t="str">
        <x:f>'Base SOM'!B9</x:f>
        <x:v>MSL-A0004</x:v>
      </x:c>
      <x:c r="B18" s="21" t="str">
        <x:v>ESCRITORIO SPACIO 120X60X75CM</x:v>
      </x:c>
      <x:c r="C18" s="21" t="str">
        <x:f>'Base SOM'!C9</x:f>
        <x:v>ESCRITORIO SPACIO 120X60X75CM LISO COLOR CLARO</x:v>
      </x:c>
      <x:c r="D18" s="18" t="n">
        <x:f>'Base SOM'!D9</x:f>
        <x:v>45657</x:v>
      </x:c>
      <x:c r="E18" s="24" t="n">
        <x:f>'Base SOM'!E9</x:f>
        <x:v>280</x:v>
      </x:c>
      <x:c r="F18" s="24" t="n">
        <x:f>'Base SOM'!F9</x:f>
        <x:v>512.73</x:v>
      </x:c>
      <x:c r="G18" s="24" t="n">
        <x:f>'Base SOM'!G9</x:f>
        <x:v>143564.4</x:v>
      </x:c>
      <x:c r="H18" s="24" t="n">
        <x:f>'Base SOM'!H9</x:f>
        <x:v>1196.37</x:v>
      </x:c>
      <x:c r="I18" s="27" t="n">
        <x:f>MIN(G18-'Base SOM'!J9,M18+N18)</x:f>
        <x:v>27053.399999999998</x:v>
      </x:c>
      <x:c r="J18" s="27" t="n">
        <x:f>G18-I18</x:f>
        <x:v>116511</x:v>
      </x:c>
      <x:c r="K18" s="24" t="n">
        <x:f>'Base SOM'!O9</x:f>
        <x:v>25123.77</x:v>
      </x:c>
      <x:c r="L18" s="24" t="n">
        <x:f>I18-K18</x:f>
        <x:v>1929.6299999999974</x:v>
      </x:c>
      <x:c r="M18" s="24" t="n">
        <x:f>'Base SOM'!P9</x:f>
        <x:v>26320.14</x:v>
      </x:c>
      <x:c r="N18" s="24" t="n">
        <x:f>ROUND('Base SOM'!Q9*DAY($B$4)/DAY(EOMONTH($B$4,0)),2)</x:f>
        <x:v>733.26</x:v>
      </x:c>
      <x:c r="O18" s="25" t="n">
        <x:f>'Base SOM'!I9</x:f>
        <x:v>120</x:v>
      </x:c>
      <x:c r="P18" s="17" t="str">
        <x:f>'Base SOM'!K9</x:f>
        <x:v>ACTIVE</x:v>
      </x:c>
    </x:row>
    <x:row r="19" ht="46" customHeight="1">
      <x:c r="A19" s="2" t="str">
        <x:f>'Base SOM'!B10</x:f>
        <x:v>MSL-A0005</x:v>
      </x:c>
      <x:c r="B19" s="11" t="str">
        <x:v>ESCRITORIO SPACIO 120X60X75CM</x:v>
      </x:c>
      <x:c r="C19" s="11" t="str">
        <x:f>'Base SOM'!C10</x:f>
        <x:v>ESCRITORIO SPACIO 120X60X75CM LISO COLOR CLARO</x:v>
      </x:c>
      <x:c r="D19" s="10" t="n">
        <x:f>'Base SOM'!D10</x:f>
        <x:v>45657</x:v>
      </x:c>
      <x:c r="E19" s="22" t="n">
        <x:f>'Base SOM'!E10</x:f>
        <x:v>280</x:v>
      </x:c>
      <x:c r="F19" s="22" t="n">
        <x:f>'Base SOM'!F10</x:f>
        <x:v>512.73</x:v>
      </x:c>
      <x:c r="G19" s="22" t="n">
        <x:f>'Base SOM'!G10</x:f>
        <x:v>143564.4</x:v>
      </x:c>
      <x:c r="H19" s="22" t="n">
        <x:f>'Base SOM'!H10</x:f>
        <x:v>1196.37</x:v>
      </x:c>
      <x:c r="I19" s="26" t="n">
        <x:f>MIN(G19-'Base SOM'!J10,M19+N19)</x:f>
        <x:v>27053.399999999998</x:v>
      </x:c>
      <x:c r="J19" s="26" t="n">
        <x:f>G19-I19</x:f>
        <x:v>116511</x:v>
      </x:c>
      <x:c r="K19" s="22" t="n">
        <x:f>'Base SOM'!O10</x:f>
        <x:v>25123.77</x:v>
      </x:c>
      <x:c r="L19" s="22" t="n">
        <x:f>I19-K19</x:f>
        <x:v>1929.6299999999974</x:v>
      </x:c>
      <x:c r="M19" s="22" t="n">
        <x:f>'Base SOM'!P10</x:f>
        <x:v>26320.14</x:v>
      </x:c>
      <x:c r="N19" s="22" t="n">
        <x:f>ROUND('Base SOM'!Q10*DAY($B$4)/DAY(EOMONTH($B$4,0)),2)</x:f>
        <x:v>733.26</x:v>
      </x:c>
      <x:c r="O19" s="23" t="n">
        <x:f>'Base SOM'!I10</x:f>
        <x:v>120</x:v>
      </x:c>
      <x:c r="P19" s="2" t="str">
        <x:f>'Base SOM'!K10</x:f>
        <x:v>ACTIVE</x:v>
      </x:c>
    </x:row>
    <x:row r="20" ht="46" customHeight="1">
      <x:c r="A20" s="17" t="str">
        <x:f>'Base SOM'!B11</x:f>
        <x:v>MSL-A0006</x:v>
      </x:c>
      <x:c r="B20" s="21" t="str">
        <x:v>ESCRITORIO SPACIO 120X60X75CM</x:v>
      </x:c>
      <x:c r="C20" s="21" t="str">
        <x:f>'Base SOM'!C11</x:f>
        <x:v>ESCRITORIO SPACIO 120X60X75CM LISO COLOR CLARO</x:v>
      </x:c>
      <x:c r="D20" s="18" t="n">
        <x:f>'Base SOM'!D11</x:f>
        <x:v>45657</x:v>
      </x:c>
      <x:c r="E20" s="24" t="n">
        <x:f>'Base SOM'!E11</x:f>
        <x:v>280</x:v>
      </x:c>
      <x:c r="F20" s="24" t="n">
        <x:f>'Base SOM'!F11</x:f>
        <x:v>512.73</x:v>
      </x:c>
      <x:c r="G20" s="24" t="n">
        <x:f>'Base SOM'!G11</x:f>
        <x:v>143564.4</x:v>
      </x:c>
      <x:c r="H20" s="24" t="n">
        <x:f>'Base SOM'!H11</x:f>
        <x:v>1196.37</x:v>
      </x:c>
      <x:c r="I20" s="27" t="n">
        <x:f>MIN(G20-'Base SOM'!J11,M20+N20)</x:f>
        <x:v>27053.399999999998</x:v>
      </x:c>
      <x:c r="J20" s="27" t="n">
        <x:f>G20-I20</x:f>
        <x:v>116511</x:v>
      </x:c>
      <x:c r="K20" s="24" t="n">
        <x:f>'Base SOM'!O11</x:f>
        <x:v>25123.77</x:v>
      </x:c>
      <x:c r="L20" s="24" t="n">
        <x:f>I20-K20</x:f>
        <x:v>1929.6299999999974</x:v>
      </x:c>
      <x:c r="M20" s="24" t="n">
        <x:f>'Base SOM'!P11</x:f>
        <x:v>26320.14</x:v>
      </x:c>
      <x:c r="N20" s="24" t="n">
        <x:f>ROUND('Base SOM'!Q11*DAY($B$4)/DAY(EOMONTH($B$4,0)),2)</x:f>
        <x:v>733.26</x:v>
      </x:c>
      <x:c r="O20" s="25" t="n">
        <x:f>'Base SOM'!I11</x:f>
        <x:v>120</x:v>
      </x:c>
      <x:c r="P20" s="17" t="str">
        <x:f>'Base SOM'!K11</x:f>
        <x:v>ACTIVE</x:v>
      </x:c>
    </x:row>
    <x:row r="21" ht="46" customHeight="1">
      <x:c r="A21" s="2" t="str">
        <x:f>'Base SOM'!B12</x:f>
        <x:v>MSL-A0007</x:v>
      </x:c>
      <x:c r="B21" s="11" t="str">
        <x:v>SILLA SECRETARIAL KUNA</x:v>
      </x:c>
      <x:c r="C21" s="11" t="str">
        <x:f>'Base SOM'!C12</x:f>
        <x:v>SILLA SECRETARIAL KUNA GRIS BASE NYLON GRIS</x:v>
      </x:c>
      <x:c r="D21" s="10" t="n">
        <x:f>'Base SOM'!D12</x:f>
        <x:v>45657</x:v>
      </x:c>
      <x:c r="E21" s="22" t="n">
        <x:f>'Base SOM'!E12</x:f>
        <x:v>120</x:v>
      </x:c>
      <x:c r="F21" s="22" t="n">
        <x:f>'Base SOM'!F12</x:f>
        <x:v>512.73</x:v>
      </x:c>
      <x:c r="G21" s="22" t="n">
        <x:f>'Base SOM'!G12</x:f>
        <x:v>61527.6</x:v>
      </x:c>
      <x:c r="H21" s="22" t="n">
        <x:f>'Base SOM'!H12</x:f>
        <x:v>512.73</x:v>
      </x:c>
      <x:c r="I21" s="26" t="n">
        <x:f>MIN(G21-'Base SOM'!J12,M21+N21)</x:f>
        <x:v>11594.31</x:v>
      </x:c>
      <x:c r="J21" s="26" t="n">
        <x:f>G21-I21</x:f>
        <x:v>49933.29</x:v>
      </x:c>
      <x:c r="K21" s="22" t="n">
        <x:f>'Base SOM'!O12</x:f>
        <x:v>10767.33</x:v>
      </x:c>
      <x:c r="L21" s="22" t="n">
        <x:f>I21-K21</x:f>
        <x:v>826.9799999999996</x:v>
      </x:c>
      <x:c r="M21" s="22" t="n">
        <x:f>'Base SOM'!P12</x:f>
        <x:v>11280.06</x:v>
      </x:c>
      <x:c r="N21" s="22" t="n">
        <x:f>ROUND('Base SOM'!Q12*DAY($B$4)/DAY(EOMONTH($B$4,0)),2)</x:f>
        <x:v>314.25</x:v>
      </x:c>
      <x:c r="O21" s="23" t="n">
        <x:f>'Base SOM'!I12</x:f>
        <x:v>120</x:v>
      </x:c>
      <x:c r="P21" s="2" t="str">
        <x:f>'Base SOM'!K12</x:f>
        <x:v>ACTIVE</x:v>
      </x:c>
    </x:row>
    <x:row r="22" ht="46" customHeight="1">
      <x:c r="A22" s="17" t="str">
        <x:f>'Base SOM'!B13</x:f>
        <x:v>MSL-A0008</x:v>
      </x:c>
      <x:c r="B22" s="21" t="str">
        <x:v>SILLA SECRETARIAL KUNA</x:v>
      </x:c>
      <x:c r="C22" s="21" t="str">
        <x:f>'Base SOM'!C13</x:f>
        <x:v>SILLA SECRETARIAL KUNA GRIS BASE NYLON GRIS</x:v>
      </x:c>
      <x:c r="D22" s="18" t="n">
        <x:f>'Base SOM'!D13</x:f>
        <x:v>45657</x:v>
      </x:c>
      <x:c r="E22" s="24" t="n">
        <x:f>'Base SOM'!E13</x:f>
        <x:v>120</x:v>
      </x:c>
      <x:c r="F22" s="24" t="n">
        <x:f>'Base SOM'!F13</x:f>
        <x:v>512.73</x:v>
      </x:c>
      <x:c r="G22" s="24" t="n">
        <x:f>'Base SOM'!G13</x:f>
        <x:v>61527.6</x:v>
      </x:c>
      <x:c r="H22" s="24" t="n">
        <x:f>'Base SOM'!H13</x:f>
        <x:v>512.73</x:v>
      </x:c>
      <x:c r="I22" s="27" t="n">
        <x:f>MIN(G22-'Base SOM'!J13,M22+N22)</x:f>
        <x:v>11594.31</x:v>
      </x:c>
      <x:c r="J22" s="27" t="n">
        <x:f>G22-I22</x:f>
        <x:v>49933.29</x:v>
      </x:c>
      <x:c r="K22" s="24" t="n">
        <x:f>'Base SOM'!O13</x:f>
        <x:v>10767.33</x:v>
      </x:c>
      <x:c r="L22" s="24" t="n">
        <x:f>I22-K22</x:f>
        <x:v>826.9799999999996</x:v>
      </x:c>
      <x:c r="M22" s="24" t="n">
        <x:f>'Base SOM'!P13</x:f>
        <x:v>11280.06</x:v>
      </x:c>
      <x:c r="N22" s="24" t="n">
        <x:f>ROUND('Base SOM'!Q13*DAY($B$4)/DAY(EOMONTH($B$4,0)),2)</x:f>
        <x:v>314.25</x:v>
      </x:c>
      <x:c r="O22" s="25" t="n">
        <x:f>'Base SOM'!I13</x:f>
        <x:v>120</x:v>
      </x:c>
      <x:c r="P22" s="17" t="str">
        <x:f>'Base SOM'!K13</x:f>
        <x:v>ACTIVE</x:v>
      </x:c>
    </x:row>
    <x:row r="23" ht="46" customHeight="1">
      <x:c r="A23" s="2" t="str">
        <x:f>'Base SOM'!B14</x:f>
        <x:v>MSL-A0009</x:v>
      </x:c>
      <x:c r="B23" s="11" t="str">
        <x:v>SILLA SECRETARIAL KUNA</x:v>
      </x:c>
      <x:c r="C23" s="11" t="str">
        <x:f>'Base SOM'!C14</x:f>
        <x:v>SILLA SECRETARIAL KUNA GRIS BASE NYLON GRIS</x:v>
      </x:c>
      <x:c r="D23" s="10" t="n">
        <x:f>'Base SOM'!D14</x:f>
        <x:v>45657</x:v>
      </x:c>
      <x:c r="E23" s="22" t="n">
        <x:f>'Base SOM'!E14</x:f>
        <x:v>120</x:v>
      </x:c>
      <x:c r="F23" s="22" t="n">
        <x:f>'Base SOM'!F14</x:f>
        <x:v>512.73</x:v>
      </x:c>
      <x:c r="G23" s="22" t="n">
        <x:f>'Base SOM'!G14</x:f>
        <x:v>61527.6</x:v>
      </x:c>
      <x:c r="H23" s="22" t="n">
        <x:f>'Base SOM'!H14</x:f>
        <x:v>512.73</x:v>
      </x:c>
      <x:c r="I23" s="26" t="n">
        <x:f>MIN(G23-'Base SOM'!J14,M23+N23)</x:f>
        <x:v>11594.31</x:v>
      </x:c>
      <x:c r="J23" s="26" t="n">
        <x:f>G23-I23</x:f>
        <x:v>49933.29</x:v>
      </x:c>
      <x:c r="K23" s="22" t="n">
        <x:f>'Base SOM'!O14</x:f>
        <x:v>10767.33</x:v>
      </x:c>
      <x:c r="L23" s="22" t="n">
        <x:f>I23-K23</x:f>
        <x:v>826.9799999999996</x:v>
      </x:c>
      <x:c r="M23" s="22" t="n">
        <x:f>'Base SOM'!P14</x:f>
        <x:v>11280.06</x:v>
      </x:c>
      <x:c r="N23" s="22" t="n">
        <x:f>ROUND('Base SOM'!Q14*DAY($B$4)/DAY(EOMONTH($B$4,0)),2)</x:f>
        <x:v>314.25</x:v>
      </x:c>
      <x:c r="O23" s="23" t="n">
        <x:f>'Base SOM'!I14</x:f>
        <x:v>120</x:v>
      </x:c>
      <x:c r="P23" s="2" t="str">
        <x:f>'Base SOM'!K14</x:f>
        <x:v>ACTIVE</x:v>
      </x:c>
    </x:row>
    <x:row r="24" ht="46" customHeight="1">
      <x:c r="A24" s="17" t="str">
        <x:f>'Base SOM'!B15</x:f>
        <x:v>MSL-A0010</x:v>
      </x:c>
      <x:c r="B24" s="21" t="str">
        <x:v>SILLA SECRETARIAL KUNA</x:v>
      </x:c>
      <x:c r="C24" s="21" t="str">
        <x:f>'Base SOM'!C15</x:f>
        <x:v>SILLA SECRETARIAL KUNA GRIS BASE NYLON GRIS</x:v>
      </x:c>
      <x:c r="D24" s="18" t="n">
        <x:f>'Base SOM'!D15</x:f>
        <x:v>45657</x:v>
      </x:c>
      <x:c r="E24" s="24" t="n">
        <x:f>'Base SOM'!E15</x:f>
        <x:v>120</x:v>
      </x:c>
      <x:c r="F24" s="24" t="n">
        <x:f>'Base SOM'!F15</x:f>
        <x:v>512.73</x:v>
      </x:c>
      <x:c r="G24" s="24" t="n">
        <x:f>'Base SOM'!G15</x:f>
        <x:v>61527.6</x:v>
      </x:c>
      <x:c r="H24" s="24" t="n">
        <x:f>'Base SOM'!H15</x:f>
        <x:v>512.73</x:v>
      </x:c>
      <x:c r="I24" s="27" t="n">
        <x:f>MIN(G24-'Base SOM'!J15,M24+N24)</x:f>
        <x:v>11594.31</x:v>
      </x:c>
      <x:c r="J24" s="27" t="n">
        <x:f>G24-I24</x:f>
        <x:v>49933.29</x:v>
      </x:c>
      <x:c r="K24" s="24" t="n">
        <x:f>'Base SOM'!O15</x:f>
        <x:v>10767.33</x:v>
      </x:c>
      <x:c r="L24" s="24" t="n">
        <x:f>I24-K24</x:f>
        <x:v>826.9799999999996</x:v>
      </x:c>
      <x:c r="M24" s="24" t="n">
        <x:f>'Base SOM'!P15</x:f>
        <x:v>11280.06</x:v>
      </x:c>
      <x:c r="N24" s="24" t="n">
        <x:f>ROUND('Base SOM'!Q15*DAY($B$4)/DAY(EOMONTH($B$4,0)),2)</x:f>
        <x:v>314.25</x:v>
      </x:c>
      <x:c r="O24" s="25" t="n">
        <x:f>'Base SOM'!I15</x:f>
        <x:v>120</x:v>
      </x:c>
      <x:c r="P24" s="17" t="str">
        <x:f>'Base SOM'!K15</x:f>
        <x:v>ACTIVE</x:v>
      </x:c>
    </x:row>
    <x:row r="25" ht="46" customHeight="1">
      <x:c r="A25" s="2" t="str">
        <x:f>'Base SOM'!B16</x:f>
        <x:v>MSL-A0011</x:v>
      </x:c>
      <x:c r="B25" s="11" t="str">
        <x:v>SILLA SECRETARIAL KUNA</x:v>
      </x:c>
      <x:c r="C25" s="11" t="str">
        <x:f>'Base SOM'!C16</x:f>
        <x:v>SILLA SECRETARIAL KUNA GRIS BASE NYLON GRIS</x:v>
      </x:c>
      <x:c r="D25" s="10" t="n">
        <x:f>'Base SOM'!D16</x:f>
        <x:v>45657</x:v>
      </x:c>
      <x:c r="E25" s="22" t="n">
        <x:f>'Base SOM'!E16</x:f>
        <x:v>120</x:v>
      </x:c>
      <x:c r="F25" s="22" t="n">
        <x:f>'Base SOM'!F16</x:f>
        <x:v>512.73</x:v>
      </x:c>
      <x:c r="G25" s="22" t="n">
        <x:f>'Base SOM'!G16</x:f>
        <x:v>61527.6</x:v>
      </x:c>
      <x:c r="H25" s="22" t="n">
        <x:f>'Base SOM'!H16</x:f>
        <x:v>512.73</x:v>
      </x:c>
      <x:c r="I25" s="26" t="n">
        <x:f>MIN(G25-'Base SOM'!J16,M25+N25)</x:f>
        <x:v>11594.31</x:v>
      </x:c>
      <x:c r="J25" s="26" t="n">
        <x:f>G25-I25</x:f>
        <x:v>49933.29</x:v>
      </x:c>
      <x:c r="K25" s="22" t="n">
        <x:f>'Base SOM'!O16</x:f>
        <x:v>10767.33</x:v>
      </x:c>
      <x:c r="L25" s="22" t="n">
        <x:f>I25-K25</x:f>
        <x:v>826.9799999999996</x:v>
      </x:c>
      <x:c r="M25" s="22" t="n">
        <x:f>'Base SOM'!P16</x:f>
        <x:v>11280.06</x:v>
      </x:c>
      <x:c r="N25" s="22" t="n">
        <x:f>ROUND('Base SOM'!Q16*DAY($B$4)/DAY(EOMONTH($B$4,0)),2)</x:f>
        <x:v>314.25</x:v>
      </x:c>
      <x:c r="O25" s="23" t="n">
        <x:f>'Base SOM'!I16</x:f>
        <x:v>120</x:v>
      </x:c>
      <x:c r="P25" s="2" t="str">
        <x:f>'Base SOM'!K16</x:f>
        <x:v>ACTIVE</x:v>
      </x:c>
    </x:row>
    <x:row r="26" ht="46" customHeight="1">
      <x:c r="A26" s="17" t="str">
        <x:f>'Base SOM'!B17</x:f>
        <x:v>MSL-A0012</x:v>
      </x:c>
      <x:c r="B26" s="21" t="str">
        <x:v>SILLA SECRETARIAL KUNA</x:v>
      </x:c>
      <x:c r="C26" s="21" t="str">
        <x:f>'Base SOM'!C17</x:f>
        <x:v>SILLA SECRETARIAL KUNA GRIS BASE NYLON GRIS</x:v>
      </x:c>
      <x:c r="D26" s="18" t="n">
        <x:f>'Base SOM'!D17</x:f>
        <x:v>45657</x:v>
      </x:c>
      <x:c r="E26" s="24" t="n">
        <x:f>'Base SOM'!E17</x:f>
        <x:v>120</x:v>
      </x:c>
      <x:c r="F26" s="24" t="n">
        <x:f>'Base SOM'!F17</x:f>
        <x:v>512.73</x:v>
      </x:c>
      <x:c r="G26" s="24" t="n">
        <x:f>'Base SOM'!G17</x:f>
        <x:v>61527.6</x:v>
      </x:c>
      <x:c r="H26" s="24" t="n">
        <x:f>'Base SOM'!H17</x:f>
        <x:v>512.73</x:v>
      </x:c>
      <x:c r="I26" s="27" t="n">
        <x:f>MIN(G26-'Base SOM'!J17,M26+N26)</x:f>
        <x:v>11594.31</x:v>
      </x:c>
      <x:c r="J26" s="27" t="n">
        <x:f>G26-I26</x:f>
        <x:v>49933.29</x:v>
      </x:c>
      <x:c r="K26" s="24" t="n">
        <x:f>'Base SOM'!O17</x:f>
        <x:v>10767.33</x:v>
      </x:c>
      <x:c r="L26" s="24" t="n">
        <x:f>I26-K26</x:f>
        <x:v>826.9799999999996</x:v>
      </x:c>
      <x:c r="M26" s="24" t="n">
        <x:f>'Base SOM'!P17</x:f>
        <x:v>11280.06</x:v>
      </x:c>
      <x:c r="N26" s="24" t="n">
        <x:f>ROUND('Base SOM'!Q17*DAY($B$4)/DAY(EOMONTH($B$4,0)),2)</x:f>
        <x:v>314.25</x:v>
      </x:c>
      <x:c r="O26" s="25" t="n">
        <x:f>'Base SOM'!I17</x:f>
        <x:v>120</x:v>
      </x:c>
      <x:c r="P26" s="17" t="str">
        <x:f>'Base SOM'!K17</x:f>
        <x:v>ACTIVE</x:v>
      </x:c>
    </x:row>
    <x:row r="27" ht="46" customHeight="1">
      <x:c r="A27" s="2" t="str">
        <x:f>'Base SOM'!B18</x:f>
        <x:v>MSL-A0013</x:v>
      </x:c>
      <x:c r="B27" s="11" t="str">
        <x:v>GABINETE 2 GAVETAS</x:v>
      </x:c>
      <x:c r="C27" s="11" t="str">
        <x:f>'Base SOM'!C18</x:f>
        <x:v>GABINETE 2 GAVETAS 50X48X75CM COLOR CLARO</x:v>
      </x:c>
      <x:c r="D27" s="10" t="n">
        <x:f>'Base SOM'!D18</x:f>
        <x:v>45657</x:v>
      </x:c>
      <x:c r="E27" s="22" t="n">
        <x:f>'Base SOM'!E18</x:f>
        <x:v>190</x:v>
      </x:c>
      <x:c r="F27" s="22" t="n">
        <x:f>'Base SOM'!F18</x:f>
        <x:v>512.73</x:v>
      </x:c>
      <x:c r="G27" s="22" t="n">
        <x:f>'Base SOM'!G18</x:f>
        <x:v>97418.7</x:v>
      </x:c>
      <x:c r="H27" s="22" t="n">
        <x:f>'Base SOM'!H18</x:f>
        <x:v>811.82</x:v>
      </x:c>
      <x:c r="I27" s="26" t="n">
        <x:f>MIN(G27-'Base SOM'!J18,M27+N27)</x:f>
        <x:v>18357.61</x:v>
      </x:c>
      <x:c r="J27" s="26" t="n">
        <x:f>G27-I27</x:f>
        <x:v>79061.09</x:v>
      </x:c>
      <x:c r="K27" s="22" t="n">
        <x:f>'Base SOM'!O18</x:f>
        <x:v>17048.22</x:v>
      </x:c>
      <x:c r="L27" s="22" t="n">
        <x:f>I27-K27</x:f>
        <x:v>1309.3899999999994</x:v>
      </x:c>
      <x:c r="M27" s="22" t="n">
        <x:f>'Base SOM'!P18</x:f>
        <x:v>17860.04</x:v>
      </x:c>
      <x:c r="N27" s="22" t="n">
        <x:f>ROUND('Base SOM'!Q18*DAY($B$4)/DAY(EOMONTH($B$4,0)),2)</x:f>
        <x:v>497.57</x:v>
      </x:c>
      <x:c r="O27" s="23" t="n">
        <x:f>'Base SOM'!I18</x:f>
        <x:v>120</x:v>
      </x:c>
      <x:c r="P27" s="2" t="str">
        <x:f>'Base SOM'!K18</x:f>
        <x:v>ACTIVE</x:v>
      </x:c>
    </x:row>
    <x:row r="28" ht="46" customHeight="1">
      <x:c r="A28" s="17" t="str">
        <x:f>'Base SOM'!B19</x:f>
        <x:v>MSL-A0014</x:v>
      </x:c>
      <x:c r="B28" s="21" t="str">
        <x:v>EPSON Ecotank</x:v>
      </x:c>
      <x:c r="C28" s="21" t="str">
        <x:f>'Base SOM'!C19</x:f>
        <x:v>EPSON Ecotank</x:v>
      </x:c>
      <x:c r="D28" s="18" t="n">
        <x:f>'Base SOM'!D19</x:f>
        <x:v>45657</x:v>
      </x:c>
      <x:c r="E28" s="24" t="n">
        <x:f>'Base SOM'!E19</x:f>
        <x:v>450</x:v>
      </x:c>
      <x:c r="F28" s="24" t="n">
        <x:f>'Base SOM'!F19</x:f>
        <x:v>512.73</x:v>
      </x:c>
      <x:c r="G28" s="24" t="n">
        <x:f>'Base SOM'!G19</x:f>
        <x:v>230728.5</x:v>
      </x:c>
      <x:c r="H28" s="24" t="n">
        <x:f>'Base SOM'!H19</x:f>
        <x:v>1922.74</x:v>
      </x:c>
      <x:c r="I28" s="27" t="n">
        <x:f>MIN(G28-'Base SOM'!J19,M28+N28)</x:f>
        <x:v>43478.729999999996</x:v>
      </x:c>
      <x:c r="J28" s="27" t="n">
        <x:f>G28-I28</x:f>
        <x:v>187249.77000000002</x:v>
      </x:c>
      <x:c r="K28" s="24" t="n">
        <x:f>'Base SOM'!O19</x:f>
        <x:v>40377.54</x:v>
      </x:c>
      <x:c r="L28" s="24" t="n">
        <x:f>I28-K28</x:f>
        <x:v>3101.189999999995</x:v>
      </x:c>
      <x:c r="M28" s="24" t="n">
        <x:f>'Base SOM'!P19</x:f>
        <x:v>42300.28</x:v>
      </x:c>
      <x:c r="N28" s="24" t="n">
        <x:f>ROUND('Base SOM'!Q19*DAY($B$4)/DAY(EOMONTH($B$4,0)),2)</x:f>
        <x:v>1178.45</x:v>
      </x:c>
      <x:c r="O28" s="25" t="n">
        <x:f>'Base SOM'!I19</x:f>
        <x:v>120</x:v>
      </x:c>
      <x:c r="P28" s="17" t="str">
        <x:f>'Base SOM'!K19</x:f>
        <x:v>ACTIVE</x:v>
      </x:c>
    </x:row>
    <x:row r="29" ht="46" customHeight="1">
      <x:c r="A29" s="2" t="str">
        <x:f>'Base SOM'!B20</x:f>
        <x:v>MSL-A0015</x:v>
      </x:c>
      <x:c r="B29" s="11" t="str">
        <x:v>Monitor HP 24"</x:v>
      </x:c>
      <x:c r="C29" s="11" t="str">
        <x:f>'Base SOM'!C20</x:f>
        <x:v>Monitor HP 24"</x:v>
      </x:c>
      <x:c r="D29" s="10" t="n">
        <x:f>'Base SOM'!D20</x:f>
        <x:v>45657</x:v>
      </x:c>
      <x:c r="E29" s="22" t="n">
        <x:f>'Base SOM'!E20</x:f>
        <x:v>100</x:v>
      </x:c>
      <x:c r="F29" s="22" t="n">
        <x:f>'Base SOM'!F20</x:f>
        <x:v>512.73</x:v>
      </x:c>
      <x:c r="G29" s="22" t="n">
        <x:f>'Base SOM'!G20</x:f>
        <x:v>51273</x:v>
      </x:c>
      <x:c r="H29" s="22" t="n">
        <x:f>'Base SOM'!H20</x:f>
        <x:v>427.28</x:v>
      </x:c>
      <x:c r="I29" s="26" t="n">
        <x:f>MIN(G29-'Base SOM'!J20,M29+N29)</x:f>
        <x:v>9662.039999999999</x:v>
      </x:c>
      <x:c r="J29" s="26" t="n">
        <x:f>G29-I29</x:f>
        <x:v>41610.96</x:v>
      </x:c>
      <x:c r="K29" s="22" t="n">
        <x:f>'Base SOM'!O20</x:f>
        <x:v>8972.88</x:v>
      </x:c>
      <x:c r="L29" s="22" t="n">
        <x:f>I29-K29</x:f>
        <x:v>689.1599999999999</x:v>
      </x:c>
      <x:c r="M29" s="22" t="n">
        <x:f>'Base SOM'!P20</x:f>
        <x:v>9400.16</x:v>
      </x:c>
      <x:c r="N29" s="22" t="n">
        <x:f>ROUND('Base SOM'!Q20*DAY($B$4)/DAY(EOMONTH($B$4,0)),2)</x:f>
        <x:v>261.88</x:v>
      </x:c>
      <x:c r="O29" s="23" t="n">
        <x:f>'Base SOM'!I20</x:f>
        <x:v>120</x:v>
      </x:c>
      <x:c r="P29" s="2" t="str">
        <x:f>'Base SOM'!K20</x:f>
        <x:v>ACTIVE</x:v>
      </x:c>
    </x:row>
    <x:row r="30" ht="46" customHeight="1">
      <x:c r="A30" s="17" t="str">
        <x:f>'Base SOM'!B21</x:f>
        <x:v>MSL-A0016</x:v>
      </x:c>
      <x:c r="B30" s="21" t="str">
        <x:v>Mouse Logitech</x:v>
      </x:c>
      <x:c r="C30" s="21" t="str">
        <x:f>'Base SOM'!C21</x:f>
        <x:v>Mouse Logitech</x:v>
      </x:c>
      <x:c r="D30" s="18" t="n">
        <x:f>'Base SOM'!D21</x:f>
        <x:v>45657</x:v>
      </x:c>
      <x:c r="E30" s="24" t="n">
        <x:f>'Base SOM'!E21</x:f>
        <x:v>18</x:v>
      </x:c>
      <x:c r="F30" s="24" t="n">
        <x:f>'Base SOM'!F21</x:f>
        <x:v>512.73</x:v>
      </x:c>
      <x:c r="G30" s="24" t="n">
        <x:f>'Base SOM'!G21</x:f>
        <x:v>9229.14</x:v>
      </x:c>
      <x:c r="H30" s="24" t="n">
        <x:f>'Base SOM'!H21</x:f>
        <x:v>76.91</x:v>
      </x:c>
      <x:c r="I30" s="27" t="n">
        <x:f>MIN(G30-'Base SOM'!J21,M30+N30)</x:f>
        <x:v>1739.16</x:v>
      </x:c>
      <x:c r="J30" s="27" t="n">
        <x:f>G30-I30</x:f>
        <x:v>7489.98</x:v>
      </x:c>
      <x:c r="K30" s="24" t="n">
        <x:f>'Base SOM'!O21</x:f>
        <x:v>1615.11</x:v>
      </x:c>
      <x:c r="L30" s="24" t="n">
        <x:f>I30-K30</x:f>
        <x:v>124.05000000000018</x:v>
      </x:c>
      <x:c r="M30" s="24" t="n">
        <x:f>'Base SOM'!P21</x:f>
        <x:v>1692.02</x:v>
      </x:c>
      <x:c r="N30" s="24" t="n">
        <x:f>ROUND('Base SOM'!Q21*DAY($B$4)/DAY(EOMONTH($B$4,0)),2)</x:f>
        <x:v>47.14</x:v>
      </x:c>
      <x:c r="O30" s="25" t="n">
        <x:f>'Base SOM'!I21</x:f>
        <x:v>120</x:v>
      </x:c>
      <x:c r="P30" s="17" t="str">
        <x:f>'Base SOM'!K21</x:f>
        <x:v>ACTIVE</x:v>
      </x:c>
    </x:row>
    <x:row r="31" ht="46" customHeight="1">
      <x:c r="A31" s="2" t="str">
        <x:f>'Base SOM'!B22</x:f>
        <x:v>MSL-A0017</x:v>
      </x:c>
      <x:c r="B31" s="11" t="str">
        <x:v>Logitec telcado</x:v>
      </x:c>
      <x:c r="C31" s="11" t="str">
        <x:f>'Base SOM'!C22</x:f>
        <x:v>Logitec telcado</x:v>
      </x:c>
      <x:c r="D31" s="10" t="n">
        <x:f>'Base SOM'!D22</x:f>
        <x:v>45657</x:v>
      </x:c>
      <x:c r="E31" s="22" t="n">
        <x:f>'Base SOM'!E22</x:f>
        <x:v>42.85</x:v>
      </x:c>
      <x:c r="F31" s="22" t="n">
        <x:f>'Base SOM'!F22</x:f>
        <x:v>512.73</x:v>
      </x:c>
      <x:c r="G31" s="22" t="n">
        <x:f>'Base SOM'!G22</x:f>
        <x:v>21970.48</x:v>
      </x:c>
      <x:c r="H31" s="22" t="n">
        <x:f>'Base SOM'!H22</x:f>
        <x:v>183.09</x:v>
      </x:c>
      <x:c r="I31" s="26" t="n">
        <x:f>MIN(G31-'Base SOM'!J22,M31+N31)</x:f>
        <x:v>4140.2</x:v>
      </x:c>
      <x:c r="J31" s="26" t="n">
        <x:f>G31-I31</x:f>
        <x:v>17830.28</x:v>
      </x:c>
      <x:c r="K31" s="22" t="n">
        <x:f>'Base SOM'!O22</x:f>
        <x:v>3844.89</x:v>
      </x:c>
      <x:c r="L31" s="22" t="n">
        <x:f>I31-K31</x:f>
        <x:v>295.30999999999995</x:v>
      </x:c>
      <x:c r="M31" s="22" t="n">
        <x:f>'Base SOM'!P22</x:f>
        <x:v>4027.98</x:v>
      </x:c>
      <x:c r="N31" s="22" t="n">
        <x:f>ROUND('Base SOM'!Q22*DAY($B$4)/DAY(EOMONTH($B$4,0)),2)</x:f>
        <x:v>112.22</x:v>
      </x:c>
      <x:c r="O31" s="23" t="n">
        <x:f>'Base SOM'!I22</x:f>
        <x:v>120</x:v>
      </x:c>
      <x:c r="P31" s="2" t="str">
        <x:f>'Base SOM'!K22</x:f>
        <x:v>ACTIVE</x:v>
      </x:c>
    </x:row>
    <x:row r="32" ht="46" customHeight="1">
      <x:c r="A32" s="17" t="str">
        <x:f>'Base SOM'!B23</x:f>
        <x:v>MSL-A0018</x:v>
      </x:c>
      <x:c r="B32" s="21" t="str">
        <x:v>Laptop HP</x:v>
      </x:c>
      <x:c r="C32" s="21" t="str">
        <x:f>'Base SOM'!C23</x:f>
        <x:v>Laptop HP</x:v>
      </x:c>
      <x:c r="D32" s="18" t="n">
        <x:f>'Base SOM'!D23</x:f>
        <x:v>45657</x:v>
      </x:c>
      <x:c r="E32" s="24" t="n">
        <x:f>'Base SOM'!E23</x:f>
        <x:v>490</x:v>
      </x:c>
      <x:c r="F32" s="24" t="n">
        <x:f>'Base SOM'!F23</x:f>
        <x:v>512.73</x:v>
      </x:c>
      <x:c r="G32" s="24" t="n">
        <x:f>'Base SOM'!G23</x:f>
        <x:v>251237.7</x:v>
      </x:c>
      <x:c r="H32" s="24" t="n">
        <x:f>'Base SOM'!H23</x:f>
        <x:v>2093.65</x:v>
      </x:c>
      <x:c r="I32" s="27" t="n">
        <x:f>MIN(G32-'Base SOM'!J23,M32+N32)</x:f>
        <x:v>47343.5</x:v>
      </x:c>
      <x:c r="J32" s="27" t="n">
        <x:f>G32-I32</x:f>
        <x:v>203894.2</x:v>
      </x:c>
      <x:c r="K32" s="24" t="n">
        <x:f>'Base SOM'!O23</x:f>
        <x:v>43966.65</x:v>
      </x:c>
      <x:c r="L32" s="24" t="n">
        <x:f>I32-K32</x:f>
        <x:v>3376.8499999999985</x:v>
      </x:c>
      <x:c r="M32" s="24" t="n">
        <x:f>'Base SOM'!P23</x:f>
        <x:v>46060.3</x:v>
      </x:c>
      <x:c r="N32" s="24" t="n">
        <x:f>ROUND('Base SOM'!Q23*DAY($B$4)/DAY(EOMONTH($B$4,0)),2)</x:f>
        <x:v>1283.2</x:v>
      </x:c>
      <x:c r="O32" s="25" t="n">
        <x:f>'Base SOM'!I23</x:f>
        <x:v>120</x:v>
      </x:c>
      <x:c r="P32" s="17" t="str">
        <x:f>'Base SOM'!K23</x:f>
        <x:v>ACTIVE</x:v>
      </x:c>
    </x:row>
    <x:row r="33" ht="46" customHeight="1">
      <x:c r="A33" s="2" t="str">
        <x:f>'Base SOM'!B24</x:f>
        <x:v>MSL-A0019</x:v>
      </x:c>
      <x:c r="B33" s="11" t="str">
        <x:v>AT&amp;T Telefono inalambrico</x:v>
      </x:c>
      <x:c r="C33" s="11" t="str">
        <x:f>'Base SOM'!C24</x:f>
        <x:v>AT&amp;T Telefono inalambrico DL72240</x:v>
      </x:c>
      <x:c r="D33" s="10" t="n">
        <x:f>'Base SOM'!D24</x:f>
        <x:v>45657</x:v>
      </x:c>
      <x:c r="E33" s="22" t="n">
        <x:f>'Base SOM'!E24</x:f>
        <x:v>58.5</x:v>
      </x:c>
      <x:c r="F33" s="22" t="n">
        <x:f>'Base SOM'!F24</x:f>
        <x:v>512.73</x:v>
      </x:c>
      <x:c r="G33" s="22" t="n">
        <x:f>'Base SOM'!G24</x:f>
        <x:v>29994.71</x:v>
      </x:c>
      <x:c r="H33" s="22" t="n">
        <x:f>'Base SOM'!H24</x:f>
        <x:v>249.96</x:v>
      </x:c>
      <x:c r="I33" s="26" t="n">
        <x:f>MIN(G33-'Base SOM'!J24,M33+N33)</x:f>
        <x:v>5652.32</x:v>
      </x:c>
      <x:c r="J33" s="26" t="n">
        <x:f>G33-I33</x:f>
        <x:v>24342.39</x:v>
      </x:c>
      <x:c r="K33" s="22" t="n">
        <x:f>'Base SOM'!O24</x:f>
        <x:v>5249.16</x:v>
      </x:c>
      <x:c r="L33" s="22" t="n">
        <x:f>I33-K33</x:f>
        <x:v>403.15999999999985</x:v>
      </x:c>
      <x:c r="M33" s="22" t="n">
        <x:f>'Base SOM'!P24</x:f>
        <x:v>5499.12</x:v>
      </x:c>
      <x:c r="N33" s="22" t="n">
        <x:f>ROUND('Base SOM'!Q24*DAY($B$4)/DAY(EOMONTH($B$4,0)),2)</x:f>
        <x:v>153.2</x:v>
      </x:c>
      <x:c r="O33" s="23" t="n">
        <x:f>'Base SOM'!I24</x:f>
        <x:v>120</x:v>
      </x:c>
      <x:c r="P33" s="2" t="str">
        <x:f>'Base SOM'!K24</x:f>
        <x:v>ACTIVE</x:v>
      </x:c>
    </x:row>
    <x:row r="34" ht="46" customHeight="1">
      <x:c r="A34" s="17" t="str">
        <x:f>'Base SOM'!B25</x:f>
        <x:v>MSL-A0020</x:v>
      </x:c>
      <x:c r="B34" s="21" t="str">
        <x:v>AT&amp;T Telefono inalambrico</x:v>
      </x:c>
      <x:c r="C34" s="21" t="str">
        <x:f>'Base SOM'!C25</x:f>
        <x:v>AT&amp;T Telefono inalambrico DL72240</x:v>
      </x:c>
      <x:c r="D34" s="18" t="n">
        <x:f>'Base SOM'!D25</x:f>
        <x:v>45657</x:v>
      </x:c>
      <x:c r="E34" s="24" t="n">
        <x:f>'Base SOM'!E25</x:f>
        <x:v>58.5</x:v>
      </x:c>
      <x:c r="F34" s="24" t="n">
        <x:f>'Base SOM'!F25</x:f>
        <x:v>512.73</x:v>
      </x:c>
      <x:c r="G34" s="24" t="n">
        <x:f>'Base SOM'!G25</x:f>
        <x:v>29994.71</x:v>
      </x:c>
      <x:c r="H34" s="24" t="n">
        <x:f>'Base SOM'!H25</x:f>
        <x:v>249.96</x:v>
      </x:c>
      <x:c r="I34" s="27" t="n">
        <x:f>MIN(G34-'Base SOM'!J25,M34+N34)</x:f>
        <x:v>5652.32</x:v>
      </x:c>
      <x:c r="J34" s="27" t="n">
        <x:f>G34-I34</x:f>
        <x:v>24342.39</x:v>
      </x:c>
      <x:c r="K34" s="24" t="n">
        <x:f>'Base SOM'!O25</x:f>
        <x:v>5249.16</x:v>
      </x:c>
      <x:c r="L34" s="24" t="n">
        <x:f>I34-K34</x:f>
        <x:v>403.15999999999985</x:v>
      </x:c>
      <x:c r="M34" s="24" t="n">
        <x:f>'Base SOM'!P25</x:f>
        <x:v>5499.12</x:v>
      </x:c>
      <x:c r="N34" s="24" t="n">
        <x:f>ROUND('Base SOM'!Q25*DAY($B$4)/DAY(EOMONTH($B$4,0)),2)</x:f>
        <x:v>153.2</x:v>
      </x:c>
      <x:c r="O34" s="25" t="n">
        <x:f>'Base SOM'!I25</x:f>
        <x:v>120</x:v>
      </x:c>
      <x:c r="P34" s="17" t="str">
        <x:f>'Base SOM'!K25</x:f>
        <x:v>ACTIVE</x:v>
      </x:c>
    </x:row>
    <x:row r="35" ht="46" customHeight="1">
      <x:c r="A35" s="2" t="str">
        <x:f>'Base SOM'!B26</x:f>
        <x:v>MSL-A0022</x:v>
      </x:c>
      <x:c r="B35" s="11" t="str">
        <x:v>Aire Daikin</x:v>
      </x:c>
      <x:c r="C35" s="11" t="str">
        <x:f>'Base SOM'!C26</x:f>
        <x:v>Aire Daikin</x:v>
      </x:c>
      <x:c r="D35" s="10" t="n">
        <x:f>'Base SOM'!D26</x:f>
        <x:v>45657</x:v>
      </x:c>
      <x:c r="E35" s="22" t="n">
        <x:f>'Base SOM'!E26</x:f>
        <x:v>796.46</x:v>
      </x:c>
      <x:c r="F35" s="22" t="n">
        <x:f>'Base SOM'!F26</x:f>
        <x:v>512.73</x:v>
      </x:c>
      <x:c r="G35" s="22" t="n">
        <x:f>'Base SOM'!G26</x:f>
        <x:v>408368.94</x:v>
      </x:c>
      <x:c r="H35" s="22" t="n">
        <x:f>'Base SOM'!H26</x:f>
        <x:v>3403.07</x:v>
      </x:c>
      <x:c r="I35" s="26" t="n">
        <x:f>MIN(G35-'Base SOM'!J26,M35+N35)</x:f>
        <x:v>76953.29</x:v>
      </x:c>
      <x:c r="J35" s="26" t="n">
        <x:f>G35-I35</x:f>
        <x:v>331415.65</x:v>
      </x:c>
      <x:c r="K35" s="22" t="n">
        <x:f>'Base SOM'!O26</x:f>
        <x:v>71464.47</x:v>
      </x:c>
      <x:c r="L35" s="22" t="n">
        <x:f>I35-K35</x:f>
        <x:v>5488.819999999992</x:v>
      </x:c>
      <x:c r="M35" s="22" t="n">
        <x:f>'Base SOM'!P26</x:f>
        <x:v>74867.54</x:v>
      </x:c>
      <x:c r="N35" s="22" t="n">
        <x:f>ROUND('Base SOM'!Q26*DAY($B$4)/DAY(EOMONTH($B$4,0)),2)</x:f>
        <x:v>2085.75</x:v>
      </x:c>
      <x:c r="O35" s="23" t="n">
        <x:f>'Base SOM'!I26</x:f>
        <x:v>120</x:v>
      </x:c>
      <x:c r="P35" s="2" t="str">
        <x:f>'Base SOM'!K26</x:f>
        <x:v>ACTIVE</x:v>
      </x:c>
    </x:row>
    <x:row r="36" ht="46" customHeight="1">
      <x:c r="A36" s="17" t="str">
        <x:f>'Base SOM'!B27</x:f>
        <x:v>MSL-A0023</x:v>
      </x:c>
      <x:c r="B36" s="21" t="str">
        <x:v>Lampara 20x20 oficina</x:v>
      </x:c>
      <x:c r="C36" s="21" t="str">
        <x:f>'Base SOM'!C27</x:f>
        <x:v>Lampara 20x20 oficina area de trabajo</x:v>
      </x:c>
      <x:c r="D36" s="18" t="n">
        <x:f>'Base SOM'!D27</x:f>
        <x:v>45657</x:v>
      </x:c>
      <x:c r="E36" s="24" t="n">
        <x:f>'Base SOM'!E27</x:f>
        <x:v>240</x:v>
      </x:c>
      <x:c r="F36" s="24" t="n">
        <x:f>'Base SOM'!F27</x:f>
        <x:v>512.73</x:v>
      </x:c>
      <x:c r="G36" s="24" t="n">
        <x:f>'Base SOM'!G27</x:f>
        <x:v>123055.2</x:v>
      </x:c>
      <x:c r="H36" s="24" t="n">
        <x:f>'Base SOM'!H27</x:f>
        <x:v>1025.46</x:v>
      </x:c>
      <x:c r="I36" s="27" t="n">
        <x:f>MIN(G36-'Base SOM'!J27,M36+N36)</x:f>
        <x:v>23188.629999999997</x:v>
      </x:c>
      <x:c r="J36" s="27" t="n">
        <x:f>G36-I36</x:f>
        <x:v>99866.57</x:v>
      </x:c>
      <x:c r="K36" s="24" t="n">
        <x:f>'Base SOM'!O27</x:f>
        <x:v>21534.66</x:v>
      </x:c>
      <x:c r="L36" s="24" t="n">
        <x:f>I36-K36</x:f>
        <x:v>1653.9699999999975</x:v>
      </x:c>
      <x:c r="M36" s="24" t="n">
        <x:f>'Base SOM'!P27</x:f>
        <x:v>22560.12</x:v>
      </x:c>
      <x:c r="N36" s="24" t="n">
        <x:f>ROUND('Base SOM'!Q27*DAY($B$4)/DAY(EOMONTH($B$4,0)),2)</x:f>
        <x:v>628.51</x:v>
      </x:c>
      <x:c r="O36" s="25" t="n">
        <x:f>'Base SOM'!I27</x:f>
        <x:v>120</x:v>
      </x:c>
      <x:c r="P36" s="17" t="str">
        <x:f>'Base SOM'!K27</x:f>
        <x:v>ACTIVE</x:v>
      </x:c>
    </x:row>
    <x:row r="37" ht="46" customHeight="1">
      <x:c r="A37" s="2" t="str">
        <x:f>'Base SOM'!B28</x:f>
        <x:v>MSL-A0024</x:v>
      </x:c>
      <x:c r="B37" s="11" t="str">
        <x:v>Lampara 20x20 oficina</x:v>
      </x:c>
      <x:c r="C37" s="11" t="str">
        <x:f>'Base SOM'!C28</x:f>
        <x:v>Lampara 20x20 oficina area de trabajo</x:v>
      </x:c>
      <x:c r="D37" s="10" t="n">
        <x:f>'Base SOM'!D28</x:f>
        <x:v>45657</x:v>
      </x:c>
      <x:c r="E37" s="22" t="n">
        <x:f>'Base SOM'!E28</x:f>
        <x:v>240</x:v>
      </x:c>
      <x:c r="F37" s="22" t="n">
        <x:f>'Base SOM'!F28</x:f>
        <x:v>512.73</x:v>
      </x:c>
      <x:c r="G37" s="22" t="n">
        <x:f>'Base SOM'!G28</x:f>
        <x:v>123055.2</x:v>
      </x:c>
      <x:c r="H37" s="22" t="n">
        <x:f>'Base SOM'!H28</x:f>
        <x:v>1025.46</x:v>
      </x:c>
      <x:c r="I37" s="26" t="n">
        <x:f>MIN(G37-'Base SOM'!J28,M37+N37)</x:f>
        <x:v>23188.629999999997</x:v>
      </x:c>
      <x:c r="J37" s="26" t="n">
        <x:f>G37-I37</x:f>
        <x:v>99866.57</x:v>
      </x:c>
      <x:c r="K37" s="22" t="n">
        <x:f>'Base SOM'!O28</x:f>
        <x:v>21534.66</x:v>
      </x:c>
      <x:c r="L37" s="22" t="n">
        <x:f>I37-K37</x:f>
        <x:v>1653.9699999999975</x:v>
      </x:c>
      <x:c r="M37" s="22" t="n">
        <x:f>'Base SOM'!P28</x:f>
        <x:v>22560.12</x:v>
      </x:c>
      <x:c r="N37" s="22" t="n">
        <x:f>ROUND('Base SOM'!Q28*DAY($B$4)/DAY(EOMONTH($B$4,0)),2)</x:f>
        <x:v>628.51</x:v>
      </x:c>
      <x:c r="O37" s="23" t="n">
        <x:f>'Base SOM'!I28</x:f>
        <x:v>120</x:v>
      </x:c>
      <x:c r="P37" s="2" t="str">
        <x:f>'Base SOM'!K28</x:f>
        <x:v>ACTIVE</x:v>
      </x:c>
    </x:row>
    <x:row r="38" ht="46" customHeight="1">
      <x:c r="A38" s="17" t="str">
        <x:f>'Base SOM'!B29</x:f>
        <x:v>MSL-A0025</x:v>
      </x:c>
      <x:c r="B38" s="21" t="str">
        <x:v>Lampara 20x20 oficina</x:v>
      </x:c>
      <x:c r="C38" s="21" t="str">
        <x:f>'Base SOM'!C29</x:f>
        <x:v>Lampara 20x20 oficina area de trabajo</x:v>
      </x:c>
      <x:c r="D38" s="18" t="n">
        <x:f>'Base SOM'!D29</x:f>
        <x:v>45657</x:v>
      </x:c>
      <x:c r="E38" s="24" t="n">
        <x:f>'Base SOM'!E29</x:f>
        <x:v>240</x:v>
      </x:c>
      <x:c r="F38" s="24" t="n">
        <x:f>'Base SOM'!F29</x:f>
        <x:v>512.73</x:v>
      </x:c>
      <x:c r="G38" s="24" t="n">
        <x:f>'Base SOM'!G29</x:f>
        <x:v>123055.2</x:v>
      </x:c>
      <x:c r="H38" s="24" t="n">
        <x:f>'Base SOM'!H29</x:f>
        <x:v>1025.46</x:v>
      </x:c>
      <x:c r="I38" s="27" t="n">
        <x:f>MIN(G38-'Base SOM'!J29,M38+N38)</x:f>
        <x:v>23188.629999999997</x:v>
      </x:c>
      <x:c r="J38" s="27" t="n">
        <x:f>G38-I38</x:f>
        <x:v>99866.57</x:v>
      </x:c>
      <x:c r="K38" s="24" t="n">
        <x:f>'Base SOM'!O29</x:f>
        <x:v>21534.66</x:v>
      </x:c>
      <x:c r="L38" s="24" t="n">
        <x:f>I38-K38</x:f>
        <x:v>1653.9699999999975</x:v>
      </x:c>
      <x:c r="M38" s="24" t="n">
        <x:f>'Base SOM'!P29</x:f>
        <x:v>22560.12</x:v>
      </x:c>
      <x:c r="N38" s="24" t="n">
        <x:f>ROUND('Base SOM'!Q29*DAY($B$4)/DAY(EOMONTH($B$4,0)),2)</x:f>
        <x:v>628.51</x:v>
      </x:c>
      <x:c r="O38" s="25" t="n">
        <x:f>'Base SOM'!I29</x:f>
        <x:v>120</x:v>
      </x:c>
      <x:c r="P38" s="17" t="str">
        <x:f>'Base SOM'!K29</x:f>
        <x:v>ACTIVE</x:v>
      </x:c>
    </x:row>
    <x:row r="39" ht="46" customHeight="1">
      <x:c r="A39" s="2" t="str">
        <x:f>'Base SOM'!B30</x:f>
        <x:v>MSL-A0026</x:v>
      </x:c>
      <x:c r="B39" s="11" t="str">
        <x:v>Lampara 20x20 oficina</x:v>
      </x:c>
      <x:c r="C39" s="11" t="str">
        <x:f>'Base SOM'!C30</x:f>
        <x:v>Lampara 20x20 oficina area de trabajo</x:v>
      </x:c>
      <x:c r="D39" s="10" t="n">
        <x:f>'Base SOM'!D30</x:f>
        <x:v>45657</x:v>
      </x:c>
      <x:c r="E39" s="22" t="n">
        <x:f>'Base SOM'!E30</x:f>
        <x:v>240</x:v>
      </x:c>
      <x:c r="F39" s="22" t="n">
        <x:f>'Base SOM'!F30</x:f>
        <x:v>512.73</x:v>
      </x:c>
      <x:c r="G39" s="22" t="n">
        <x:f>'Base SOM'!G30</x:f>
        <x:v>123055.2</x:v>
      </x:c>
      <x:c r="H39" s="22" t="n">
        <x:f>'Base SOM'!H30</x:f>
        <x:v>1025.46</x:v>
      </x:c>
      <x:c r="I39" s="26" t="n">
        <x:f>MIN(G39-'Base SOM'!J30,M39+N39)</x:f>
        <x:v>23188.629999999997</x:v>
      </x:c>
      <x:c r="J39" s="26" t="n">
        <x:f>G39-I39</x:f>
        <x:v>99866.57</x:v>
      </x:c>
      <x:c r="K39" s="22" t="n">
        <x:f>'Base SOM'!O30</x:f>
        <x:v>21534.66</x:v>
      </x:c>
      <x:c r="L39" s="22" t="n">
        <x:f>I39-K39</x:f>
        <x:v>1653.9699999999975</x:v>
      </x:c>
      <x:c r="M39" s="22" t="n">
        <x:f>'Base SOM'!P30</x:f>
        <x:v>22560.12</x:v>
      </x:c>
      <x:c r="N39" s="22" t="n">
        <x:f>ROUND('Base SOM'!Q30*DAY($B$4)/DAY(EOMONTH($B$4,0)),2)</x:f>
        <x:v>628.51</x:v>
      </x:c>
      <x:c r="O39" s="23" t="n">
        <x:f>'Base SOM'!I30</x:f>
        <x:v>120</x:v>
      </x:c>
      <x:c r="P39" s="2" t="str">
        <x:f>'Base SOM'!K30</x:f>
        <x:v>ACTIVE</x:v>
      </x:c>
    </x:row>
    <x:row r="40" ht="46" customHeight="1">
      <x:c r="A40" s="17" t="str">
        <x:f>'Base SOM'!B31</x:f>
        <x:v>MSL-B0001</x:v>
      </x:c>
      <x:c r="B40" s="21" t="str">
        <x:v>Lampara 20x20 oficina</x:v>
      </x:c>
      <x:c r="C40" s="21" t="str">
        <x:f>'Base SOM'!C31</x:f>
        <x:v>Lampara 20x20 oficina pasillo</x:v>
      </x:c>
      <x:c r="D40" s="18" t="n">
        <x:f>'Base SOM'!D31</x:f>
        <x:v>45657</x:v>
      </x:c>
      <x:c r="E40" s="24" t="n">
        <x:f>'Base SOM'!E31</x:f>
        <x:v>240</x:v>
      </x:c>
      <x:c r="F40" s="24" t="n">
        <x:f>'Base SOM'!F31</x:f>
        <x:v>512.73</x:v>
      </x:c>
      <x:c r="G40" s="24" t="n">
        <x:f>'Base SOM'!G31</x:f>
        <x:v>123055.2</x:v>
      </x:c>
      <x:c r="H40" s="24" t="n">
        <x:f>'Base SOM'!H31</x:f>
        <x:v>1025.46</x:v>
      </x:c>
      <x:c r="I40" s="27" t="n">
        <x:f>MIN(G40-'Base SOM'!J31,M40+N40)</x:f>
        <x:v>23188.629999999997</x:v>
      </x:c>
      <x:c r="J40" s="27" t="n">
        <x:f>G40-I40</x:f>
        <x:v>99866.57</x:v>
      </x:c>
      <x:c r="K40" s="24" t="n">
        <x:f>'Base SOM'!O31</x:f>
        <x:v>21534.66</x:v>
      </x:c>
      <x:c r="L40" s="24" t="n">
        <x:f>I40-K40</x:f>
        <x:v>1653.9699999999975</x:v>
      </x:c>
      <x:c r="M40" s="24" t="n">
        <x:f>'Base SOM'!P31</x:f>
        <x:v>22560.12</x:v>
      </x:c>
      <x:c r="N40" s="24" t="n">
        <x:f>ROUND('Base SOM'!Q31*DAY($B$4)/DAY(EOMONTH($B$4,0)),2)</x:f>
        <x:v>628.51</x:v>
      </x:c>
      <x:c r="O40" s="25" t="n">
        <x:f>'Base SOM'!I31</x:f>
        <x:v>120</x:v>
      </x:c>
      <x:c r="P40" s="17" t="str">
        <x:f>'Base SOM'!K31</x:f>
        <x:v>ACTIVE</x:v>
      </x:c>
    </x:row>
    <x:row r="41" ht="46" customHeight="1">
      <x:c r="A41" s="2" t="str">
        <x:f>'Base SOM'!B32</x:f>
        <x:v>MSL-B0002</x:v>
      </x:c>
      <x:c r="B41" s="11" t="str">
        <x:v>Lampara 20x20 oficina</x:v>
      </x:c>
      <x:c r="C41" s="11" t="str">
        <x:f>'Base SOM'!C32</x:f>
        <x:v>Lampara 20x20 oficina pasillo</x:v>
      </x:c>
      <x:c r="D41" s="10" t="n">
        <x:f>'Base SOM'!D32</x:f>
        <x:v>45657</x:v>
      </x:c>
      <x:c r="E41" s="22" t="n">
        <x:f>'Base SOM'!E32</x:f>
        <x:v>240</x:v>
      </x:c>
      <x:c r="F41" s="22" t="n">
        <x:f>'Base SOM'!F32</x:f>
        <x:v>512.73</x:v>
      </x:c>
      <x:c r="G41" s="22" t="n">
        <x:f>'Base SOM'!G32</x:f>
        <x:v>123055.2</x:v>
      </x:c>
      <x:c r="H41" s="22" t="n">
        <x:f>'Base SOM'!H32</x:f>
        <x:v>1025.46</x:v>
      </x:c>
      <x:c r="I41" s="26" t="n">
        <x:f>MIN(G41-'Base SOM'!J32,M41+N41)</x:f>
        <x:v>23188.629999999997</x:v>
      </x:c>
      <x:c r="J41" s="26" t="n">
        <x:f>G41-I41</x:f>
        <x:v>99866.57</x:v>
      </x:c>
      <x:c r="K41" s="22" t="n">
        <x:f>'Base SOM'!O32</x:f>
        <x:v>21534.66</x:v>
      </x:c>
      <x:c r="L41" s="22" t="n">
        <x:f>I41-K41</x:f>
        <x:v>1653.9699999999975</x:v>
      </x:c>
      <x:c r="M41" s="22" t="n">
        <x:f>'Base SOM'!P32</x:f>
        <x:v>22560.12</x:v>
      </x:c>
      <x:c r="N41" s="22" t="n">
        <x:f>ROUND('Base SOM'!Q32*DAY($B$4)/DAY(EOMONTH($B$4,0)),2)</x:f>
        <x:v>628.51</x:v>
      </x:c>
      <x:c r="O41" s="23" t="n">
        <x:f>'Base SOM'!I32</x:f>
        <x:v>120</x:v>
      </x:c>
      <x:c r="P41" s="2" t="str">
        <x:f>'Base SOM'!K32</x:f>
        <x:v>ACTIVE</x:v>
      </x:c>
    </x:row>
    <x:row r="42" ht="46" customHeight="1">
      <x:c r="A42" s="17" t="str">
        <x:f>'Base SOM'!B33</x:f>
        <x:v>MSL-B0003</x:v>
      </x:c>
      <x:c r="B42" s="21" t="str">
        <x:v>Lampara 20x20 oficina</x:v>
      </x:c>
      <x:c r="C42" s="21" t="str">
        <x:f>'Base SOM'!C33</x:f>
        <x:v>Lampara 20x20 oficina pasillo</x:v>
      </x:c>
      <x:c r="D42" s="18" t="n">
        <x:f>'Base SOM'!D33</x:f>
        <x:v>45657</x:v>
      </x:c>
      <x:c r="E42" s="24" t="n">
        <x:f>'Base SOM'!E33</x:f>
        <x:v>240</x:v>
      </x:c>
      <x:c r="F42" s="24" t="n">
        <x:f>'Base SOM'!F33</x:f>
        <x:v>512.73</x:v>
      </x:c>
      <x:c r="G42" s="24" t="n">
        <x:f>'Base SOM'!G33</x:f>
        <x:v>123055.2</x:v>
      </x:c>
      <x:c r="H42" s="24" t="n">
        <x:f>'Base SOM'!H33</x:f>
        <x:v>1025.46</x:v>
      </x:c>
      <x:c r="I42" s="27" t="n">
        <x:f>MIN(G42-'Base SOM'!J33,M42+N42)</x:f>
        <x:v>23188.629999999997</x:v>
      </x:c>
      <x:c r="J42" s="27" t="n">
        <x:f>G42-I42</x:f>
        <x:v>99866.57</x:v>
      </x:c>
      <x:c r="K42" s="24" t="n">
        <x:f>'Base SOM'!O33</x:f>
        <x:v>21534.66</x:v>
      </x:c>
      <x:c r="L42" s="24" t="n">
        <x:f>I42-K42</x:f>
        <x:v>1653.9699999999975</x:v>
      </x:c>
      <x:c r="M42" s="24" t="n">
        <x:f>'Base SOM'!P33</x:f>
        <x:v>22560.12</x:v>
      </x:c>
      <x:c r="N42" s="24" t="n">
        <x:f>ROUND('Base SOM'!Q33*DAY($B$4)/DAY(EOMONTH($B$4,0)),2)</x:f>
        <x:v>628.51</x:v>
      </x:c>
      <x:c r="O42" s="25" t="n">
        <x:f>'Base SOM'!I33</x:f>
        <x:v>120</x:v>
      </x:c>
      <x:c r="P42" s="17" t="str">
        <x:f>'Base SOM'!K33</x:f>
        <x:v>ACTIVE</x:v>
      </x:c>
    </x:row>
    <x:row r="43" ht="46" customHeight="1">
      <x:c r="A43" s="2" t="str">
        <x:f>'Base SOM'!B34</x:f>
        <x:v>MSL-C0001</x:v>
      </x:c>
      <x:c r="B43" s="11" t="str">
        <x:v>SILLA NEGRA BRAZO</x:v>
      </x:c>
      <x:c r="C43" s="11" t="str">
        <x:f>'Base SOM'!C34</x:f>
        <x:v>SILLA NEGRA BRAZO FIJO</x:v>
      </x:c>
      <x:c r="D43" s="10" t="n">
        <x:f>'Base SOM'!D34</x:f>
        <x:v>45657</x:v>
      </x:c>
      <x:c r="E43" s="22" t="n">
        <x:f>'Base SOM'!E34</x:f>
        <x:v>110.62</x:v>
      </x:c>
      <x:c r="F43" s="22" t="n">
        <x:f>'Base SOM'!F34</x:f>
        <x:v>512.73</x:v>
      </x:c>
      <x:c r="G43" s="22" t="n">
        <x:f>'Base SOM'!G34</x:f>
        <x:v>56718.19</x:v>
      </x:c>
      <x:c r="H43" s="22" t="n">
        <x:f>'Base SOM'!H34</x:f>
        <x:v>472.65</x:v>
      </x:c>
      <x:c r="I43" s="26" t="n">
        <x:f>MIN(G43-'Base SOM'!J34,M43+N43)</x:f>
        <x:v>10687.99</x:v>
      </x:c>
      <x:c r="J43" s="26" t="n">
        <x:f>G43-I43</x:f>
        <x:v>46030.200000000004</x:v>
      </x:c>
      <x:c r="K43" s="22" t="n">
        <x:f>'Base SOM'!O34</x:f>
        <x:v>9925.65</x:v>
      </x:c>
      <x:c r="L43" s="22" t="n">
        <x:f>I43-K43</x:f>
        <x:v>762.3400000000001</x:v>
      </x:c>
      <x:c r="M43" s="22" t="n">
        <x:f>'Base SOM'!P34</x:f>
        <x:v>10398.3</x:v>
      </x:c>
      <x:c r="N43" s="22" t="n">
        <x:f>ROUND('Base SOM'!Q34*DAY($B$4)/DAY(EOMONTH($B$4,0)),2)</x:f>
        <x:v>289.69</x:v>
      </x:c>
      <x:c r="O43" s="23" t="n">
        <x:f>'Base SOM'!I34</x:f>
        <x:v>120</x:v>
      </x:c>
      <x:c r="P43" s="2" t="str">
        <x:f>'Base SOM'!K34</x:f>
        <x:v>ACTIVE</x:v>
      </x:c>
    </x:row>
    <x:row r="44" ht="46" customHeight="1">
      <x:c r="A44" s="17" t="str">
        <x:f>'Base SOM'!B35</x:f>
        <x:v>MSL-C0002</x:v>
      </x:c>
      <x:c r="B44" s="21" t="str">
        <x:v>SILLA NEGRA BRAZO</x:v>
      </x:c>
      <x:c r="C44" s="21" t="str">
        <x:f>'Base SOM'!C35</x:f>
        <x:v>SILLA NEGRA BRAZO FIJO</x:v>
      </x:c>
      <x:c r="D44" s="18" t="n">
        <x:f>'Base SOM'!D35</x:f>
        <x:v>45657</x:v>
      </x:c>
      <x:c r="E44" s="24" t="n">
        <x:f>'Base SOM'!E35</x:f>
        <x:v>110.62</x:v>
      </x:c>
      <x:c r="F44" s="24" t="n">
        <x:f>'Base SOM'!F35</x:f>
        <x:v>512.73</x:v>
      </x:c>
      <x:c r="G44" s="24" t="n">
        <x:f>'Base SOM'!G35</x:f>
        <x:v>56718.19</x:v>
      </x:c>
      <x:c r="H44" s="24" t="n">
        <x:f>'Base SOM'!H35</x:f>
        <x:v>472.65</x:v>
      </x:c>
      <x:c r="I44" s="27" t="n">
        <x:f>MIN(G44-'Base SOM'!J35,M44+N44)</x:f>
        <x:v>10687.99</x:v>
      </x:c>
      <x:c r="J44" s="27" t="n">
        <x:f>G44-I44</x:f>
        <x:v>46030.200000000004</x:v>
      </x:c>
      <x:c r="K44" s="24" t="n">
        <x:f>'Base SOM'!O35</x:f>
        <x:v>9925.65</x:v>
      </x:c>
      <x:c r="L44" s="24" t="n">
        <x:f>I44-K44</x:f>
        <x:v>762.3400000000001</x:v>
      </x:c>
      <x:c r="M44" s="24" t="n">
        <x:f>'Base SOM'!P35</x:f>
        <x:v>10398.3</x:v>
      </x:c>
      <x:c r="N44" s="24" t="n">
        <x:f>ROUND('Base SOM'!Q35*DAY($B$4)/DAY(EOMONTH($B$4,0)),2)</x:f>
        <x:v>289.69</x:v>
      </x:c>
      <x:c r="O44" s="25" t="n">
        <x:f>'Base SOM'!I35</x:f>
        <x:v>120</x:v>
      </x:c>
      <x:c r="P44" s="17" t="str">
        <x:f>'Base SOM'!K35</x:f>
        <x:v>ACTIVE</x:v>
      </x:c>
    </x:row>
    <x:row r="45" ht="46" customHeight="1">
      <x:c r="A45" s="2" t="str">
        <x:f>'Base SOM'!B36</x:f>
        <x:v>MSL-C0003</x:v>
      </x:c>
      <x:c r="B45" s="11" t="str">
        <x:v>SILLA NEGRA BRAZO</x:v>
      </x:c>
      <x:c r="C45" s="11" t="str">
        <x:f>'Base SOM'!C36</x:f>
        <x:v>SILLA NEGRA BRAZO FIJO</x:v>
      </x:c>
      <x:c r="D45" s="10" t="n">
        <x:f>'Base SOM'!D36</x:f>
        <x:v>45657</x:v>
      </x:c>
      <x:c r="E45" s="22" t="n">
        <x:f>'Base SOM'!E36</x:f>
        <x:v>110.62</x:v>
      </x:c>
      <x:c r="F45" s="22" t="n">
        <x:f>'Base SOM'!F36</x:f>
        <x:v>512.73</x:v>
      </x:c>
      <x:c r="G45" s="22" t="n">
        <x:f>'Base SOM'!G36</x:f>
        <x:v>56718.19</x:v>
      </x:c>
      <x:c r="H45" s="22" t="n">
        <x:f>'Base SOM'!H36</x:f>
        <x:v>472.65</x:v>
      </x:c>
      <x:c r="I45" s="26" t="n">
        <x:f>MIN(G45-'Base SOM'!J36,M45+N45)</x:f>
        <x:v>10687.99</x:v>
      </x:c>
      <x:c r="J45" s="26" t="n">
        <x:f>G45-I45</x:f>
        <x:v>46030.200000000004</x:v>
      </x:c>
      <x:c r="K45" s="22" t="n">
        <x:f>'Base SOM'!O36</x:f>
        <x:v>9925.65</x:v>
      </x:c>
      <x:c r="L45" s="22" t="n">
        <x:f>I45-K45</x:f>
        <x:v>762.3400000000001</x:v>
      </x:c>
      <x:c r="M45" s="22" t="n">
        <x:f>'Base SOM'!P36</x:f>
        <x:v>10398.3</x:v>
      </x:c>
      <x:c r="N45" s="22" t="n">
        <x:f>ROUND('Base SOM'!Q36*DAY($B$4)/DAY(EOMONTH($B$4,0)),2)</x:f>
        <x:v>289.69</x:v>
      </x:c>
      <x:c r="O45" s="23" t="n">
        <x:f>'Base SOM'!I36</x:f>
        <x:v>120</x:v>
      </x:c>
      <x:c r="P45" s="2" t="str">
        <x:f>'Base SOM'!K36</x:f>
        <x:v>ACTIVE</x:v>
      </x:c>
    </x:row>
    <x:row r="46" ht="46" customHeight="1">
      <x:c r="A46" s="17" t="str">
        <x:f>'Base SOM'!B37</x:f>
        <x:v>MSL-C0004</x:v>
      </x:c>
      <x:c r="B46" s="21" t="str">
        <x:v>SILLA NEGRA BRAZO</x:v>
      </x:c>
      <x:c r="C46" s="21" t="str">
        <x:f>'Base SOM'!C37</x:f>
        <x:v>SILLA NEGRA BRAZO FIJO</x:v>
      </x:c>
      <x:c r="D46" s="18" t="n">
        <x:f>'Base SOM'!D37</x:f>
        <x:v>45657</x:v>
      </x:c>
      <x:c r="E46" s="24" t="n">
        <x:f>'Base SOM'!E37</x:f>
        <x:v>110.62</x:v>
      </x:c>
      <x:c r="F46" s="24" t="n">
        <x:f>'Base SOM'!F37</x:f>
        <x:v>512.73</x:v>
      </x:c>
      <x:c r="G46" s="24" t="n">
        <x:f>'Base SOM'!G37</x:f>
        <x:v>56718.19</x:v>
      </x:c>
      <x:c r="H46" s="24" t="n">
        <x:f>'Base SOM'!H37</x:f>
        <x:v>472.65</x:v>
      </x:c>
      <x:c r="I46" s="27" t="n">
        <x:f>MIN(G46-'Base SOM'!J37,M46+N46)</x:f>
        <x:v>10687.99</x:v>
      </x:c>
      <x:c r="J46" s="27" t="n">
        <x:f>G46-I46</x:f>
        <x:v>46030.200000000004</x:v>
      </x:c>
      <x:c r="K46" s="24" t="n">
        <x:f>'Base SOM'!O37</x:f>
        <x:v>9925.65</x:v>
      </x:c>
      <x:c r="L46" s="24" t="n">
        <x:f>I46-K46</x:f>
        <x:v>762.3400000000001</x:v>
      </x:c>
      <x:c r="M46" s="24" t="n">
        <x:f>'Base SOM'!P37</x:f>
        <x:v>10398.3</x:v>
      </x:c>
      <x:c r="N46" s="24" t="n">
        <x:f>ROUND('Base SOM'!Q37*DAY($B$4)/DAY(EOMONTH($B$4,0)),2)</x:f>
        <x:v>289.69</x:v>
      </x:c>
      <x:c r="O46" s="25" t="n">
        <x:f>'Base SOM'!I37</x:f>
        <x:v>120</x:v>
      </x:c>
      <x:c r="P46" s="17" t="str">
        <x:f>'Base SOM'!K37</x:f>
        <x:v>ACTIVE</x:v>
      </x:c>
    </x:row>
    <x:row r="47" ht="46" customHeight="1">
      <x:c r="A47" s="2" t="str">
        <x:f>'Base SOM'!B38</x:f>
        <x:v>MSL-C0005</x:v>
      </x:c>
      <x:c r="B47" s="11" t="str">
        <x:v>SILLA NEGRA BRAZO</x:v>
      </x:c>
      <x:c r="C47" s="11" t="str">
        <x:f>'Base SOM'!C38</x:f>
        <x:v>SILLA NEGRA BRAZO FIJO</x:v>
      </x:c>
      <x:c r="D47" s="10" t="n">
        <x:f>'Base SOM'!D38</x:f>
        <x:v>45657</x:v>
      </x:c>
      <x:c r="E47" s="22" t="n">
        <x:f>'Base SOM'!E38</x:f>
        <x:v>110.62</x:v>
      </x:c>
      <x:c r="F47" s="22" t="n">
        <x:f>'Base SOM'!F38</x:f>
        <x:v>512.73</x:v>
      </x:c>
      <x:c r="G47" s="22" t="n">
        <x:f>'Base SOM'!G38</x:f>
        <x:v>56718.19</x:v>
      </x:c>
      <x:c r="H47" s="22" t="n">
        <x:f>'Base SOM'!H38</x:f>
        <x:v>472.65</x:v>
      </x:c>
      <x:c r="I47" s="26" t="n">
        <x:f>MIN(G47-'Base SOM'!J38,M47+N47)</x:f>
        <x:v>10687.99</x:v>
      </x:c>
      <x:c r="J47" s="26" t="n">
        <x:f>G47-I47</x:f>
        <x:v>46030.200000000004</x:v>
      </x:c>
      <x:c r="K47" s="22" t="n">
        <x:f>'Base SOM'!O38</x:f>
        <x:v>9925.65</x:v>
      </x:c>
      <x:c r="L47" s="22" t="n">
        <x:f>I47-K47</x:f>
        <x:v>762.3400000000001</x:v>
      </x:c>
      <x:c r="M47" s="22" t="n">
        <x:f>'Base SOM'!P38</x:f>
        <x:v>10398.3</x:v>
      </x:c>
      <x:c r="N47" s="22" t="n">
        <x:f>ROUND('Base SOM'!Q38*DAY($B$4)/DAY(EOMONTH($B$4,0)),2)</x:f>
        <x:v>289.69</x:v>
      </x:c>
      <x:c r="O47" s="23" t="n">
        <x:f>'Base SOM'!I38</x:f>
        <x:v>120</x:v>
      </x:c>
      <x:c r="P47" s="2" t="str">
        <x:f>'Base SOM'!K38</x:f>
        <x:v>ACTIVE</x:v>
      </x:c>
    </x:row>
    <x:row r="48" ht="46" customHeight="1">
      <x:c r="A48" s="17" t="str">
        <x:f>'Base SOM'!B39</x:f>
        <x:v>MSL-C0006</x:v>
      </x:c>
      <x:c r="B48" s="21" t="str">
        <x:v>SILLA NEGRA BRAZO</x:v>
      </x:c>
      <x:c r="C48" s="21" t="str">
        <x:f>'Base SOM'!C39</x:f>
        <x:v>SILLA NEGRA BRAZO FIJO</x:v>
      </x:c>
      <x:c r="D48" s="18" t="n">
        <x:f>'Base SOM'!D39</x:f>
        <x:v>45657</x:v>
      </x:c>
      <x:c r="E48" s="24" t="n">
        <x:f>'Base SOM'!E39</x:f>
        <x:v>110.62</x:v>
      </x:c>
      <x:c r="F48" s="24" t="n">
        <x:f>'Base SOM'!F39</x:f>
        <x:v>512.73</x:v>
      </x:c>
      <x:c r="G48" s="24" t="n">
        <x:f>'Base SOM'!G39</x:f>
        <x:v>56718.19</x:v>
      </x:c>
      <x:c r="H48" s="24" t="n">
        <x:f>'Base SOM'!H39</x:f>
        <x:v>472.65</x:v>
      </x:c>
      <x:c r="I48" s="27" t="n">
        <x:f>MIN(G48-'Base SOM'!J39,M48+N48)</x:f>
        <x:v>10687.99</x:v>
      </x:c>
      <x:c r="J48" s="27" t="n">
        <x:f>G48-I48</x:f>
        <x:v>46030.200000000004</x:v>
      </x:c>
      <x:c r="K48" s="24" t="n">
        <x:f>'Base SOM'!O39</x:f>
        <x:v>9925.65</x:v>
      </x:c>
      <x:c r="L48" s="24" t="n">
        <x:f>I48-K48</x:f>
        <x:v>762.3400000000001</x:v>
      </x:c>
      <x:c r="M48" s="24" t="n">
        <x:f>'Base SOM'!P39</x:f>
        <x:v>10398.3</x:v>
      </x:c>
      <x:c r="N48" s="24" t="n">
        <x:f>ROUND('Base SOM'!Q39*DAY($B$4)/DAY(EOMONTH($B$4,0)),2)</x:f>
        <x:v>289.69</x:v>
      </x:c>
      <x:c r="O48" s="25" t="n">
        <x:f>'Base SOM'!I39</x:f>
        <x:v>120</x:v>
      </x:c>
      <x:c r="P48" s="17" t="str">
        <x:f>'Base SOM'!K39</x:f>
        <x:v>ACTIVE</x:v>
      </x:c>
    </x:row>
    <x:row r="49" ht="46" customHeight="1">
      <x:c r="A49" s="2" t="str">
        <x:f>'Base SOM'!B40</x:f>
        <x:v>MSL-C0007</x:v>
      </x:c>
      <x:c r="B49" s="11" t="str">
        <x:v>SILLA NEGRA BRAZO</x:v>
      </x:c>
      <x:c r="C49" s="11" t="str">
        <x:f>'Base SOM'!C40</x:f>
        <x:v>SILLA NEGRA BRAZO FIJO</x:v>
      </x:c>
      <x:c r="D49" s="10" t="n">
        <x:f>'Base SOM'!D40</x:f>
        <x:v>45657</x:v>
      </x:c>
      <x:c r="E49" s="22" t="n">
        <x:f>'Base SOM'!E40</x:f>
        <x:v>110.62</x:v>
      </x:c>
      <x:c r="F49" s="22" t="n">
        <x:f>'Base SOM'!F40</x:f>
        <x:v>512.73</x:v>
      </x:c>
      <x:c r="G49" s="22" t="n">
        <x:f>'Base SOM'!G40</x:f>
        <x:v>56718.19</x:v>
      </x:c>
      <x:c r="H49" s="22" t="n">
        <x:f>'Base SOM'!H40</x:f>
        <x:v>472.65</x:v>
      </x:c>
      <x:c r="I49" s="26" t="n">
        <x:f>MIN(G49-'Base SOM'!J40,M49+N49)</x:f>
        <x:v>10687.99</x:v>
      </x:c>
      <x:c r="J49" s="26" t="n">
        <x:f>G49-I49</x:f>
        <x:v>46030.200000000004</x:v>
      </x:c>
      <x:c r="K49" s="22" t="n">
        <x:f>'Base SOM'!O40</x:f>
        <x:v>9925.65</x:v>
      </x:c>
      <x:c r="L49" s="22" t="n">
        <x:f>I49-K49</x:f>
        <x:v>762.3400000000001</x:v>
      </x:c>
      <x:c r="M49" s="22" t="n">
        <x:f>'Base SOM'!P40</x:f>
        <x:v>10398.3</x:v>
      </x:c>
      <x:c r="N49" s="22" t="n">
        <x:f>ROUND('Base SOM'!Q40*DAY($B$4)/DAY(EOMONTH($B$4,0)),2)</x:f>
        <x:v>289.69</x:v>
      </x:c>
      <x:c r="O49" s="23" t="n">
        <x:f>'Base SOM'!I40</x:f>
        <x:v>120</x:v>
      </x:c>
      <x:c r="P49" s="2" t="str">
        <x:f>'Base SOM'!K40</x:f>
        <x:v>ACTIVE</x:v>
      </x:c>
    </x:row>
    <x:row r="50" ht="46" customHeight="1">
      <x:c r="A50" s="17" t="str">
        <x:f>'Base SOM'!B41</x:f>
        <x:v>MSL-C0008</x:v>
      </x:c>
      <x:c r="B50" s="21" t="str">
        <x:v>SILLA NEGRA BRAZO</x:v>
      </x:c>
      <x:c r="C50" s="21" t="str">
        <x:f>'Base SOM'!C41</x:f>
        <x:v>SILLA NEGRA BRAZO FIJO</x:v>
      </x:c>
      <x:c r="D50" s="18" t="n">
        <x:f>'Base SOM'!D41</x:f>
        <x:v>45657</x:v>
      </x:c>
      <x:c r="E50" s="24" t="n">
        <x:f>'Base SOM'!E41</x:f>
        <x:v>110.62</x:v>
      </x:c>
      <x:c r="F50" s="24" t="n">
        <x:f>'Base SOM'!F41</x:f>
        <x:v>512.73</x:v>
      </x:c>
      <x:c r="G50" s="24" t="n">
        <x:f>'Base SOM'!G41</x:f>
        <x:v>56718.19</x:v>
      </x:c>
      <x:c r="H50" s="24" t="n">
        <x:f>'Base SOM'!H41</x:f>
        <x:v>472.65</x:v>
      </x:c>
      <x:c r="I50" s="27" t="n">
        <x:f>MIN(G50-'Base SOM'!J41,M50+N50)</x:f>
        <x:v>10687.99</x:v>
      </x:c>
      <x:c r="J50" s="27" t="n">
        <x:f>G50-I50</x:f>
        <x:v>46030.200000000004</x:v>
      </x:c>
      <x:c r="K50" s="24" t="n">
        <x:f>'Base SOM'!O41</x:f>
        <x:v>9925.65</x:v>
      </x:c>
      <x:c r="L50" s="24" t="n">
        <x:f>I50-K50</x:f>
        <x:v>762.3400000000001</x:v>
      </x:c>
      <x:c r="M50" s="24" t="n">
        <x:f>'Base SOM'!P41</x:f>
        <x:v>10398.3</x:v>
      </x:c>
      <x:c r="N50" s="24" t="n">
        <x:f>ROUND('Base SOM'!Q41*DAY($B$4)/DAY(EOMONTH($B$4,0)),2)</x:f>
        <x:v>289.69</x:v>
      </x:c>
      <x:c r="O50" s="25" t="n">
        <x:f>'Base SOM'!I41</x:f>
        <x:v>120</x:v>
      </x:c>
      <x:c r="P50" s="17" t="str">
        <x:f>'Base SOM'!K41</x:f>
        <x:v>ACTIVE</x:v>
      </x:c>
    </x:row>
    <x:row r="51" ht="46" customHeight="1">
      <x:c r="A51" s="2" t="str">
        <x:f>'Base SOM'!B42</x:f>
        <x:v>MSL-C0009</x:v>
      </x:c>
      <x:c r="B51" s="11" t="str">
        <x:v>[74-KAI-PIZ-6040M-VBT] Pizarra Vidrio</x:v>
      </x:c>
      <x:c r="C51" s="11" t="str">
        <x:f>'Base SOM'!C42</x:f>
        <x:v>[74-KAI-PIZ-6040M-VBT] Pizarra Vidrio BlancoTemperado Magnetica 150x100</x:v>
      </x:c>
      <x:c r="D51" s="10" t="n">
        <x:f>'Base SOM'!D42</x:f>
        <x:v>45657</x:v>
      </x:c>
      <x:c r="E51" s="22" t="n">
        <x:f>'Base SOM'!E42</x:f>
        <x:v>213.2</x:v>
      </x:c>
      <x:c r="F51" s="22" t="n">
        <x:f>'Base SOM'!F42</x:f>
        <x:v>512.73</x:v>
      </x:c>
      <x:c r="G51" s="22" t="n">
        <x:f>'Base SOM'!G42</x:f>
        <x:v>109314.04</x:v>
      </x:c>
      <x:c r="H51" s="22" t="n">
        <x:f>'Base SOM'!H42</x:f>
        <x:v>910.95</x:v>
      </x:c>
      <x:c r="I51" s="26" t="n">
        <x:f>MIN(G51-'Base SOM'!J42,M51+N51)</x:f>
        <x:v>20599.22</x:v>
      </x:c>
      <x:c r="J51" s="26" t="n">
        <x:f>G51-I51</x:f>
        <x:v>88714.81999999999</x:v>
      </x:c>
      <x:c r="K51" s="22" t="n">
        <x:f>'Base SOM'!O42</x:f>
        <x:v>19129.95</x:v>
      </x:c>
      <x:c r="L51" s="22" t="n">
        <x:f>I51-K51</x:f>
        <x:v>1469.2700000000004</x:v>
      </x:c>
      <x:c r="M51" s="22" t="n">
        <x:f>'Base SOM'!P42</x:f>
        <x:v>20040.9</x:v>
      </x:c>
      <x:c r="N51" s="22" t="n">
        <x:f>ROUND('Base SOM'!Q42*DAY($B$4)/DAY(EOMONTH($B$4,0)),2)</x:f>
        <x:v>558.32</x:v>
      </x:c>
      <x:c r="O51" s="23" t="n">
        <x:f>'Base SOM'!I42</x:f>
        <x:v>120</x:v>
      </x:c>
      <x:c r="P51" s="2" t="str">
        <x:f>'Base SOM'!K42</x:f>
        <x:v>ACTIVE</x:v>
      </x:c>
    </x:row>
    <x:row r="52" ht="46" customHeight="1">
      <x:c r="A52" s="17" t="str">
        <x:f>'Base SOM'!B43</x:f>
        <x:v>MSL-C0010</x:v>
      </x:c>
      <x:c r="B52" s="21" t="str">
        <x:v>Aire Daikin</x:v>
      </x:c>
      <x:c r="C52" s="21" t="str">
        <x:f>'Base SOM'!C43</x:f>
        <x:v>Aire Daikin</x:v>
      </x:c>
      <x:c r="D52" s="18" t="n">
        <x:f>'Base SOM'!D43</x:f>
        <x:v>45657</x:v>
      </x:c>
      <x:c r="E52" s="24" t="n">
        <x:f>'Base SOM'!E43</x:f>
        <x:v>973.45</x:v>
      </x:c>
      <x:c r="F52" s="24" t="n">
        <x:f>'Base SOM'!F43</x:f>
        <x:v>512.73</x:v>
      </x:c>
      <x:c r="G52" s="24" t="n">
        <x:f>'Base SOM'!G43</x:f>
        <x:v>499117.02</x:v>
      </x:c>
      <x:c r="H52" s="24" t="n">
        <x:f>'Base SOM'!H43</x:f>
        <x:v>4159.31</x:v>
      </x:c>
      <x:c r="I52" s="27" t="n">
        <x:f>MIN(G52-'Base SOM'!J43,M52+N52)</x:f>
        <x:v>94054.07</x:v>
      </x:c>
      <x:c r="J52" s="27" t="n">
        <x:f>G52-I52</x:f>
        <x:v>405062.95</x:v>
      </x:c>
      <x:c r="K52" s="24" t="n">
        <x:f>'Base SOM'!O43</x:f>
        <x:v>87345.51</x:v>
      </x:c>
      <x:c r="L52" s="24" t="n">
        <x:f>I52-K52</x:f>
        <x:v>6708.560000000012</x:v>
      </x:c>
      <x:c r="M52" s="24" t="n">
        <x:f>'Base SOM'!P43</x:f>
        <x:v>91504.82</x:v>
      </x:c>
      <x:c r="N52" s="24" t="n">
        <x:f>ROUND('Base SOM'!Q43*DAY($B$4)/DAY(EOMONTH($B$4,0)),2)</x:f>
        <x:v>2549.25</x:v>
      </x:c>
      <x:c r="O52" s="25" t="n">
        <x:f>'Base SOM'!I43</x:f>
        <x:v>120</x:v>
      </x:c>
      <x:c r="P52" s="17" t="str">
        <x:f>'Base SOM'!K43</x:f>
        <x:v>ACTIVE</x:v>
      </x:c>
    </x:row>
    <x:row r="53" ht="46" customHeight="1">
      <x:c r="A53" s="2" t="str">
        <x:f>'Base SOM'!B44</x:f>
        <x:v>MSL-C0011</x:v>
      </x:c>
      <x:c r="B53" s="11" t="str">
        <x:v>Speaker sala de</x:v>
      </x:c>
      <x:c r="C53" s="11" t="str">
        <x:f>'Base SOM'!C44</x:f>
        <x:v>Speaker sala de conferencias Togn VEO TV-M3B</x:v>
      </x:c>
      <x:c r="D53" s="10" t="n">
        <x:f>'Base SOM'!D44</x:f>
        <x:v>45657</x:v>
      </x:c>
      <x:c r="E53" s="22" t="n">
        <x:f>'Base SOM'!E44</x:f>
        <x:v>100</x:v>
      </x:c>
      <x:c r="F53" s="22" t="n">
        <x:f>'Base SOM'!F44</x:f>
        <x:v>512.73</x:v>
      </x:c>
      <x:c r="G53" s="22" t="n">
        <x:f>'Base SOM'!G44</x:f>
        <x:v>51273</x:v>
      </x:c>
      <x:c r="H53" s="22" t="n">
        <x:f>'Base SOM'!H44</x:f>
        <x:v>427.28</x:v>
      </x:c>
      <x:c r="I53" s="26" t="n">
        <x:f>MIN(G53-'Base SOM'!J44,M53+N53)</x:f>
        <x:v>9662.039999999999</x:v>
      </x:c>
      <x:c r="J53" s="26" t="n">
        <x:f>G53-I53</x:f>
        <x:v>41610.96</x:v>
      </x:c>
      <x:c r="K53" s="22" t="n">
        <x:f>'Base SOM'!O44</x:f>
        <x:v>8972.88</x:v>
      </x:c>
      <x:c r="L53" s="22" t="n">
        <x:f>I53-K53</x:f>
        <x:v>689.1599999999999</x:v>
      </x:c>
      <x:c r="M53" s="22" t="n">
        <x:f>'Base SOM'!P44</x:f>
        <x:v>9400.16</x:v>
      </x:c>
      <x:c r="N53" s="22" t="n">
        <x:f>ROUND('Base SOM'!Q44*DAY($B$4)/DAY(EOMONTH($B$4,0)),2)</x:f>
        <x:v>261.88</x:v>
      </x:c>
      <x:c r="O53" s="23" t="n">
        <x:f>'Base SOM'!I44</x:f>
        <x:v>120</x:v>
      </x:c>
      <x:c r="P53" s="2" t="str">
        <x:f>'Base SOM'!K44</x:f>
        <x:v>ACTIVE</x:v>
      </x:c>
    </x:row>
    <x:row r="54" ht="46" customHeight="1">
      <x:c r="A54" s="17" t="str">
        <x:f>'Base SOM'!B45</x:f>
        <x:v>MSL-C0012</x:v>
      </x:c>
      <x:c r="B54" s="21" t="str">
        <x:v>Camara TOGNVEO TV-B4K</x:v>
      </x:c>
      <x:c r="C54" s="21" t="str">
        <x:f>'Base SOM'!C45</x:f>
        <x:v>Camara TOGNVEO TV-B4K</x:v>
      </x:c>
      <x:c r="D54" s="18" t="n">
        <x:f>'Base SOM'!D45</x:f>
        <x:v>45657</x:v>
      </x:c>
      <x:c r="E54" s="24" t="n">
        <x:f>'Base SOM'!E45</x:f>
        <x:v>100</x:v>
      </x:c>
      <x:c r="F54" s="24" t="n">
        <x:f>'Base SOM'!F45</x:f>
        <x:v>512.73</x:v>
      </x:c>
      <x:c r="G54" s="24" t="n">
        <x:f>'Base SOM'!G45</x:f>
        <x:v>51273</x:v>
      </x:c>
      <x:c r="H54" s="24" t="n">
        <x:f>'Base SOM'!H45</x:f>
        <x:v>427.28</x:v>
      </x:c>
      <x:c r="I54" s="27" t="n">
        <x:f>MIN(G54-'Base SOM'!J45,M54+N54)</x:f>
        <x:v>9662.039999999999</x:v>
      </x:c>
      <x:c r="J54" s="27" t="n">
        <x:f>G54-I54</x:f>
        <x:v>41610.96</x:v>
      </x:c>
      <x:c r="K54" s="24" t="n">
        <x:f>'Base SOM'!O45</x:f>
        <x:v>8972.88</x:v>
      </x:c>
      <x:c r="L54" s="24" t="n">
        <x:f>I54-K54</x:f>
        <x:v>689.1599999999999</x:v>
      </x:c>
      <x:c r="M54" s="24" t="n">
        <x:f>'Base SOM'!P45</x:f>
        <x:v>9400.16</x:v>
      </x:c>
      <x:c r="N54" s="24" t="n">
        <x:f>ROUND('Base SOM'!Q45*DAY($B$4)/DAY(EOMONTH($B$4,0)),2)</x:f>
        <x:v>261.88</x:v>
      </x:c>
      <x:c r="O54" s="25" t="n">
        <x:f>'Base SOM'!I45</x:f>
        <x:v>120</x:v>
      </x:c>
      <x:c r="P54" s="17" t="str">
        <x:f>'Base SOM'!K45</x:f>
        <x:v>ACTIVE</x:v>
      </x:c>
    </x:row>
    <x:row r="55" ht="46" customHeight="1">
      <x:c r="A55" s="2" t="str">
        <x:f>'Base SOM'!B46</x:f>
        <x:v>MSL-C0013</x:v>
      </x:c>
      <x:c r="B55" s="11" t="str">
        <x:v>Samsung UN70DU7000P</x:v>
      </x:c>
      <x:c r="C55" s="11" t="str">
        <x:f>'Base SOM'!C46</x:f>
        <x:v>Samsung UN70DU7000P</x:v>
      </x:c>
      <x:c r="D55" s="10" t="n">
        <x:f>'Base SOM'!D46</x:f>
        <x:v>45657</x:v>
      </x:c>
      <x:c r="E55" s="22" t="n">
        <x:f>'Base SOM'!E46</x:f>
        <x:v>1200</x:v>
      </x:c>
      <x:c r="F55" s="22" t="n">
        <x:f>'Base SOM'!F46</x:f>
        <x:v>512.73</x:v>
      </x:c>
      <x:c r="G55" s="22" t="n">
        <x:f>'Base SOM'!G46</x:f>
        <x:v>615276</x:v>
      </x:c>
      <x:c r="H55" s="22" t="n">
        <x:f>'Base SOM'!H46</x:f>
        <x:v>5127.3</x:v>
      </x:c>
      <x:c r="I55" s="26" t="n">
        <x:f>MIN(G55-'Base SOM'!J46,M55+N55)</x:f>
        <x:v>115943.14</x:v>
      </x:c>
      <x:c r="J55" s="26" t="n">
        <x:f>G55-I55</x:f>
        <x:v>499332.86</x:v>
      </x:c>
      <x:c r="K55" s="22" t="n">
        <x:f>'Base SOM'!O46</x:f>
        <x:v>107673.3</x:v>
      </x:c>
      <x:c r="L55" s="22" t="n">
        <x:f>I55-K55</x:f>
        <x:v>8269.839999999997</x:v>
      </x:c>
      <x:c r="M55" s="22" t="n">
        <x:f>'Base SOM'!P46</x:f>
        <x:v>112800.6</x:v>
      </x:c>
      <x:c r="N55" s="22" t="n">
        <x:f>ROUND('Base SOM'!Q46*DAY($B$4)/DAY(EOMONTH($B$4,0)),2)</x:f>
        <x:v>3142.54</x:v>
      </x:c>
      <x:c r="O55" s="23" t="n">
        <x:f>'Base SOM'!I46</x:f>
        <x:v>120</x:v>
      </x:c>
      <x:c r="P55" s="2" t="str">
        <x:f>'Base SOM'!K46</x:f>
        <x:v>ACTIVE</x:v>
      </x:c>
    </x:row>
    <x:row r="56" ht="46" customHeight="1">
      <x:c r="A56" s="17" t="str">
        <x:f>'Base SOM'!B47</x:f>
        <x:v>MSL-C0014</x:v>
      </x:c>
      <x:c r="B56" s="21" t="str">
        <x:v>Bufetera Sala de</x:v>
      </x:c>
      <x:c r="C56" s="21" t="str">
        <x:f>'Base SOM'!C47</x:f>
        <x:v>Bufetera Sala de conferencias</x:v>
      </x:c>
      <x:c r="D56" s="18" t="n">
        <x:f>'Base SOM'!D47</x:f>
        <x:v>45657</x:v>
      </x:c>
      <x:c r="E56" s="24" t="n">
        <x:f>'Base SOM'!E47</x:f>
        <x:v>80</x:v>
      </x:c>
      <x:c r="F56" s="24" t="n">
        <x:f>'Base SOM'!F47</x:f>
        <x:v>512.73</x:v>
      </x:c>
      <x:c r="G56" s="24" t="n">
        <x:f>'Base SOM'!G47</x:f>
        <x:v>41018.4</x:v>
      </x:c>
      <x:c r="H56" s="24" t="n">
        <x:f>'Base SOM'!H47</x:f>
        <x:v>341.82</x:v>
      </x:c>
      <x:c r="I56" s="27" t="n">
        <x:f>MIN(G56-'Base SOM'!J47,M56+N56)</x:f>
        <x:v>7729.54</x:v>
      </x:c>
      <x:c r="J56" s="27" t="n">
        <x:f>G56-I56</x:f>
        <x:v>33288.86</x:v>
      </x:c>
      <x:c r="K56" s="24" t="n">
        <x:f>'Base SOM'!O47</x:f>
        <x:v>7178.22</x:v>
      </x:c>
      <x:c r="L56" s="24" t="n">
        <x:f>I56-K56</x:f>
        <x:v>551.3199999999997</x:v>
      </x:c>
      <x:c r="M56" s="24" t="n">
        <x:f>'Base SOM'!P47</x:f>
        <x:v>7520.04</x:v>
      </x:c>
      <x:c r="N56" s="24" t="n">
        <x:f>ROUND('Base SOM'!Q47*DAY($B$4)/DAY(EOMONTH($B$4,0)),2)</x:f>
        <x:v>209.5</x:v>
      </x:c>
      <x:c r="O56" s="25" t="n">
        <x:f>'Base SOM'!I47</x:f>
        <x:v>120</x:v>
      </x:c>
      <x:c r="P56" s="17" t="str">
        <x:f>'Base SOM'!K47</x:f>
        <x:v>ACTIVE</x:v>
      </x:c>
    </x:row>
    <x:row r="57" ht="46" customHeight="1">
      <x:c r="A57" s="2" t="str">
        <x:f>'Base SOM'!B48</x:f>
        <x:v>MSL-C0015</x:v>
      </x:c>
      <x:c r="B57" s="11" t="str">
        <x:v>Lampara 40x20 sala</x:v>
      </x:c>
      <x:c r="C57" s="11" t="str">
        <x:f>'Base SOM'!C48</x:f>
        <x:v>Lampara 40x20 sala de conferencias</x:v>
      </x:c>
      <x:c r="D57" s="10" t="n">
        <x:f>'Base SOM'!D48</x:f>
        <x:v>45657</x:v>
      </x:c>
      <x:c r="E57" s="22" t="n">
        <x:f>'Base SOM'!E48</x:f>
        <x:v>320</x:v>
      </x:c>
      <x:c r="F57" s="22" t="n">
        <x:f>'Base SOM'!F48</x:f>
        <x:v>512.73</x:v>
      </x:c>
      <x:c r="G57" s="22" t="n">
        <x:f>'Base SOM'!G48</x:f>
        <x:v>164073.6</x:v>
      </x:c>
      <x:c r="H57" s="22" t="n">
        <x:f>'Base SOM'!H48</x:f>
        <x:v>1367.28</x:v>
      </x:c>
      <x:c r="I57" s="26" t="n">
        <x:f>MIN(G57-'Base SOM'!J48,M57+N57)</x:f>
        <x:v>30918.17</x:v>
      </x:c>
      <x:c r="J57" s="26" t="n">
        <x:f>G57-I57</x:f>
        <x:v>133155.43</x:v>
      </x:c>
      <x:c r="K57" s="22" t="n">
        <x:f>'Base SOM'!O48</x:f>
        <x:v>28712.88</x:v>
      </x:c>
      <x:c r="L57" s="22" t="n">
        <x:f>I57-K57</x:f>
        <x:v>2205.2899999999972</x:v>
      </x:c>
      <x:c r="M57" s="22" t="n">
        <x:f>'Base SOM'!P48</x:f>
        <x:v>30080.16</x:v>
      </x:c>
      <x:c r="N57" s="22" t="n">
        <x:f>ROUND('Base SOM'!Q48*DAY($B$4)/DAY(EOMONTH($B$4,0)),2)</x:f>
        <x:v>838.01</x:v>
      </x:c>
      <x:c r="O57" s="23" t="n">
        <x:f>'Base SOM'!I48</x:f>
        <x:v>120</x:v>
      </x:c>
      <x:c r="P57" s="2" t="str">
        <x:f>'Base SOM'!K48</x:f>
        <x:v>ACTIVE</x:v>
      </x:c>
    </x:row>
    <x:row r="58" ht="46" customHeight="1">
      <x:c r="A58" s="17" t="str">
        <x:f>'Base SOM'!B49</x:f>
        <x:v>MSL-C0016</x:v>
      </x:c>
      <x:c r="B58" s="21" t="str">
        <x:v>Lampara 40x20 sala</x:v>
      </x:c>
      <x:c r="C58" s="21" t="str">
        <x:f>'Base SOM'!C49</x:f>
        <x:v>Lampara 40x20 sala de conferencias</x:v>
      </x:c>
      <x:c r="D58" s="18" t="n">
        <x:f>'Base SOM'!D49</x:f>
        <x:v>45657</x:v>
      </x:c>
      <x:c r="E58" s="24" t="n">
        <x:f>'Base SOM'!E49</x:f>
        <x:v>320</x:v>
      </x:c>
      <x:c r="F58" s="24" t="n">
        <x:f>'Base SOM'!F49</x:f>
        <x:v>512.73</x:v>
      </x:c>
      <x:c r="G58" s="24" t="n">
        <x:f>'Base SOM'!G49</x:f>
        <x:v>164073.6</x:v>
      </x:c>
      <x:c r="H58" s="24" t="n">
        <x:f>'Base SOM'!H49</x:f>
        <x:v>1367.28</x:v>
      </x:c>
      <x:c r="I58" s="27" t="n">
        <x:f>MIN(G58-'Base SOM'!J49,M58+N58)</x:f>
        <x:v>30918.17</x:v>
      </x:c>
      <x:c r="J58" s="27" t="n">
        <x:f>G58-I58</x:f>
        <x:v>133155.43</x:v>
      </x:c>
      <x:c r="K58" s="24" t="n">
        <x:f>'Base SOM'!O49</x:f>
        <x:v>28712.88</x:v>
      </x:c>
      <x:c r="L58" s="24" t="n">
        <x:f>I58-K58</x:f>
        <x:v>2205.2899999999972</x:v>
      </x:c>
      <x:c r="M58" s="24" t="n">
        <x:f>'Base SOM'!P49</x:f>
        <x:v>30080.16</x:v>
      </x:c>
      <x:c r="N58" s="24" t="n">
        <x:f>ROUND('Base SOM'!Q49*DAY($B$4)/DAY(EOMONTH($B$4,0)),2)</x:f>
        <x:v>838.01</x:v>
      </x:c>
      <x:c r="O58" s="25" t="n">
        <x:f>'Base SOM'!I49</x:f>
        <x:v>120</x:v>
      </x:c>
      <x:c r="P58" s="17" t="str">
        <x:f>'Base SOM'!K49</x:f>
        <x:v>ACTIVE</x:v>
      </x:c>
    </x:row>
    <x:row r="59" ht="46" customHeight="1">
      <x:c r="A59" s="2" t="str">
        <x:f>'Base SOM'!B50</x:f>
        <x:v>MSL-D0001</x:v>
      </x:c>
      <x:c r="B59" s="11" t="str">
        <x:v>GABINETE 2 GAVETAS</x:v>
      </x:c>
      <x:c r="C59" s="11" t="str">
        <x:f>'Base SOM'!C50</x:f>
        <x:v>GABINETE 2 GAVETAS 50X48X75CM COLOR CLARO</x:v>
      </x:c>
      <x:c r="D59" s="10" t="n">
        <x:f>'Base SOM'!D50</x:f>
        <x:v>45657</x:v>
      </x:c>
      <x:c r="E59" s="22" t="n">
        <x:f>'Base SOM'!E50</x:f>
        <x:v>190</x:v>
      </x:c>
      <x:c r="F59" s="22" t="n">
        <x:f>'Base SOM'!F50</x:f>
        <x:v>512.73</x:v>
      </x:c>
      <x:c r="G59" s="22" t="n">
        <x:f>'Base SOM'!G50</x:f>
        <x:v>97418.7</x:v>
      </x:c>
      <x:c r="H59" s="22" t="n">
        <x:f>'Base SOM'!H50</x:f>
        <x:v>811.82</x:v>
      </x:c>
      <x:c r="I59" s="26" t="n">
        <x:f>MIN(G59-'Base SOM'!J50,M59+N59)</x:f>
        <x:v>18357.61</x:v>
      </x:c>
      <x:c r="J59" s="26" t="n">
        <x:f>G59-I59</x:f>
        <x:v>79061.09</x:v>
      </x:c>
      <x:c r="K59" s="22" t="n">
        <x:f>'Base SOM'!O50</x:f>
        <x:v>17048.22</x:v>
      </x:c>
      <x:c r="L59" s="22" t="n">
        <x:f>I59-K59</x:f>
        <x:v>1309.3899999999994</x:v>
      </x:c>
      <x:c r="M59" s="22" t="n">
        <x:f>'Base SOM'!P50</x:f>
        <x:v>17860.04</x:v>
      </x:c>
      <x:c r="N59" s="22" t="n">
        <x:f>ROUND('Base SOM'!Q50*DAY($B$4)/DAY(EOMONTH($B$4,0)),2)</x:f>
        <x:v>497.57</x:v>
      </x:c>
      <x:c r="O59" s="23" t="n">
        <x:f>'Base SOM'!I50</x:f>
        <x:v>120</x:v>
      </x:c>
      <x:c r="P59" s="2" t="str">
        <x:f>'Base SOM'!K50</x:f>
        <x:v>ACTIVE</x:v>
      </x:c>
    </x:row>
    <x:row r="60" ht="46" customHeight="1">
      <x:c r="A60" s="17" t="str">
        <x:f>'Base SOM'!B51</x:f>
        <x:v>MSL-D0002</x:v>
      </x:c>
      <x:c r="B60" s="21" t="str">
        <x:v>Refrigeradora Oster</x:v>
      </x:c>
      <x:c r="C60" s="21" t="str">
        <x:f>'Base SOM'!C51</x:f>
        <x:v>Refrigeradora Oster</x:v>
      </x:c>
      <x:c r="D60" s="18" t="n">
        <x:f>'Base SOM'!D51</x:f>
        <x:v>45657</x:v>
      </x:c>
      <x:c r="E60" s="24" t="n">
        <x:f>'Base SOM'!E51</x:f>
        <x:v>800</x:v>
      </x:c>
      <x:c r="F60" s="24" t="n">
        <x:f>'Base SOM'!F51</x:f>
        <x:v>512.73</x:v>
      </x:c>
      <x:c r="G60" s="24" t="n">
        <x:f>'Base SOM'!G51</x:f>
        <x:v>410184</x:v>
      </x:c>
      <x:c r="H60" s="24" t="n">
        <x:f>'Base SOM'!H51</x:f>
        <x:v>3418.2</x:v>
      </x:c>
      <x:c r="I60" s="27" t="n">
        <x:f>MIN(G60-'Base SOM'!J51,M60+N60)</x:f>
        <x:v>77295.43</x:v>
      </x:c>
      <x:c r="J60" s="27" t="n">
        <x:f>G60-I60</x:f>
        <x:v>332888.57</x:v>
      </x:c>
      <x:c r="K60" s="24" t="n">
        <x:f>'Base SOM'!O51</x:f>
        <x:v>71782.2</x:v>
      </x:c>
      <x:c r="L60" s="24" t="n">
        <x:f>I60-K60</x:f>
        <x:v>5513.229999999996</x:v>
      </x:c>
      <x:c r="M60" s="24" t="n">
        <x:f>'Base SOM'!P51</x:f>
        <x:v>75200.4</x:v>
      </x:c>
      <x:c r="N60" s="24" t="n">
        <x:f>ROUND('Base SOM'!Q51*DAY($B$4)/DAY(EOMONTH($B$4,0)),2)</x:f>
        <x:v>2095.03</x:v>
      </x:c>
      <x:c r="O60" s="25" t="n">
        <x:f>'Base SOM'!I51</x:f>
        <x:v>120</x:v>
      </x:c>
      <x:c r="P60" s="17" t="str">
        <x:f>'Base SOM'!K51</x:f>
        <x:v>ACTIVE</x:v>
      </x:c>
    </x:row>
    <x:row r="61" ht="46" customHeight="1">
      <x:c r="A61" s="2" t="str">
        <x:f>'Base SOM'!B52</x:f>
        <x:v>MSL-E0001</x:v>
      </x:c>
      <x:c r="B61" s="11" t="str">
        <x:v>SILLA LATERAL NORIEGA</x:v>
      </x:c>
      <x:c r="C61" s="11" t="str">
        <x:f>'Base SOM'!C52</x:f>
        <x:v>SILLA LATERAL NORIEGA PP LIGHT GREY BASE MADERA</x:v>
      </x:c>
      <x:c r="D61" s="10" t="n">
        <x:f>'Base SOM'!D52</x:f>
        <x:v>45657</x:v>
      </x:c>
      <x:c r="E61" s="22" t="n">
        <x:f>'Base SOM'!E52</x:f>
        <x:v>120</x:v>
      </x:c>
      <x:c r="F61" s="22" t="n">
        <x:f>'Base SOM'!F52</x:f>
        <x:v>512.73</x:v>
      </x:c>
      <x:c r="G61" s="22" t="n">
        <x:f>'Base SOM'!G52</x:f>
        <x:v>61527.6</x:v>
      </x:c>
      <x:c r="H61" s="22" t="n">
        <x:f>'Base SOM'!H52</x:f>
        <x:v>512.73</x:v>
      </x:c>
      <x:c r="I61" s="26" t="n">
        <x:f>MIN(G61-'Base SOM'!J52,M61+N61)</x:f>
        <x:v>11594.31</x:v>
      </x:c>
      <x:c r="J61" s="26" t="n">
        <x:f>G61-I61</x:f>
        <x:v>49933.29</x:v>
      </x:c>
      <x:c r="K61" s="22" t="n">
        <x:f>'Base SOM'!O52</x:f>
        <x:v>10767.33</x:v>
      </x:c>
      <x:c r="L61" s="22" t="n">
        <x:f>I61-K61</x:f>
        <x:v>826.9799999999996</x:v>
      </x:c>
      <x:c r="M61" s="22" t="n">
        <x:f>'Base SOM'!P52</x:f>
        <x:v>11280.06</x:v>
      </x:c>
      <x:c r="N61" s="22" t="n">
        <x:f>ROUND('Base SOM'!Q52*DAY($B$4)/DAY(EOMONTH($B$4,0)),2)</x:f>
        <x:v>314.25</x:v>
      </x:c>
      <x:c r="O61" s="23" t="n">
        <x:f>'Base SOM'!I52</x:f>
        <x:v>120</x:v>
      </x:c>
      <x:c r="P61" s="2" t="str">
        <x:f>'Base SOM'!K52</x:f>
        <x:v>ACTIVE</x:v>
      </x:c>
    </x:row>
    <x:row r="62" ht="46" customHeight="1">
      <x:c r="A62" s="17" t="str">
        <x:f>'Base SOM'!B53</x:f>
        <x:v>MSL-E0002</x:v>
      </x:c>
      <x:c r="B62" s="21" t="str">
        <x:v>SILLA LATERAL NORIEGA</x:v>
      </x:c>
      <x:c r="C62" s="21" t="str">
        <x:f>'Base SOM'!C53</x:f>
        <x:v>SILLA LATERAL NORIEGA PP LIGHT GREY BASE MADERA</x:v>
      </x:c>
      <x:c r="D62" s="18" t="n">
        <x:f>'Base SOM'!D53</x:f>
        <x:v>45657</x:v>
      </x:c>
      <x:c r="E62" s="24" t="n">
        <x:f>'Base SOM'!E53</x:f>
        <x:v>120</x:v>
      </x:c>
      <x:c r="F62" s="24" t="n">
        <x:f>'Base SOM'!F53</x:f>
        <x:v>512.73</x:v>
      </x:c>
      <x:c r="G62" s="24" t="n">
        <x:f>'Base SOM'!G53</x:f>
        <x:v>61527.6</x:v>
      </x:c>
      <x:c r="H62" s="24" t="n">
        <x:f>'Base SOM'!H53</x:f>
        <x:v>512.73</x:v>
      </x:c>
      <x:c r="I62" s="27" t="n">
        <x:f>MIN(G62-'Base SOM'!J53,M62+N62)</x:f>
        <x:v>11594.31</x:v>
      </x:c>
      <x:c r="J62" s="27" t="n">
        <x:f>G62-I62</x:f>
        <x:v>49933.29</x:v>
      </x:c>
      <x:c r="K62" s="24" t="n">
        <x:f>'Base SOM'!O53</x:f>
        <x:v>10767.33</x:v>
      </x:c>
      <x:c r="L62" s="24" t="n">
        <x:f>I62-K62</x:f>
        <x:v>826.9799999999996</x:v>
      </x:c>
      <x:c r="M62" s="24" t="n">
        <x:f>'Base SOM'!P53</x:f>
        <x:v>11280.06</x:v>
      </x:c>
      <x:c r="N62" s="24" t="n">
        <x:f>ROUND('Base SOM'!Q53*DAY($B$4)/DAY(EOMONTH($B$4,0)),2)</x:f>
        <x:v>314.25</x:v>
      </x:c>
      <x:c r="O62" s="25" t="n">
        <x:f>'Base SOM'!I53</x:f>
        <x:v>120</x:v>
      </x:c>
      <x:c r="P62" s="17" t="str">
        <x:f>'Base SOM'!K53</x:f>
        <x:v>ACTIVE</x:v>
      </x:c>
    </x:row>
    <x:row r="63" ht="46" customHeight="1">
      <x:c r="A63" s="2" t="str">
        <x:f>'Base SOM'!B54</x:f>
        <x:v>MSL-E0003</x:v>
      </x:c>
      <x:c r="B63" s="11" t="str">
        <x:v>SILLA LATERAL NORIEGA</x:v>
      </x:c>
      <x:c r="C63" s="11" t="str">
        <x:f>'Base SOM'!C54</x:f>
        <x:v>SILLA LATERAL NORIEGA PP LIGHT WHITE BASE MADERA</x:v>
      </x:c>
      <x:c r="D63" s="10" t="n">
        <x:f>'Base SOM'!D54</x:f>
        <x:v>45657</x:v>
      </x:c>
      <x:c r="E63" s="22" t="n">
        <x:f>'Base SOM'!E54</x:f>
        <x:v>120</x:v>
      </x:c>
      <x:c r="F63" s="22" t="n">
        <x:f>'Base SOM'!F54</x:f>
        <x:v>512.73</x:v>
      </x:c>
      <x:c r="G63" s="22" t="n">
        <x:f>'Base SOM'!G54</x:f>
        <x:v>61527.6</x:v>
      </x:c>
      <x:c r="H63" s="22" t="n">
        <x:f>'Base SOM'!H54</x:f>
        <x:v>512.73</x:v>
      </x:c>
      <x:c r="I63" s="26" t="n">
        <x:f>MIN(G63-'Base SOM'!J54,M63+N63)</x:f>
        <x:v>11594.31</x:v>
      </x:c>
      <x:c r="J63" s="26" t="n">
        <x:f>G63-I63</x:f>
        <x:v>49933.29</x:v>
      </x:c>
      <x:c r="K63" s="22" t="n">
        <x:f>'Base SOM'!O54</x:f>
        <x:v>10767.33</x:v>
      </x:c>
      <x:c r="L63" s="22" t="n">
        <x:f>I63-K63</x:f>
        <x:v>826.9799999999996</x:v>
      </x:c>
      <x:c r="M63" s="22" t="n">
        <x:f>'Base SOM'!P54</x:f>
        <x:v>11280.06</x:v>
      </x:c>
      <x:c r="N63" s="22" t="n">
        <x:f>ROUND('Base SOM'!Q54*DAY($B$4)/DAY(EOMONTH($B$4,0)),2)</x:f>
        <x:v>314.25</x:v>
      </x:c>
      <x:c r="O63" s="23" t="n">
        <x:f>'Base SOM'!I54</x:f>
        <x:v>120</x:v>
      </x:c>
      <x:c r="P63" s="2" t="str">
        <x:f>'Base SOM'!K54</x:f>
        <x:v>ACTIVE</x:v>
      </x:c>
    </x:row>
    <x:row r="64" ht="46" customHeight="1">
      <x:c r="A64" s="17" t="str">
        <x:f>'Base SOM'!B55</x:f>
        <x:v>MSL-E0004</x:v>
      </x:c>
      <x:c r="B64" s="21" t="str">
        <x:v>SILLA LATERAL NORIEGA</x:v>
      </x:c>
      <x:c r="C64" s="21" t="str">
        <x:f>'Base SOM'!C55</x:f>
        <x:v>SILLA LATERAL NORIEGA PP LIGHT WHITE BASE MADERA</x:v>
      </x:c>
      <x:c r="D64" s="18" t="n">
        <x:f>'Base SOM'!D55</x:f>
        <x:v>45657</x:v>
      </x:c>
      <x:c r="E64" s="24" t="n">
        <x:f>'Base SOM'!E55</x:f>
        <x:v>120</x:v>
      </x:c>
      <x:c r="F64" s="24" t="n">
        <x:f>'Base SOM'!F55</x:f>
        <x:v>512.73</x:v>
      </x:c>
      <x:c r="G64" s="24" t="n">
        <x:f>'Base SOM'!G55</x:f>
        <x:v>61527.6</x:v>
      </x:c>
      <x:c r="H64" s="24" t="n">
        <x:f>'Base SOM'!H55</x:f>
        <x:v>512.73</x:v>
      </x:c>
      <x:c r="I64" s="27" t="n">
        <x:f>MIN(G64-'Base SOM'!J55,M64+N64)</x:f>
        <x:v>11594.31</x:v>
      </x:c>
      <x:c r="J64" s="27" t="n">
        <x:f>G64-I64</x:f>
        <x:v>49933.29</x:v>
      </x:c>
      <x:c r="K64" s="24" t="n">
        <x:f>'Base SOM'!O55</x:f>
        <x:v>10767.33</x:v>
      </x:c>
      <x:c r="L64" s="24" t="n">
        <x:f>I64-K64</x:f>
        <x:v>826.9799999999996</x:v>
      </x:c>
      <x:c r="M64" s="24" t="n">
        <x:f>'Base SOM'!P55</x:f>
        <x:v>11280.06</x:v>
      </x:c>
      <x:c r="N64" s="24" t="n">
        <x:f>ROUND('Base SOM'!Q55*DAY($B$4)/DAY(EOMONTH($B$4,0)),2)</x:f>
        <x:v>314.25</x:v>
      </x:c>
      <x:c r="O64" s="25" t="n">
        <x:f>'Base SOM'!I55</x:f>
        <x:v>120</x:v>
      </x:c>
      <x:c r="P64" s="17" t="str">
        <x:f>'Base SOM'!K55</x:f>
        <x:v>ACTIVE</x:v>
      </x:c>
    </x:row>
    <x:row r="65" ht="46" customHeight="1">
      <x:c r="A65" s="2" t="str">
        <x:f>'Base SOM'!B56</x:f>
        <x:v>MSL-E0005</x:v>
      </x:c>
      <x:c r="B65" s="11" t="str">
        <x:v>Coffee Maker BLACK</x:v>
      </x:c>
      <x:c r="C65" s="11" t="str">
        <x:f>'Base SOM'!C56</x:f>
        <x:v>Coffee Maker BLACK AND DEKER CM0916B</x:v>
      </x:c>
      <x:c r="D65" s="10" t="n">
        <x:f>'Base SOM'!D56</x:f>
        <x:v>45657</x:v>
      </x:c>
      <x:c r="E65" s="22" t="n">
        <x:f>'Base SOM'!E56</x:f>
        <x:v>41.75</x:v>
      </x:c>
      <x:c r="F65" s="22" t="n">
        <x:f>'Base SOM'!F56</x:f>
        <x:v>512.73</x:v>
      </x:c>
      <x:c r="G65" s="22" t="n">
        <x:f>'Base SOM'!G56</x:f>
        <x:v>21406.48</x:v>
      </x:c>
      <x:c r="H65" s="22" t="n">
        <x:f>'Base SOM'!H56</x:f>
        <x:v>178.39</x:v>
      </x:c>
      <x:c r="I65" s="26" t="n">
        <x:f>MIN(G65-'Base SOM'!J56,M65+N65)</x:f>
        <x:v>4033.92</x:v>
      </x:c>
      <x:c r="J65" s="26" t="n">
        <x:f>G65-I65</x:f>
        <x:v>17372.559999999998</x:v>
      </x:c>
      <x:c r="K65" s="22" t="n">
        <x:f>'Base SOM'!O56</x:f>
        <x:v>3746.19</x:v>
      </x:c>
      <x:c r="L65" s="22" t="n">
        <x:f>I65-K65</x:f>
        <x:v>287.73</x:v>
      </x:c>
      <x:c r="M65" s="22" t="n">
        <x:f>'Base SOM'!P56</x:f>
        <x:v>3924.58</x:v>
      </x:c>
      <x:c r="N65" s="22" t="n">
        <x:f>ROUND('Base SOM'!Q56*DAY($B$4)/DAY(EOMONTH($B$4,0)),2)</x:f>
        <x:v>109.34</x:v>
      </x:c>
      <x:c r="O65" s="23" t="n">
        <x:f>'Base SOM'!I56</x:f>
        <x:v>120</x:v>
      </x:c>
      <x:c r="P65" s="2" t="str">
        <x:f>'Base SOM'!K56</x:f>
        <x:v>ACTIVE</x:v>
      </x:c>
    </x:row>
    <x:row r="66" ht="46" customHeight="1">
      <x:c r="A66" s="17" t="str">
        <x:f>'Base SOM'!B57</x:f>
        <x:v>MSL-E0006</x:v>
      </x:c>
      <x:c r="B66" s="21" t="str">
        <x:v>Calentador de agua</x:v>
      </x:c>
      <x:c r="C66" s="21" t="str">
        <x:f>'Base SOM'!C57</x:f>
        <x:v>Calentador de agua Oster PVSTKT3101-013</x:v>
      </x:c>
      <x:c r="D66" s="18" t="n">
        <x:f>'Base SOM'!D57</x:f>
        <x:v>45657</x:v>
      </x:c>
      <x:c r="E66" s="24" t="n">
        <x:f>'Base SOM'!E57</x:f>
        <x:v>66.48</x:v>
      </x:c>
      <x:c r="F66" s="24" t="n">
        <x:f>'Base SOM'!F57</x:f>
        <x:v>512.73</x:v>
      </x:c>
      <x:c r="G66" s="24" t="n">
        <x:f>'Base SOM'!G57</x:f>
        <x:v>34086.29</x:v>
      </x:c>
      <x:c r="H66" s="24" t="n">
        <x:f>'Base SOM'!H57</x:f>
        <x:v>284.05</x:v>
      </x:c>
      <x:c r="I66" s="27" t="n">
        <x:f>MIN(G66-'Base SOM'!J57,M66+N66)</x:f>
        <x:v>6423.200000000001</x:v>
      </x:c>
      <x:c r="J66" s="27" t="n">
        <x:f>G66-I66</x:f>
        <x:v>27663.09</x:v>
      </x:c>
      <x:c r="K66" s="24" t="n">
        <x:f>'Base SOM'!O57</x:f>
        <x:v>5965.05</x:v>
      </x:c>
      <x:c r="L66" s="24" t="n">
        <x:f>I66-K66</x:f>
        <x:v>458.15000000000055</x:v>
      </x:c>
      <x:c r="M66" s="24" t="n">
        <x:f>'Base SOM'!P57</x:f>
        <x:v>6249.1</x:v>
      </x:c>
      <x:c r="N66" s="24" t="n">
        <x:f>ROUND('Base SOM'!Q57*DAY($B$4)/DAY(EOMONTH($B$4,0)),2)</x:f>
        <x:v>174.1</x:v>
      </x:c>
      <x:c r="O66" s="25" t="n">
        <x:f>'Base SOM'!I57</x:f>
        <x:v>120</x:v>
      </x:c>
      <x:c r="P66" s="17" t="str">
        <x:f>'Base SOM'!K57</x:f>
        <x:v>ACTIVE</x:v>
      </x:c>
    </x:row>
    <x:row r="67" ht="46" customHeight="1">
      <x:c r="A67" s="2" t="str">
        <x:f>'Base SOM'!B58</x:f>
        <x:v>MSL-E0007</x:v>
      </x:c>
      <x:c r="B67" s="11" t="str">
        <x:v>Muble de cafetin</x:v>
      </x:c>
      <x:c r="C67" s="11" t="str">
        <x:f>'Base SOM'!C58</x:f>
        <x:v>Muble de cafetin</x:v>
      </x:c>
      <x:c r="D67" s="10" t="n">
        <x:f>'Base SOM'!D58</x:f>
        <x:v>45657</x:v>
      </x:c>
      <x:c r="E67" s="22" t="n">
        <x:f>'Base SOM'!E58</x:f>
        <x:v>100</x:v>
      </x:c>
      <x:c r="F67" s="22" t="n">
        <x:f>'Base SOM'!F58</x:f>
        <x:v>512.73</x:v>
      </x:c>
      <x:c r="G67" s="22" t="n">
        <x:f>'Base SOM'!G58</x:f>
        <x:v>51273</x:v>
      </x:c>
      <x:c r="H67" s="22" t="n">
        <x:f>'Base SOM'!H58</x:f>
        <x:v>427.28</x:v>
      </x:c>
      <x:c r="I67" s="26" t="n">
        <x:f>MIN(G67-'Base SOM'!J58,M67+N67)</x:f>
        <x:v>9662.039999999999</x:v>
      </x:c>
      <x:c r="J67" s="26" t="n">
        <x:f>G67-I67</x:f>
        <x:v>41610.96</x:v>
      </x:c>
      <x:c r="K67" s="22" t="n">
        <x:f>'Base SOM'!O58</x:f>
        <x:v>8972.88</x:v>
      </x:c>
      <x:c r="L67" s="22" t="n">
        <x:f>I67-K67</x:f>
        <x:v>689.1599999999999</x:v>
      </x:c>
      <x:c r="M67" s="22" t="n">
        <x:f>'Base SOM'!P58</x:f>
        <x:v>9400.16</x:v>
      </x:c>
      <x:c r="N67" s="22" t="n">
        <x:f>ROUND('Base SOM'!Q58*DAY($B$4)/DAY(EOMONTH($B$4,0)),2)</x:f>
        <x:v>261.88</x:v>
      </x:c>
      <x:c r="O67" s="23" t="n">
        <x:f>'Base SOM'!I58</x:f>
        <x:v>120</x:v>
      </x:c>
      <x:c r="P67" s="2" t="str">
        <x:f>'Base SOM'!K58</x:f>
        <x:v>ACTIVE</x:v>
      </x:c>
    </x:row>
    <x:row r="68" ht="46" customHeight="1">
      <x:c r="A68" s="17" t="str">
        <x:f>'Base SOM'!B59</x:f>
        <x:v>MSL-E0008</x:v>
      </x:c>
      <x:c r="B68" s="21" t="str">
        <x:v>Lampara 20x20 cafetin</x:v>
      </x:c>
      <x:c r="C68" s="21" t="str">
        <x:f>'Base SOM'!C59</x:f>
        <x:v>Lampara 20x20 cafetin</x:v>
      </x:c>
      <x:c r="D68" s="18" t="n">
        <x:f>'Base SOM'!D59</x:f>
        <x:v>45657</x:v>
      </x:c>
      <x:c r="E68" s="24" t="n">
        <x:f>'Base SOM'!E59</x:f>
        <x:v>240</x:v>
      </x:c>
      <x:c r="F68" s="24" t="n">
        <x:f>'Base SOM'!F59</x:f>
        <x:v>512.73</x:v>
      </x:c>
      <x:c r="G68" s="24" t="n">
        <x:f>'Base SOM'!G59</x:f>
        <x:v>123055.2</x:v>
      </x:c>
      <x:c r="H68" s="24" t="n">
        <x:f>'Base SOM'!H59</x:f>
        <x:v>1025.46</x:v>
      </x:c>
      <x:c r="I68" s="27" t="n">
        <x:f>MIN(G68-'Base SOM'!J59,M68+N68)</x:f>
        <x:v>23188.629999999997</x:v>
      </x:c>
      <x:c r="J68" s="27" t="n">
        <x:f>G68-I68</x:f>
        <x:v>99866.57</x:v>
      </x:c>
      <x:c r="K68" s="24" t="n">
        <x:f>'Base SOM'!O59</x:f>
        <x:v>21534.66</x:v>
      </x:c>
      <x:c r="L68" s="24" t="n">
        <x:f>I68-K68</x:f>
        <x:v>1653.9699999999975</x:v>
      </x:c>
      <x:c r="M68" s="24" t="n">
        <x:f>'Base SOM'!P59</x:f>
        <x:v>22560.12</x:v>
      </x:c>
      <x:c r="N68" s="24" t="n">
        <x:f>ROUND('Base SOM'!Q59*DAY($B$4)/DAY(EOMONTH($B$4,0)),2)</x:f>
        <x:v>628.51</x:v>
      </x:c>
      <x:c r="O68" s="25" t="n">
        <x:f>'Base SOM'!I59</x:f>
        <x:v>120</x:v>
      </x:c>
      <x:c r="P68" s="17" t="str">
        <x:f>'Base SOM'!K59</x:f>
        <x:v>ACTIVE</x:v>
      </x:c>
    </x:row>
    <x:row r="69" ht="46" customHeight="1">
      <x:c r="A69" s="2" t="str">
        <x:f>'Base SOM'!B60</x:f>
        <x:v>MSL-E0009</x:v>
      </x:c>
      <x:c r="B69" s="11" t="str">
        <x:v>Lampara 20x20 cafetin</x:v>
      </x:c>
      <x:c r="C69" s="11" t="str">
        <x:f>'Base SOM'!C60</x:f>
        <x:v>Lampara 20x20 cafetin</x:v>
      </x:c>
      <x:c r="D69" s="10" t="n">
        <x:f>'Base SOM'!D60</x:f>
        <x:v>45657</x:v>
      </x:c>
      <x:c r="E69" s="22" t="n">
        <x:f>'Base SOM'!E60</x:f>
        <x:v>240</x:v>
      </x:c>
      <x:c r="F69" s="22" t="n">
        <x:f>'Base SOM'!F60</x:f>
        <x:v>512.73</x:v>
      </x:c>
      <x:c r="G69" s="22" t="n">
        <x:f>'Base SOM'!G60</x:f>
        <x:v>123055.2</x:v>
      </x:c>
      <x:c r="H69" s="22" t="n">
        <x:f>'Base SOM'!H60</x:f>
        <x:v>1025.46</x:v>
      </x:c>
      <x:c r="I69" s="26" t="n">
        <x:f>MIN(G69-'Base SOM'!J60,M69+N69)</x:f>
        <x:v>23188.629999999997</x:v>
      </x:c>
      <x:c r="J69" s="26" t="n">
        <x:f>G69-I69</x:f>
        <x:v>99866.57</x:v>
      </x:c>
      <x:c r="K69" s="22" t="n">
        <x:f>'Base SOM'!O60</x:f>
        <x:v>21534.66</x:v>
      </x:c>
      <x:c r="L69" s="22" t="n">
        <x:f>I69-K69</x:f>
        <x:v>1653.9699999999975</x:v>
      </x:c>
      <x:c r="M69" s="22" t="n">
        <x:f>'Base SOM'!P60</x:f>
        <x:v>22560.12</x:v>
      </x:c>
      <x:c r="N69" s="22" t="n">
        <x:f>ROUND('Base SOM'!Q60*DAY($B$4)/DAY(EOMONTH($B$4,0)),2)</x:f>
        <x:v>628.51</x:v>
      </x:c>
      <x:c r="O69" s="23" t="n">
        <x:f>'Base SOM'!I60</x:f>
        <x:v>120</x:v>
      </x:c>
      <x:c r="P69" s="2" t="str">
        <x:f>'Base SOM'!K60</x:f>
        <x:v>ACTIVE</x:v>
      </x:c>
    </x:row>
    <x:row r="70" ht="46" customHeight="1">
      <x:c r="A70" s="17" t="str">
        <x:f>'Base SOM'!B61</x:f>
        <x:v>MSL-E0010</x:v>
      </x:c>
      <x:c r="B70" s="21" t="str">
        <x:v>Lampara 40x40 cafetin</x:v>
      </x:c>
      <x:c r="C70" s="21" t="str">
        <x:f>'Base SOM'!C61</x:f>
        <x:v>Lampara 40x40 cafetin</x:v>
      </x:c>
      <x:c r="D70" s="18" t="n">
        <x:f>'Base SOM'!D61</x:f>
        <x:v>45657</x:v>
      </x:c>
      <x:c r="E70" s="24" t="n">
        <x:f>'Base SOM'!E61</x:f>
        <x:v>240</x:v>
      </x:c>
      <x:c r="F70" s="24" t="n">
        <x:f>'Base SOM'!F61</x:f>
        <x:v>512.73</x:v>
      </x:c>
      <x:c r="G70" s="24" t="n">
        <x:f>'Base SOM'!G61</x:f>
        <x:v>123055.2</x:v>
      </x:c>
      <x:c r="H70" s="24" t="n">
        <x:f>'Base SOM'!H61</x:f>
        <x:v>1025.46</x:v>
      </x:c>
      <x:c r="I70" s="27" t="n">
        <x:f>MIN(G70-'Base SOM'!J61,M70+N70)</x:f>
        <x:v>23188.629999999997</x:v>
      </x:c>
      <x:c r="J70" s="27" t="n">
        <x:f>G70-I70</x:f>
        <x:v>99866.57</x:v>
      </x:c>
      <x:c r="K70" s="24" t="n">
        <x:f>'Base SOM'!O61</x:f>
        <x:v>21534.66</x:v>
      </x:c>
      <x:c r="L70" s="24" t="n">
        <x:f>I70-K70</x:f>
        <x:v>1653.9699999999975</x:v>
      </x:c>
      <x:c r="M70" s="24" t="n">
        <x:f>'Base SOM'!P61</x:f>
        <x:v>22560.12</x:v>
      </x:c>
      <x:c r="N70" s="24" t="n">
        <x:f>ROUND('Base SOM'!Q61*DAY($B$4)/DAY(EOMONTH($B$4,0)),2)</x:f>
        <x:v>628.51</x:v>
      </x:c>
      <x:c r="O70" s="25" t="n">
        <x:f>'Base SOM'!I61</x:f>
        <x:v>120</x:v>
      </x:c>
      <x:c r="P70" s="17" t="str">
        <x:f>'Base SOM'!K61</x:f>
        <x:v>ACTIVE</x:v>
      </x:c>
    </x:row>
    <x:row r="71" ht="46" customHeight="1">
      <x:c r="A71" s="2" t="str">
        <x:f>'Base SOM'!B62</x:f>
        <x:v>MSL-F0001</x:v>
      </x:c>
      <x:c r="B71" s="11" t="str">
        <x:v>SILLA LATERAL NORIEGA</x:v>
      </x:c>
      <x:c r="C71" s="11" t="str">
        <x:f>'Base SOM'!C62</x:f>
        <x:v>SILLA LATERAL NORIEGA PP LIGHT GREY BASE MADERA</x:v>
      </x:c>
      <x:c r="D71" s="10" t="n">
        <x:f>'Base SOM'!D62</x:f>
        <x:v>45657</x:v>
      </x:c>
      <x:c r="E71" s="22" t="n">
        <x:f>'Base SOM'!E62</x:f>
        <x:v>120</x:v>
      </x:c>
      <x:c r="F71" s="22" t="n">
        <x:f>'Base SOM'!F62</x:f>
        <x:v>512.73</x:v>
      </x:c>
      <x:c r="G71" s="22" t="n">
        <x:f>'Base SOM'!G62</x:f>
        <x:v>61527.6</x:v>
      </x:c>
      <x:c r="H71" s="22" t="n">
        <x:f>'Base SOM'!H62</x:f>
        <x:v>512.73</x:v>
      </x:c>
      <x:c r="I71" s="26" t="n">
        <x:f>MIN(G71-'Base SOM'!J62,M71+N71)</x:f>
        <x:v>11594.31</x:v>
      </x:c>
      <x:c r="J71" s="26" t="n">
        <x:f>G71-I71</x:f>
        <x:v>49933.29</x:v>
      </x:c>
      <x:c r="K71" s="22" t="n">
        <x:f>'Base SOM'!O62</x:f>
        <x:v>10767.33</x:v>
      </x:c>
      <x:c r="L71" s="22" t="n">
        <x:f>I71-K71</x:f>
        <x:v>826.9799999999996</x:v>
      </x:c>
      <x:c r="M71" s="22" t="n">
        <x:f>'Base SOM'!P62</x:f>
        <x:v>11280.06</x:v>
      </x:c>
      <x:c r="N71" s="22" t="n">
        <x:f>ROUND('Base SOM'!Q62*DAY($B$4)/DAY(EOMONTH($B$4,0)),2)</x:f>
        <x:v>314.25</x:v>
      </x:c>
      <x:c r="O71" s="23" t="n">
        <x:f>'Base SOM'!I62</x:f>
        <x:v>120</x:v>
      </x:c>
      <x:c r="P71" s="2" t="str">
        <x:f>'Base SOM'!K62</x:f>
        <x:v>ACTIVE</x:v>
      </x:c>
    </x:row>
    <x:row r="72" ht="46" customHeight="1">
      <x:c r="A72" s="17" t="str">
        <x:f>'Base SOM'!B63</x:f>
        <x:v>MSL-F0002</x:v>
      </x:c>
      <x:c r="B72" s="21" t="str">
        <x:v>SILLA LATERAL NORIEGA</x:v>
      </x:c>
      <x:c r="C72" s="21" t="str">
        <x:f>'Base SOM'!C63</x:f>
        <x:v>SILLA LATERAL NORIEGA PP LIGHT GREY BASE MADERA</x:v>
      </x:c>
      <x:c r="D72" s="18" t="n">
        <x:f>'Base SOM'!D63</x:f>
        <x:v>45657</x:v>
      </x:c>
      <x:c r="E72" s="24" t="n">
        <x:f>'Base SOM'!E63</x:f>
        <x:v>120</x:v>
      </x:c>
      <x:c r="F72" s="24" t="n">
        <x:f>'Base SOM'!F63</x:f>
        <x:v>512.73</x:v>
      </x:c>
      <x:c r="G72" s="24" t="n">
        <x:f>'Base SOM'!G63</x:f>
        <x:v>61527.6</x:v>
      </x:c>
      <x:c r="H72" s="24" t="n">
        <x:f>'Base SOM'!H63</x:f>
        <x:v>512.73</x:v>
      </x:c>
      <x:c r="I72" s="27" t="n">
        <x:f>MIN(G72-'Base SOM'!J63,M72+N72)</x:f>
        <x:v>11594.31</x:v>
      </x:c>
      <x:c r="J72" s="27" t="n">
        <x:f>G72-I72</x:f>
        <x:v>49933.29</x:v>
      </x:c>
      <x:c r="K72" s="24" t="n">
        <x:f>'Base SOM'!O63</x:f>
        <x:v>10767.33</x:v>
      </x:c>
      <x:c r="L72" s="24" t="n">
        <x:f>I72-K72</x:f>
        <x:v>826.9799999999996</x:v>
      </x:c>
      <x:c r="M72" s="24" t="n">
        <x:f>'Base SOM'!P63</x:f>
        <x:v>11280.06</x:v>
      </x:c>
      <x:c r="N72" s="24" t="n">
        <x:f>ROUND('Base SOM'!Q63*DAY($B$4)/DAY(EOMONTH($B$4,0)),2)</x:f>
        <x:v>314.25</x:v>
      </x:c>
      <x:c r="O72" s="25" t="n">
        <x:f>'Base SOM'!I63</x:f>
        <x:v>120</x:v>
      </x:c>
      <x:c r="P72" s="17" t="str">
        <x:f>'Base SOM'!K63</x:f>
        <x:v>ACTIVE</x:v>
      </x:c>
    </x:row>
    <x:row r="73" ht="46" customHeight="1">
      <x:c r="A73" s="2" t="str">
        <x:f>'Base SOM'!B64</x:f>
        <x:v>MSL-F0003</x:v>
      </x:c>
      <x:c r="B73" s="11" t="str">
        <x:v>SILLA LATERAL NORIEGA</x:v>
      </x:c>
      <x:c r="C73" s="11" t="str">
        <x:f>'Base SOM'!C64</x:f>
        <x:v>SILLA LATERAL NORIEGA PP LIGHT GREY BASE MADERA</x:v>
      </x:c>
      <x:c r="D73" s="10" t="n">
        <x:f>'Base SOM'!D64</x:f>
        <x:v>45657</x:v>
      </x:c>
      <x:c r="E73" s="22" t="n">
        <x:f>'Base SOM'!E64</x:f>
        <x:v>120</x:v>
      </x:c>
      <x:c r="F73" s="22" t="n">
        <x:f>'Base SOM'!F64</x:f>
        <x:v>512.73</x:v>
      </x:c>
      <x:c r="G73" s="22" t="n">
        <x:f>'Base SOM'!G64</x:f>
        <x:v>61527.6</x:v>
      </x:c>
      <x:c r="H73" s="22" t="n">
        <x:f>'Base SOM'!H64</x:f>
        <x:v>512.73</x:v>
      </x:c>
      <x:c r="I73" s="26" t="n">
        <x:f>MIN(G73-'Base SOM'!J64,M73+N73)</x:f>
        <x:v>11594.31</x:v>
      </x:c>
      <x:c r="J73" s="26" t="n">
        <x:f>G73-I73</x:f>
        <x:v>49933.29</x:v>
      </x:c>
      <x:c r="K73" s="22" t="n">
        <x:f>'Base SOM'!O64</x:f>
        <x:v>10767.33</x:v>
      </x:c>
      <x:c r="L73" s="22" t="n">
        <x:f>I73-K73</x:f>
        <x:v>826.9799999999996</x:v>
      </x:c>
      <x:c r="M73" s="22" t="n">
        <x:f>'Base SOM'!P64</x:f>
        <x:v>11280.06</x:v>
      </x:c>
      <x:c r="N73" s="22" t="n">
        <x:f>ROUND('Base SOM'!Q64*DAY($B$4)/DAY(EOMONTH($B$4,0)),2)</x:f>
        <x:v>314.25</x:v>
      </x:c>
      <x:c r="O73" s="23" t="n">
        <x:f>'Base SOM'!I64</x:f>
        <x:v>120</x:v>
      </x:c>
      <x:c r="P73" s="2" t="str">
        <x:f>'Base SOM'!K64</x:f>
        <x:v>ACTIVE</x:v>
      </x:c>
    </x:row>
    <x:row r="74" ht="46" customHeight="1">
      <x:c r="A74" s="17" t="str">
        <x:f>'Base SOM'!B65</x:f>
        <x:v>MSL-F0004</x:v>
      </x:c>
      <x:c r="B74" s="21" t="str">
        <x:v>SILLA LATERAL NORIEGA</x:v>
      </x:c>
      <x:c r="C74" s="21" t="str">
        <x:f>'Base SOM'!C65</x:f>
        <x:v>SILLA LATERAL NORIEGA PP LIGHT GREY BASE MADERA</x:v>
      </x:c>
      <x:c r="D74" s="18" t="n">
        <x:f>'Base SOM'!D65</x:f>
        <x:v>45657</x:v>
      </x:c>
      <x:c r="E74" s="24" t="n">
        <x:f>'Base SOM'!E65</x:f>
        <x:v>120</x:v>
      </x:c>
      <x:c r="F74" s="24" t="n">
        <x:f>'Base SOM'!F65</x:f>
        <x:v>512.73</x:v>
      </x:c>
      <x:c r="G74" s="24" t="n">
        <x:f>'Base SOM'!G65</x:f>
        <x:v>61527.6</x:v>
      </x:c>
      <x:c r="H74" s="24" t="n">
        <x:f>'Base SOM'!H65</x:f>
        <x:v>512.73</x:v>
      </x:c>
      <x:c r="I74" s="27" t="n">
        <x:f>MIN(G74-'Base SOM'!J65,M74+N74)</x:f>
        <x:v>11594.31</x:v>
      </x:c>
      <x:c r="J74" s="27" t="n">
        <x:f>G74-I74</x:f>
        <x:v>49933.29</x:v>
      </x:c>
      <x:c r="K74" s="24" t="n">
        <x:f>'Base SOM'!O65</x:f>
        <x:v>10767.33</x:v>
      </x:c>
      <x:c r="L74" s="24" t="n">
        <x:f>I74-K74</x:f>
        <x:v>826.9799999999996</x:v>
      </x:c>
      <x:c r="M74" s="24" t="n">
        <x:f>'Base SOM'!P65</x:f>
        <x:v>11280.06</x:v>
      </x:c>
      <x:c r="N74" s="24" t="n">
        <x:f>ROUND('Base SOM'!Q65*DAY($B$4)/DAY(EOMONTH($B$4,0)),2)</x:f>
        <x:v>314.25</x:v>
      </x:c>
      <x:c r="O74" s="25" t="n">
        <x:f>'Base SOM'!I65</x:f>
        <x:v>120</x:v>
      </x:c>
      <x:c r="P74" s="17" t="str">
        <x:f>'Base SOM'!K65</x:f>
        <x:v>ACTIVE</x:v>
      </x:c>
    </x:row>
    <x:row r="75" ht="46" customHeight="1">
      <x:c r="A75" s="2" t="str">
        <x:f>'Base SOM'!B66</x:f>
        <x:v>MSL-F0005</x:v>
      </x:c>
      <x:c r="B75" s="11" t="str">
        <x:v>SILLA LATERAL NORIEGA</x:v>
      </x:c>
      <x:c r="C75" s="11" t="str">
        <x:f>'Base SOM'!C66</x:f>
        <x:v>SILLA LATERAL NORIEGA PP LIGHT GREY BASE MADERA</x:v>
      </x:c>
      <x:c r="D75" s="10" t="n">
        <x:f>'Base SOM'!D66</x:f>
        <x:v>45657</x:v>
      </x:c>
      <x:c r="E75" s="22" t="n">
        <x:f>'Base SOM'!E66</x:f>
        <x:v>120</x:v>
      </x:c>
      <x:c r="F75" s="22" t="n">
        <x:f>'Base SOM'!F66</x:f>
        <x:v>512.73</x:v>
      </x:c>
      <x:c r="G75" s="22" t="n">
        <x:f>'Base SOM'!G66</x:f>
        <x:v>61527.6</x:v>
      </x:c>
      <x:c r="H75" s="22" t="n">
        <x:f>'Base SOM'!H66</x:f>
        <x:v>512.73</x:v>
      </x:c>
      <x:c r="I75" s="26" t="n">
        <x:f>MIN(G75-'Base SOM'!J66,M75+N75)</x:f>
        <x:v>11594.31</x:v>
      </x:c>
      <x:c r="J75" s="26" t="n">
        <x:f>G75-I75</x:f>
        <x:v>49933.29</x:v>
      </x:c>
      <x:c r="K75" s="22" t="n">
        <x:f>'Base SOM'!O66</x:f>
        <x:v>10767.33</x:v>
      </x:c>
      <x:c r="L75" s="22" t="n">
        <x:f>I75-K75</x:f>
        <x:v>826.9799999999996</x:v>
      </x:c>
      <x:c r="M75" s="22" t="n">
        <x:f>'Base SOM'!P66</x:f>
        <x:v>11280.06</x:v>
      </x:c>
      <x:c r="N75" s="22" t="n">
        <x:f>ROUND('Base SOM'!Q66*DAY($B$4)/DAY(EOMONTH($B$4,0)),2)</x:f>
        <x:v>314.25</x:v>
      </x:c>
      <x:c r="O75" s="23" t="n">
        <x:f>'Base SOM'!I66</x:f>
        <x:v>120</x:v>
      </x:c>
      <x:c r="P75" s="2" t="str">
        <x:f>'Base SOM'!K66</x:f>
        <x:v>ACTIVE</x:v>
      </x:c>
    </x:row>
    <x:row r="76" ht="46" customHeight="1">
      <x:c r="A76" s="17" t="str">
        <x:f>'Base SOM'!B67</x:f>
        <x:v>MSL-F0006</x:v>
      </x:c>
      <x:c r="B76" s="21" t="str">
        <x:v>SILLA LATERAL NORIEGA</x:v>
      </x:c>
      <x:c r="C76" s="21" t="str">
        <x:f>'Base SOM'!C67</x:f>
        <x:v>SILLA LATERAL NORIEGA PP LIGHT GREY BASE MADERA</x:v>
      </x:c>
      <x:c r="D76" s="18" t="n">
        <x:f>'Base SOM'!D67</x:f>
        <x:v>45657</x:v>
      </x:c>
      <x:c r="E76" s="24" t="n">
        <x:f>'Base SOM'!E67</x:f>
        <x:v>120</x:v>
      </x:c>
      <x:c r="F76" s="24" t="n">
        <x:f>'Base SOM'!F67</x:f>
        <x:v>512.73</x:v>
      </x:c>
      <x:c r="G76" s="24" t="n">
        <x:f>'Base SOM'!G67</x:f>
        <x:v>61527.6</x:v>
      </x:c>
      <x:c r="H76" s="24" t="n">
        <x:f>'Base SOM'!H67</x:f>
        <x:v>512.73</x:v>
      </x:c>
      <x:c r="I76" s="27" t="n">
        <x:f>MIN(G76-'Base SOM'!J67,M76+N76)</x:f>
        <x:v>11594.31</x:v>
      </x:c>
      <x:c r="J76" s="27" t="n">
        <x:f>G76-I76</x:f>
        <x:v>49933.29</x:v>
      </x:c>
      <x:c r="K76" s="24" t="n">
        <x:f>'Base SOM'!O67</x:f>
        <x:v>10767.33</x:v>
      </x:c>
      <x:c r="L76" s="24" t="n">
        <x:f>I76-K76</x:f>
        <x:v>826.9799999999996</x:v>
      </x:c>
      <x:c r="M76" s="24" t="n">
        <x:f>'Base SOM'!P67</x:f>
        <x:v>11280.06</x:v>
      </x:c>
      <x:c r="N76" s="24" t="n">
        <x:f>ROUND('Base SOM'!Q67*DAY($B$4)/DAY(EOMONTH($B$4,0)),2)</x:f>
        <x:v>314.25</x:v>
      </x:c>
      <x:c r="O76" s="25" t="n">
        <x:f>'Base SOM'!I67</x:f>
        <x:v>120</x:v>
      </x:c>
      <x:c r="P76" s="17" t="str">
        <x:f>'Base SOM'!K67</x:f>
        <x:v>ACTIVE</x:v>
      </x:c>
    </x:row>
    <x:row r="77" ht="46" customHeight="1">
      <x:c r="A77" s="2" t="str">
        <x:f>'Base SOM'!B68</x:f>
        <x:v>MSL-F0007</x:v>
      </x:c>
      <x:c r="B77" s="11" t="str">
        <x:v>SILLA LATERAL NORIEGA</x:v>
      </x:c>
      <x:c r="C77" s="11" t="str">
        <x:f>'Base SOM'!C68</x:f>
        <x:v>SILLA LATERAL NORIEGA PP LIGHT GREY BASE MADERA</x:v>
      </x:c>
      <x:c r="D77" s="10" t="n">
        <x:f>'Base SOM'!D68</x:f>
        <x:v>45657</x:v>
      </x:c>
      <x:c r="E77" s="22" t="n">
        <x:f>'Base SOM'!E68</x:f>
        <x:v>120</x:v>
      </x:c>
      <x:c r="F77" s="22" t="n">
        <x:f>'Base SOM'!F68</x:f>
        <x:v>512.73</x:v>
      </x:c>
      <x:c r="G77" s="22" t="n">
        <x:f>'Base SOM'!G68</x:f>
        <x:v>61527.6</x:v>
      </x:c>
      <x:c r="H77" s="22" t="n">
        <x:f>'Base SOM'!H68</x:f>
        <x:v>512.73</x:v>
      </x:c>
      <x:c r="I77" s="26" t="n">
        <x:f>MIN(G77-'Base SOM'!J68,M77+N77)</x:f>
        <x:v>11594.31</x:v>
      </x:c>
      <x:c r="J77" s="26" t="n">
        <x:f>G77-I77</x:f>
        <x:v>49933.29</x:v>
      </x:c>
      <x:c r="K77" s="22" t="n">
        <x:f>'Base SOM'!O68</x:f>
        <x:v>10767.33</x:v>
      </x:c>
      <x:c r="L77" s="22" t="n">
        <x:f>I77-K77</x:f>
        <x:v>826.9799999999996</x:v>
      </x:c>
      <x:c r="M77" s="22" t="n">
        <x:f>'Base SOM'!P68</x:f>
        <x:v>11280.06</x:v>
      </x:c>
      <x:c r="N77" s="22" t="n">
        <x:f>ROUND('Base SOM'!Q68*DAY($B$4)/DAY(EOMONTH($B$4,0)),2)</x:f>
        <x:v>314.25</x:v>
      </x:c>
      <x:c r="O77" s="23" t="n">
        <x:f>'Base SOM'!I68</x:f>
        <x:v>120</x:v>
      </x:c>
      <x:c r="P77" s="2" t="str">
        <x:f>'Base SOM'!K68</x:f>
        <x:v>ACTIVE</x:v>
      </x:c>
    </x:row>
    <x:row r="78" ht="46" customHeight="1">
      <x:c r="A78" s="17" t="str">
        <x:f>'Base SOM'!B69</x:f>
        <x:v>MSL-F0008</x:v>
      </x:c>
      <x:c r="B78" s="21" t="str">
        <x:v>ESCRITORIO SPACIO 140X60X75CM</x:v>
      </x:c>
      <x:c r="C78" s="21" t="str">
        <x:f>'Base SOM'!C69</x:f>
        <x:v>ESCRITORIO SPACIO 140X60X75CM LISO COLOR CLARO</x:v>
      </x:c>
      <x:c r="D78" s="18" t="n">
        <x:f>'Base SOM'!D69</x:f>
        <x:v>45657</x:v>
      </x:c>
      <x:c r="E78" s="24" t="n">
        <x:f>'Base SOM'!E69</x:f>
        <x:v>320</x:v>
      </x:c>
      <x:c r="F78" s="24" t="n">
        <x:f>'Base SOM'!F69</x:f>
        <x:v>512.73</x:v>
      </x:c>
      <x:c r="G78" s="24" t="n">
        <x:f>'Base SOM'!G69</x:f>
        <x:v>164073.6</x:v>
      </x:c>
      <x:c r="H78" s="24" t="n">
        <x:f>'Base SOM'!H69</x:f>
        <x:v>1367.28</x:v>
      </x:c>
      <x:c r="I78" s="27" t="n">
        <x:f>MIN(G78-'Base SOM'!J69,M78+N78)</x:f>
        <x:v>30918.17</x:v>
      </x:c>
      <x:c r="J78" s="27" t="n">
        <x:f>G78-I78</x:f>
        <x:v>133155.43</x:v>
      </x:c>
      <x:c r="K78" s="24" t="n">
        <x:f>'Base SOM'!O69</x:f>
        <x:v>28712.88</x:v>
      </x:c>
      <x:c r="L78" s="24" t="n">
        <x:f>I78-K78</x:f>
        <x:v>2205.2899999999972</x:v>
      </x:c>
      <x:c r="M78" s="24" t="n">
        <x:f>'Base SOM'!P69</x:f>
        <x:v>30080.16</x:v>
      </x:c>
      <x:c r="N78" s="24" t="n">
        <x:f>ROUND('Base SOM'!Q69*DAY($B$4)/DAY(EOMONTH($B$4,0)),2)</x:f>
        <x:v>838.01</x:v>
      </x:c>
      <x:c r="O78" s="25" t="n">
        <x:f>'Base SOM'!I69</x:f>
        <x:v>120</x:v>
      </x:c>
      <x:c r="P78" s="17" t="str">
        <x:f>'Base SOM'!K69</x:f>
        <x:v>ACTIVE</x:v>
      </x:c>
    </x:row>
    <x:row r="79" ht="46" customHeight="1">
      <x:c r="A79" s="2" t="str">
        <x:f>'Base SOM'!B70</x:f>
        <x:v>MSL-F0009</x:v>
      </x:c>
      <x:c r="B79" s="11" t="str">
        <x:v>ESCRITORIO SPACIO 140X60X75CM</x:v>
      </x:c>
      <x:c r="C79" s="11" t="str">
        <x:f>'Base SOM'!C70</x:f>
        <x:v>ESCRITORIO SPACIO 140X60X75CM LISO COLOR CLARO</x:v>
      </x:c>
      <x:c r="D79" s="10" t="n">
        <x:f>'Base SOM'!D70</x:f>
        <x:v>45657</x:v>
      </x:c>
      <x:c r="E79" s="22" t="n">
        <x:f>'Base SOM'!E70</x:f>
        <x:v>320</x:v>
      </x:c>
      <x:c r="F79" s="22" t="n">
        <x:f>'Base SOM'!F70</x:f>
        <x:v>512.73</x:v>
      </x:c>
      <x:c r="G79" s="22" t="n">
        <x:f>'Base SOM'!G70</x:f>
        <x:v>164073.6</x:v>
      </x:c>
      <x:c r="H79" s="22" t="n">
        <x:f>'Base SOM'!H70</x:f>
        <x:v>1367.28</x:v>
      </x:c>
      <x:c r="I79" s="26" t="n">
        <x:f>MIN(G79-'Base SOM'!J70,M79+N79)</x:f>
        <x:v>30918.17</x:v>
      </x:c>
      <x:c r="J79" s="26" t="n">
        <x:f>G79-I79</x:f>
        <x:v>133155.43</x:v>
      </x:c>
      <x:c r="K79" s="22" t="n">
        <x:f>'Base SOM'!O70</x:f>
        <x:v>28712.88</x:v>
      </x:c>
      <x:c r="L79" s="22" t="n">
        <x:f>I79-K79</x:f>
        <x:v>2205.2899999999972</x:v>
      </x:c>
      <x:c r="M79" s="22" t="n">
        <x:f>'Base SOM'!P70</x:f>
        <x:v>30080.16</x:v>
      </x:c>
      <x:c r="N79" s="22" t="n">
        <x:f>ROUND('Base SOM'!Q70*DAY($B$4)/DAY(EOMONTH($B$4,0)),2)</x:f>
        <x:v>838.01</x:v>
      </x:c>
      <x:c r="O79" s="23" t="n">
        <x:f>'Base SOM'!I70</x:f>
        <x:v>120</x:v>
      </x:c>
      <x:c r="P79" s="2" t="str">
        <x:f>'Base SOM'!K70</x:f>
        <x:v>ACTIVE</x:v>
      </x:c>
    </x:row>
    <x:row r="80" ht="46" customHeight="1">
      <x:c r="A80" s="17" t="str">
        <x:f>'Base SOM'!B71</x:f>
        <x:v>MSL-F0010</x:v>
      </x:c>
      <x:c r="B80" s="21" t="str">
        <x:v>ESCRITORIO PAXSON 140X60CM</x:v>
      </x:c>
      <x:c r="C80" s="21" t="str">
        <x:f>'Base SOM'!C71</x:f>
        <x:v>ESCRITORIO PAXSON 140X60CM C RETORNO IZQUIERDO SENTADO (4 BULTOS)</x:v>
      </x:c>
      <x:c r="D80" s="18" t="n">
        <x:f>'Base SOM'!D71</x:f>
        <x:v>45657</x:v>
      </x:c>
      <x:c r="E80" s="24" t="n">
        <x:f>'Base SOM'!E71</x:f>
        <x:v>490</x:v>
      </x:c>
      <x:c r="F80" s="24" t="n">
        <x:f>'Base SOM'!F71</x:f>
        <x:v>512.73</x:v>
      </x:c>
      <x:c r="G80" s="24" t="n">
        <x:f>'Base SOM'!G71</x:f>
        <x:v>251237.7</x:v>
      </x:c>
      <x:c r="H80" s="24" t="n">
        <x:f>'Base SOM'!H71</x:f>
        <x:v>2093.65</x:v>
      </x:c>
      <x:c r="I80" s="27" t="n">
        <x:f>MIN(G80-'Base SOM'!J71,M80+N80)</x:f>
        <x:v>47343.5</x:v>
      </x:c>
      <x:c r="J80" s="27" t="n">
        <x:f>G80-I80</x:f>
        <x:v>203894.2</x:v>
      </x:c>
      <x:c r="K80" s="24" t="n">
        <x:f>'Base SOM'!O71</x:f>
        <x:v>43966.65</x:v>
      </x:c>
      <x:c r="L80" s="24" t="n">
        <x:f>I80-K80</x:f>
        <x:v>3376.8499999999985</x:v>
      </x:c>
      <x:c r="M80" s="24" t="n">
        <x:f>'Base SOM'!P71</x:f>
        <x:v>46060.3</x:v>
      </x:c>
      <x:c r="N80" s="24" t="n">
        <x:f>ROUND('Base SOM'!Q71*DAY($B$4)/DAY(EOMONTH($B$4,0)),2)</x:f>
        <x:v>1283.2</x:v>
      </x:c>
      <x:c r="O80" s="25" t="n">
        <x:f>'Base SOM'!I71</x:f>
        <x:v>120</x:v>
      </x:c>
      <x:c r="P80" s="17" t="str">
        <x:f>'Base SOM'!K71</x:f>
        <x:v>ACTIVE</x:v>
      </x:c>
    </x:row>
    <x:row r="81" ht="46" customHeight="1">
      <x:c r="A81" s="2" t="str">
        <x:f>'Base SOM'!B72</x:f>
        <x:v>MSL-F0011</x:v>
      </x:c>
      <x:c r="B81" s="11" t="str">
        <x:v>ESCRITORIO PAXSON140X60CM C</x:v>
      </x:c>
      <x:c r="C81" s="11" t="str">
        <x:f>'Base SOM'!C72</x:f>
        <x:v>ESCRITORIO PAXSON140X60CM C RETORNO DERECHO SENTADO [[4 BULTOS]]</x:v>
      </x:c>
      <x:c r="D81" s="10" t="n">
        <x:f>'Base SOM'!D72</x:f>
        <x:v>45657</x:v>
      </x:c>
      <x:c r="E81" s="22" t="n">
        <x:f>'Base SOM'!E72</x:f>
        <x:v>490</x:v>
      </x:c>
      <x:c r="F81" s="22" t="n">
        <x:f>'Base SOM'!F72</x:f>
        <x:v>512.73</x:v>
      </x:c>
      <x:c r="G81" s="22" t="n">
        <x:f>'Base SOM'!G72</x:f>
        <x:v>251237.7</x:v>
      </x:c>
      <x:c r="H81" s="22" t="n">
        <x:f>'Base SOM'!H72</x:f>
        <x:v>2093.65</x:v>
      </x:c>
      <x:c r="I81" s="26" t="n">
        <x:f>MIN(G81-'Base SOM'!J72,M81+N81)</x:f>
        <x:v>47343.5</x:v>
      </x:c>
      <x:c r="J81" s="26" t="n">
        <x:f>G81-I81</x:f>
        <x:v>203894.2</x:v>
      </x:c>
      <x:c r="K81" s="22" t="n">
        <x:f>'Base SOM'!O72</x:f>
        <x:v>43966.65</x:v>
      </x:c>
      <x:c r="L81" s="22" t="n">
        <x:f>I81-K81</x:f>
        <x:v>3376.8499999999985</x:v>
      </x:c>
      <x:c r="M81" s="22" t="n">
        <x:f>'Base SOM'!P72</x:f>
        <x:v>46060.3</x:v>
      </x:c>
      <x:c r="N81" s="22" t="n">
        <x:f>ROUND('Base SOM'!Q72*DAY($B$4)/DAY(EOMONTH($B$4,0)),2)</x:f>
        <x:v>1283.2</x:v>
      </x:c>
      <x:c r="O81" s="23" t="n">
        <x:f>'Base SOM'!I72</x:f>
        <x:v>120</x:v>
      </x:c>
      <x:c r="P81" s="2" t="str">
        <x:f>'Base SOM'!K72</x:f>
        <x:v>ACTIVE</x:v>
      </x:c>
    </x:row>
    <x:row r="82" ht="46" customHeight="1">
      <x:c r="A82" s="17" t="str">
        <x:f>'Base SOM'!B73</x:f>
        <x:v>MSL-F0012</x:v>
      </x:c>
      <x:c r="B82" s="21" t="str">
        <x:v>ESCRITORIO PAXSON140X60CM C</x:v>
      </x:c>
      <x:c r="C82" s="21" t="str">
        <x:f>'Base SOM'!C73</x:f>
        <x:v>ESCRITORIO PAXSON140X60CM C RETORNO DERECHO SENTADO [[4 BULTOS]]</x:v>
      </x:c>
      <x:c r="D82" s="18" t="n">
        <x:f>'Base SOM'!D73</x:f>
        <x:v>45657</x:v>
      </x:c>
      <x:c r="E82" s="24" t="n">
        <x:f>'Base SOM'!E73</x:f>
        <x:v>490</x:v>
      </x:c>
      <x:c r="F82" s="24" t="n">
        <x:f>'Base SOM'!F73</x:f>
        <x:v>512.73</x:v>
      </x:c>
      <x:c r="G82" s="24" t="n">
        <x:f>'Base SOM'!G73</x:f>
        <x:v>251237.7</x:v>
      </x:c>
      <x:c r="H82" s="24" t="n">
        <x:f>'Base SOM'!H73</x:f>
        <x:v>2093.65</x:v>
      </x:c>
      <x:c r="I82" s="27" t="n">
        <x:f>MIN(G82-'Base SOM'!J73,M82+N82)</x:f>
        <x:v>47343.5</x:v>
      </x:c>
      <x:c r="J82" s="27" t="n">
        <x:f>G82-I82</x:f>
        <x:v>203894.2</x:v>
      </x:c>
      <x:c r="K82" s="24" t="n">
        <x:f>'Base SOM'!O73</x:f>
        <x:v>43966.65</x:v>
      </x:c>
      <x:c r="L82" s="24" t="n">
        <x:f>I82-K82</x:f>
        <x:v>3376.8499999999985</x:v>
      </x:c>
      <x:c r="M82" s="24" t="n">
        <x:f>'Base SOM'!P73</x:f>
        <x:v>46060.3</x:v>
      </x:c>
      <x:c r="N82" s="24" t="n">
        <x:f>ROUND('Base SOM'!Q73*DAY($B$4)/DAY(EOMONTH($B$4,0)),2)</x:f>
        <x:v>1283.2</x:v>
      </x:c>
      <x:c r="O82" s="25" t="n">
        <x:f>'Base SOM'!I73</x:f>
        <x:v>120</x:v>
      </x:c>
      <x:c r="P82" s="17" t="str">
        <x:f>'Base SOM'!K73</x:f>
        <x:v>ACTIVE</x:v>
      </x:c>
    </x:row>
    <x:row r="83" ht="46" customHeight="1">
      <x:c r="A83" s="2" t="str">
        <x:f>'Base SOM'!B74</x:f>
        <x:v>MSL-F0013</x:v>
      </x:c>
      <x:c r="B83" s="11" t="str">
        <x:v>SILLA EJECUTIVA KUNA</x:v>
      </x:c>
      <x:c r="C83" s="11" t="str">
        <x:f>'Base SOM'!C74</x:f>
        <x:v>SILLA EJECUTIVA KUNA GRIS BASE NYLON GRIS</x:v>
      </x:c>
      <x:c r="D83" s="10" t="n">
        <x:f>'Base SOM'!D74</x:f>
        <x:v>45657</x:v>
      </x:c>
      <x:c r="E83" s="22" t="n">
        <x:f>'Base SOM'!E74</x:f>
        <x:v>150</x:v>
      </x:c>
      <x:c r="F83" s="22" t="n">
        <x:f>'Base SOM'!F74</x:f>
        <x:v>512.73</x:v>
      </x:c>
      <x:c r="G83" s="22" t="n">
        <x:f>'Base SOM'!G74</x:f>
        <x:v>76909.5</x:v>
      </x:c>
      <x:c r="H83" s="22" t="n">
        <x:f>'Base SOM'!H74</x:f>
        <x:v>640.91</x:v>
      </x:c>
      <x:c r="I83" s="26" t="n">
        <x:f>MIN(G83-'Base SOM'!J74,M83+N83)</x:f>
        <x:v>14492.84</x:v>
      </x:c>
      <x:c r="J83" s="26" t="n">
        <x:f>G83-I83</x:f>
        <x:v>62416.66</x:v>
      </x:c>
      <x:c r="K83" s="22" t="n">
        <x:f>'Base SOM'!O74</x:f>
        <x:v>13459.11</x:v>
      </x:c>
      <x:c r="L83" s="22" t="n">
        <x:f>I83-K83</x:f>
        <x:v>1033.7299999999996</x:v>
      </x:c>
      <x:c r="M83" s="22" t="n">
        <x:f>'Base SOM'!P74</x:f>
        <x:v>14100.02</x:v>
      </x:c>
      <x:c r="N83" s="22" t="n">
        <x:f>ROUND('Base SOM'!Q74*DAY($B$4)/DAY(EOMONTH($B$4,0)),2)</x:f>
        <x:v>392.82</x:v>
      </x:c>
      <x:c r="O83" s="23" t="n">
        <x:f>'Base SOM'!I74</x:f>
        <x:v>120</x:v>
      </x:c>
      <x:c r="P83" s="2" t="str">
        <x:f>'Base SOM'!K74</x:f>
        <x:v>ACTIVE</x:v>
      </x:c>
    </x:row>
    <x:row r="84" ht="46" customHeight="1">
      <x:c r="A84" s="17" t="str">
        <x:f>'Base SOM'!B75</x:f>
        <x:v>MSL-F0014</x:v>
      </x:c>
      <x:c r="B84" s="21" t="str">
        <x:v>SILLA EJECUTIVA KUNA</x:v>
      </x:c>
      <x:c r="C84" s="21" t="str">
        <x:f>'Base SOM'!C75</x:f>
        <x:v>SILLA EJECUTIVA KUNA GRIS BASE NYLON GRIS</x:v>
      </x:c>
      <x:c r="D84" s="18" t="n">
        <x:f>'Base SOM'!D75</x:f>
        <x:v>45657</x:v>
      </x:c>
      <x:c r="E84" s="24" t="n">
        <x:f>'Base SOM'!E75</x:f>
        <x:v>150</x:v>
      </x:c>
      <x:c r="F84" s="24" t="n">
        <x:f>'Base SOM'!F75</x:f>
        <x:v>512.73</x:v>
      </x:c>
      <x:c r="G84" s="24" t="n">
        <x:f>'Base SOM'!G75</x:f>
        <x:v>76909.5</x:v>
      </x:c>
      <x:c r="H84" s="24" t="n">
        <x:f>'Base SOM'!H75</x:f>
        <x:v>640.91</x:v>
      </x:c>
      <x:c r="I84" s="27" t="n">
        <x:f>MIN(G84-'Base SOM'!J75,M84+N84)</x:f>
        <x:v>14492.84</x:v>
      </x:c>
      <x:c r="J84" s="27" t="n">
        <x:f>G84-I84</x:f>
        <x:v>62416.66</x:v>
      </x:c>
      <x:c r="K84" s="24" t="n">
        <x:f>'Base SOM'!O75</x:f>
        <x:v>13459.11</x:v>
      </x:c>
      <x:c r="L84" s="24" t="n">
        <x:f>I84-K84</x:f>
        <x:v>1033.7299999999996</x:v>
      </x:c>
      <x:c r="M84" s="24" t="n">
        <x:f>'Base SOM'!P75</x:f>
        <x:v>14100.02</x:v>
      </x:c>
      <x:c r="N84" s="24" t="n">
        <x:f>ROUND('Base SOM'!Q75*DAY($B$4)/DAY(EOMONTH($B$4,0)),2)</x:f>
        <x:v>392.82</x:v>
      </x:c>
      <x:c r="O84" s="25" t="n">
        <x:f>'Base SOM'!I75</x:f>
        <x:v>120</x:v>
      </x:c>
      <x:c r="P84" s="17" t="str">
        <x:f>'Base SOM'!K75</x:f>
        <x:v>ACTIVE</x:v>
      </x:c>
    </x:row>
    <x:row r="85" ht="46" customHeight="1">
      <x:c r="A85" s="2" t="str">
        <x:f>'Base SOM'!B76</x:f>
        <x:v>MSL-F0015</x:v>
      </x:c>
      <x:c r="B85" s="11" t="str">
        <x:v>SILLA MJ EJECUTIVA</x:v>
      </x:c>
      <x:c r="C85" s="11" t="str">
        <x:f>'Base SOM'!C76</x:f>
        <x:v>SILLA MJ EJECUTIVA</x:v>
      </x:c>
      <x:c r="D85" s="10" t="n">
        <x:f>'Base SOM'!D76</x:f>
        <x:v>45657</x:v>
      </x:c>
      <x:c r="E85" s="22" t="n">
        <x:f>'Base SOM'!E76</x:f>
        <x:v>331.85</x:v>
      </x:c>
      <x:c r="F85" s="22" t="n">
        <x:f>'Base SOM'!F76</x:f>
        <x:v>512.73</x:v>
      </x:c>
      <x:c r="G85" s="22" t="n">
        <x:f>'Base SOM'!G76</x:f>
        <x:v>170149.45</x:v>
      </x:c>
      <x:c r="H85" s="22" t="n">
        <x:f>'Base SOM'!H76</x:f>
        <x:v>1417.91</x:v>
      </x:c>
      <x:c r="I85" s="26" t="n">
        <x:f>MIN(G85-'Base SOM'!J76,M85+N85)</x:f>
        <x:v>32063.06</x:v>
      </x:c>
      <x:c r="J85" s="26" t="n">
        <x:f>G85-I85</x:f>
        <x:v>138086.39</x:v>
      </x:c>
      <x:c r="K85" s="22" t="n">
        <x:f>'Base SOM'!O76</x:f>
        <x:v>29776.11</x:v>
      </x:c>
      <x:c r="L85" s="22" t="n">
        <x:f>I85-K85</x:f>
        <x:v>2286.9500000000007</x:v>
      </x:c>
      <x:c r="M85" s="22" t="n">
        <x:f>'Base SOM'!P76</x:f>
        <x:v>31194.02</x:v>
      </x:c>
      <x:c r="N85" s="22" t="n">
        <x:f>ROUND('Base SOM'!Q76*DAY($B$4)/DAY(EOMONTH($B$4,0)),2)</x:f>
        <x:v>869.04</x:v>
      </x:c>
      <x:c r="O85" s="23" t="n">
        <x:f>'Base SOM'!I76</x:f>
        <x:v>120</x:v>
      </x:c>
      <x:c r="P85" s="2" t="str">
        <x:f>'Base SOM'!K76</x:f>
        <x:v>ACTIVE</x:v>
      </x:c>
    </x:row>
    <x:row r="86" ht="46" customHeight="1">
      <x:c r="A86" s="17" t="str">
        <x:f>'Base SOM'!B77</x:f>
        <x:v>MSL-F0016</x:v>
      </x:c>
      <x:c r="B86" s="21" t="str">
        <x:v>SILLA MJ EJECUTIVA</x:v>
      </x:c>
      <x:c r="C86" s="21" t="str">
        <x:f>'Base SOM'!C77</x:f>
        <x:v>SILLA MJ EJECUTIVA</x:v>
      </x:c>
      <x:c r="D86" s="18" t="n">
        <x:f>'Base SOM'!D77</x:f>
        <x:v>45657</x:v>
      </x:c>
      <x:c r="E86" s="24" t="n">
        <x:f>'Base SOM'!E77</x:f>
        <x:v>331.85</x:v>
      </x:c>
      <x:c r="F86" s="24" t="n">
        <x:f>'Base SOM'!F77</x:f>
        <x:v>512.73</x:v>
      </x:c>
      <x:c r="G86" s="24" t="n">
        <x:f>'Base SOM'!G77</x:f>
        <x:v>170149.45</x:v>
      </x:c>
      <x:c r="H86" s="24" t="n">
        <x:f>'Base SOM'!H77</x:f>
        <x:v>1417.91</x:v>
      </x:c>
      <x:c r="I86" s="27" t="n">
        <x:f>MIN(G86-'Base SOM'!J77,M86+N86)</x:f>
        <x:v>32063.06</x:v>
      </x:c>
      <x:c r="J86" s="27" t="n">
        <x:f>G86-I86</x:f>
        <x:v>138086.39</x:v>
      </x:c>
      <x:c r="K86" s="24" t="n">
        <x:f>'Base SOM'!O77</x:f>
        <x:v>29776.11</x:v>
      </x:c>
      <x:c r="L86" s="24" t="n">
        <x:f>I86-K86</x:f>
        <x:v>2286.9500000000007</x:v>
      </x:c>
      <x:c r="M86" s="24" t="n">
        <x:f>'Base SOM'!P77</x:f>
        <x:v>31194.02</x:v>
      </x:c>
      <x:c r="N86" s="24" t="n">
        <x:f>ROUND('Base SOM'!Q77*DAY($B$4)/DAY(EOMONTH($B$4,0)),2)</x:f>
        <x:v>869.04</x:v>
      </x:c>
      <x:c r="O86" s="25" t="n">
        <x:f>'Base SOM'!I77</x:f>
        <x:v>120</x:v>
      </x:c>
      <x:c r="P86" s="17" t="str">
        <x:f>'Base SOM'!K77</x:f>
        <x:v>ACTIVE</x:v>
      </x:c>
    </x:row>
    <x:row r="87" ht="46" customHeight="1">
      <x:c r="A87" s="2" t="str">
        <x:f>'Base SOM'!B78</x:f>
        <x:v>MSL-F0017</x:v>
      </x:c>
      <x:c r="B87" s="11" t="str">
        <x:v>SILLA MJ EJECUTIVA</x:v>
      </x:c>
      <x:c r="C87" s="11" t="str">
        <x:f>'Base SOM'!C78</x:f>
        <x:v>SILLA MJ EJECUTIVA</x:v>
      </x:c>
      <x:c r="D87" s="10" t="n">
        <x:f>'Base SOM'!D78</x:f>
        <x:v>45657</x:v>
      </x:c>
      <x:c r="E87" s="22" t="n">
        <x:f>'Base SOM'!E78</x:f>
        <x:v>331.85</x:v>
      </x:c>
      <x:c r="F87" s="22" t="n">
        <x:f>'Base SOM'!F78</x:f>
        <x:v>512.73</x:v>
      </x:c>
      <x:c r="G87" s="22" t="n">
        <x:f>'Base SOM'!G78</x:f>
        <x:v>170149.45</x:v>
      </x:c>
      <x:c r="H87" s="22" t="n">
        <x:f>'Base SOM'!H78</x:f>
        <x:v>1417.91</x:v>
      </x:c>
      <x:c r="I87" s="26" t="n">
        <x:f>MIN(G87-'Base SOM'!J78,M87+N87)</x:f>
        <x:v>32063.06</x:v>
      </x:c>
      <x:c r="J87" s="26" t="n">
        <x:f>G87-I87</x:f>
        <x:v>138086.39</x:v>
      </x:c>
      <x:c r="K87" s="22" t="n">
        <x:f>'Base SOM'!O78</x:f>
        <x:v>29776.11</x:v>
      </x:c>
      <x:c r="L87" s="22" t="n">
        <x:f>I87-K87</x:f>
        <x:v>2286.9500000000007</x:v>
      </x:c>
      <x:c r="M87" s="22" t="n">
        <x:f>'Base SOM'!P78</x:f>
        <x:v>31194.02</x:v>
      </x:c>
      <x:c r="N87" s="22" t="n">
        <x:f>ROUND('Base SOM'!Q78*DAY($B$4)/DAY(EOMONTH($B$4,0)),2)</x:f>
        <x:v>869.04</x:v>
      </x:c>
      <x:c r="O87" s="23" t="n">
        <x:f>'Base SOM'!I78</x:f>
        <x:v>120</x:v>
      </x:c>
      <x:c r="P87" s="2" t="str">
        <x:f>'Base SOM'!K78</x:f>
        <x:v>ACTIVE</x:v>
      </x:c>
    </x:row>
    <x:row r="88" ht="46" customHeight="1">
      <x:c r="A88" s="17" t="str">
        <x:f>'Base SOM'!B79</x:f>
        <x:v>MSL-F0018</x:v>
      </x:c>
      <x:c r="B88" s="21" t="str">
        <x:v>Monitor Samsung 27"</x:v>
      </x:c>
      <x:c r="C88" s="21" t="str">
        <x:f>'Base SOM'!C79</x:f>
        <x:v>Monitor Samsung 27" C27F390FHL</x:v>
      </x:c>
      <x:c r="D88" s="18" t="n">
        <x:f>'Base SOM'!D79</x:f>
        <x:v>45657</x:v>
      </x:c>
      <x:c r="E88" s="24" t="n">
        <x:f>'Base SOM'!E79</x:f>
        <x:v>400</x:v>
      </x:c>
      <x:c r="F88" s="24" t="n">
        <x:f>'Base SOM'!F79</x:f>
        <x:v>512.73</x:v>
      </x:c>
      <x:c r="G88" s="24" t="n">
        <x:f>'Base SOM'!G79</x:f>
        <x:v>205092</x:v>
      </x:c>
      <x:c r="H88" s="24" t="n">
        <x:f>'Base SOM'!H79</x:f>
        <x:v>1709.1</x:v>
      </x:c>
      <x:c r="I88" s="27" t="n">
        <x:f>MIN(G88-'Base SOM'!J79,M88+N88)</x:f>
        <x:v>38647.71</x:v>
      </x:c>
      <x:c r="J88" s="27" t="n">
        <x:f>G88-I88</x:f>
        <x:v>166444.29</x:v>
      </x:c>
      <x:c r="K88" s="24" t="n">
        <x:f>'Base SOM'!O79</x:f>
        <x:v>35891.1</x:v>
      </x:c>
      <x:c r="L88" s="24" t="n">
        <x:f>I88-K88</x:f>
        <x:v>2756.6100000000006</x:v>
      </x:c>
      <x:c r="M88" s="24" t="n">
        <x:f>'Base SOM'!P79</x:f>
        <x:v>37600.2</x:v>
      </x:c>
      <x:c r="N88" s="24" t="n">
        <x:f>ROUND('Base SOM'!Q79*DAY($B$4)/DAY(EOMONTH($B$4,0)),2)</x:f>
        <x:v>1047.51</x:v>
      </x:c>
      <x:c r="O88" s="25" t="n">
        <x:f>'Base SOM'!I79</x:f>
        <x:v>120</x:v>
      </x:c>
      <x:c r="P88" s="17" t="str">
        <x:f>'Base SOM'!K79</x:f>
        <x:v>ACTIVE</x:v>
      </x:c>
    </x:row>
    <x:row r="89" ht="46" customHeight="1">
      <x:c r="A89" s="2" t="str">
        <x:f>'Base SOM'!B80</x:f>
        <x:v>MSL-F0019</x:v>
      </x:c>
      <x:c r="B89" s="11" t="str">
        <x:v>Teclado Logitech</x:v>
      </x:c>
      <x:c r="C89" s="11" t="str">
        <x:f>'Base SOM'!C80</x:f>
        <x:v>Teclado Logitech</x:v>
      </x:c>
      <x:c r="D89" s="10" t="n">
        <x:f>'Base SOM'!D80</x:f>
        <x:v>45657</x:v>
      </x:c>
      <x:c r="E89" s="22" t="n">
        <x:f>'Base SOM'!E80</x:f>
        <x:v>60</x:v>
      </x:c>
      <x:c r="F89" s="22" t="n">
        <x:f>'Base SOM'!F80</x:f>
        <x:v>512.73</x:v>
      </x:c>
      <x:c r="G89" s="22" t="n">
        <x:f>'Base SOM'!G80</x:f>
        <x:v>30763.8</x:v>
      </x:c>
      <x:c r="H89" s="22" t="n">
        <x:f>'Base SOM'!H80</x:f>
        <x:v>256.37</x:v>
      </x:c>
      <x:c r="I89" s="26" t="n">
        <x:f>MIN(G89-'Base SOM'!J80,M89+N89)</x:f>
        <x:v>5797.27</x:v>
      </x:c>
      <x:c r="J89" s="26" t="n">
        <x:f>G89-I89</x:f>
        <x:v>24966.53</x:v>
      </x:c>
      <x:c r="K89" s="22" t="n">
        <x:f>'Base SOM'!O80</x:f>
        <x:v>5383.77</x:v>
      </x:c>
      <x:c r="L89" s="22" t="n">
        <x:f>I89-K89</x:f>
        <x:v>413.5</x:v>
      </x:c>
      <x:c r="M89" s="22" t="n">
        <x:f>'Base SOM'!P80</x:f>
        <x:v>5640.14</x:v>
      </x:c>
      <x:c r="N89" s="22" t="n">
        <x:f>ROUND('Base SOM'!Q80*DAY($B$4)/DAY(EOMONTH($B$4,0)),2)</x:f>
        <x:v>157.13</x:v>
      </x:c>
      <x:c r="O89" s="23" t="n">
        <x:f>'Base SOM'!I80</x:f>
        <x:v>120</x:v>
      </x:c>
      <x:c r="P89" s="2" t="str">
        <x:f>'Base SOM'!K80</x:f>
        <x:v>ACTIVE</x:v>
      </x:c>
    </x:row>
    <x:row r="90" ht="46" customHeight="1">
      <x:c r="A90" s="17" t="str">
        <x:f>'Base SOM'!B81</x:f>
        <x:v>MSL-F0020</x:v>
      </x:c>
      <x:c r="B90" s="21" t="str">
        <x:v>Estante mueble oficina</x:v>
      </x:c>
      <x:c r="C90" s="21" t="str">
        <x:f>'Base SOM'!C81</x:f>
        <x:v>Estante mueble oficina Diana</x:v>
      </x:c>
      <x:c r="D90" s="18" t="n">
        <x:f>'Base SOM'!D81</x:f>
        <x:v>45657</x:v>
      </x:c>
      <x:c r="E90" s="24" t="n">
        <x:f>'Base SOM'!E81</x:f>
        <x:v>100</x:v>
      </x:c>
      <x:c r="F90" s="24" t="n">
        <x:f>'Base SOM'!F81</x:f>
        <x:v>512.73</x:v>
      </x:c>
      <x:c r="G90" s="24" t="n">
        <x:f>'Base SOM'!G81</x:f>
        <x:v>51273</x:v>
      </x:c>
      <x:c r="H90" s="24" t="n">
        <x:f>'Base SOM'!H81</x:f>
        <x:v>427.28</x:v>
      </x:c>
      <x:c r="I90" s="27" t="n">
        <x:f>MIN(G90-'Base SOM'!J81,M90+N90)</x:f>
        <x:v>9662.039999999999</x:v>
      </x:c>
      <x:c r="J90" s="27" t="n">
        <x:f>G90-I90</x:f>
        <x:v>41610.96</x:v>
      </x:c>
      <x:c r="K90" s="24" t="n">
        <x:f>'Base SOM'!O81</x:f>
        <x:v>8972.88</x:v>
      </x:c>
      <x:c r="L90" s="24" t="n">
        <x:f>I90-K90</x:f>
        <x:v>689.1599999999999</x:v>
      </x:c>
      <x:c r="M90" s="24" t="n">
        <x:f>'Base SOM'!P81</x:f>
        <x:v>9400.16</x:v>
      </x:c>
      <x:c r="N90" s="24" t="n">
        <x:f>ROUND('Base SOM'!Q81*DAY($B$4)/DAY(EOMONTH($B$4,0)),2)</x:f>
        <x:v>261.88</x:v>
      </x:c>
      <x:c r="O90" s="25" t="n">
        <x:f>'Base SOM'!I81</x:f>
        <x:v>120</x:v>
      </x:c>
      <x:c r="P90" s="17" t="str">
        <x:f>'Base SOM'!K81</x:f>
        <x:v>ACTIVE</x:v>
      </x:c>
    </x:row>
    <x:row r="91" ht="46" customHeight="1">
      <x:c r="A91" s="2" t="str">
        <x:f>'Base SOM'!B82</x:f>
        <x:v>MSL-F0021</x:v>
      </x:c>
      <x:c r="B91" s="11" t="str">
        <x:v>Lampara 20x20 oficina</x:v>
      </x:c>
      <x:c r="C91" s="11" t="str">
        <x:f>'Base SOM'!C82</x:f>
        <x:v>Lampara 20x20 oficina Diana</x:v>
      </x:c>
      <x:c r="D91" s="10" t="n">
        <x:f>'Base SOM'!D82</x:f>
        <x:v>45657</x:v>
      </x:c>
      <x:c r="E91" s="22" t="n">
        <x:f>'Base SOM'!E82</x:f>
        <x:v>120</x:v>
      </x:c>
      <x:c r="F91" s="22" t="n">
        <x:f>'Base SOM'!F82</x:f>
        <x:v>512.73</x:v>
      </x:c>
      <x:c r="G91" s="22" t="n">
        <x:f>'Base SOM'!G82</x:f>
        <x:v>61527.6</x:v>
      </x:c>
      <x:c r="H91" s="22" t="n">
        <x:f>'Base SOM'!H82</x:f>
        <x:v>512.73</x:v>
      </x:c>
      <x:c r="I91" s="26" t="n">
        <x:f>MIN(G91-'Base SOM'!J82,M91+N91)</x:f>
        <x:v>11594.31</x:v>
      </x:c>
      <x:c r="J91" s="26" t="n">
        <x:f>G91-I91</x:f>
        <x:v>49933.29</x:v>
      </x:c>
      <x:c r="K91" s="22" t="n">
        <x:f>'Base SOM'!O82</x:f>
        <x:v>10767.33</x:v>
      </x:c>
      <x:c r="L91" s="22" t="n">
        <x:f>I91-K91</x:f>
        <x:v>826.9799999999996</x:v>
      </x:c>
      <x:c r="M91" s="22" t="n">
        <x:f>'Base SOM'!P82</x:f>
        <x:v>11280.06</x:v>
      </x:c>
      <x:c r="N91" s="22" t="n">
        <x:f>ROUND('Base SOM'!Q82*DAY($B$4)/DAY(EOMONTH($B$4,0)),2)</x:f>
        <x:v>314.25</x:v>
      </x:c>
      <x:c r="O91" s="23" t="n">
        <x:f>'Base SOM'!I82</x:f>
        <x:v>120</x:v>
      </x:c>
      <x:c r="P91" s="2" t="str">
        <x:f>'Base SOM'!K82</x:f>
        <x:v>ACTIVE</x:v>
      </x:c>
    </x:row>
    <x:row r="92" ht="46" customHeight="1">
      <x:c r="A92" s="17" t="str">
        <x:f>'Base SOM'!B83</x:f>
        <x:v>MSL-F0022</x:v>
      </x:c>
      <x:c r="B92" s="21" t="str">
        <x:v>Monitor ASUS 28"</x:v>
      </x:c>
      <x:c r="C92" s="21" t="str">
        <x:f>'Base SOM'!C83</x:f>
        <x:v>Monitor ASUS 28"</x:v>
      </x:c>
      <x:c r="D92" s="18" t="n">
        <x:f>'Base SOM'!D83</x:f>
        <x:v>45657</x:v>
      </x:c>
      <x:c r="E92" s="24" t="n">
        <x:f>'Base SOM'!E83</x:f>
        <x:v>400</x:v>
      </x:c>
      <x:c r="F92" s="24" t="n">
        <x:f>'Base SOM'!F83</x:f>
        <x:v>512.73</x:v>
      </x:c>
      <x:c r="G92" s="24" t="n">
        <x:f>'Base SOM'!G83</x:f>
        <x:v>205092</x:v>
      </x:c>
      <x:c r="H92" s="24" t="n">
        <x:f>'Base SOM'!H83</x:f>
        <x:v>1709.1</x:v>
      </x:c>
      <x:c r="I92" s="27" t="n">
        <x:f>MIN(G92-'Base SOM'!J83,M92+N92)</x:f>
        <x:v>38647.71</x:v>
      </x:c>
      <x:c r="J92" s="27" t="n">
        <x:f>G92-I92</x:f>
        <x:v>166444.29</x:v>
      </x:c>
      <x:c r="K92" s="24" t="n">
        <x:f>'Base SOM'!O83</x:f>
        <x:v>35891.1</x:v>
      </x:c>
      <x:c r="L92" s="24" t="n">
        <x:f>I92-K92</x:f>
        <x:v>2756.6100000000006</x:v>
      </x:c>
      <x:c r="M92" s="24" t="n">
        <x:f>'Base SOM'!P83</x:f>
        <x:v>37600.2</x:v>
      </x:c>
      <x:c r="N92" s="24" t="n">
        <x:f>ROUND('Base SOM'!Q83*DAY($B$4)/DAY(EOMONTH($B$4,0)),2)</x:f>
        <x:v>1047.51</x:v>
      </x:c>
      <x:c r="O92" s="25" t="n">
        <x:f>'Base SOM'!I83</x:f>
        <x:v>120</x:v>
      </x:c>
      <x:c r="P92" s="17" t="str">
        <x:f>'Base SOM'!K83</x:f>
        <x:v>ACTIVE</x:v>
      </x:c>
    </x:row>
    <x:row r="93" ht="46" customHeight="1">
      <x:c r="A93" s="2" t="str">
        <x:f>'Base SOM'!B84</x:f>
        <x:v>MSL-F0023</x:v>
      </x:c>
      <x:c r="B93" s="11" t="str">
        <x:v>HP Deskjet Ink</x:v>
      </x:c>
      <x:c r="C93" s="11" t="str">
        <x:f>'Base SOM'!C84</x:f>
        <x:v>HP Deskjet Ink Advantage 3775</x:v>
      </x:c>
      <x:c r="D93" s="10" t="n">
        <x:f>'Base SOM'!D84</x:f>
        <x:v>45657</x:v>
      </x:c>
      <x:c r="E93" s="22" t="n">
        <x:f>'Base SOM'!E84</x:f>
        <x:v>50</x:v>
      </x:c>
      <x:c r="F93" s="22" t="n">
        <x:f>'Base SOM'!F84</x:f>
        <x:v>512.73</x:v>
      </x:c>
      <x:c r="G93" s="22" t="n">
        <x:f>'Base SOM'!G84</x:f>
        <x:v>25636.5</x:v>
      </x:c>
      <x:c r="H93" s="22" t="n">
        <x:f>'Base SOM'!H84</x:f>
        <x:v>213.64</x:v>
      </x:c>
      <x:c r="I93" s="26" t="n">
        <x:f>MIN(G93-'Base SOM'!J84,M93+N93)</x:f>
        <x:v>4831.0199999999995</x:v>
      </x:c>
      <x:c r="J93" s="26" t="n">
        <x:f>G93-I93</x:f>
        <x:v>20805.48</x:v>
      </x:c>
      <x:c r="K93" s="22" t="n">
        <x:f>'Base SOM'!O84</x:f>
        <x:v>4486.44</x:v>
      </x:c>
      <x:c r="L93" s="22" t="n">
        <x:f>I93-K93</x:f>
        <x:v>344.5799999999999</x:v>
      </x:c>
      <x:c r="M93" s="22" t="n">
        <x:f>'Base SOM'!P84</x:f>
        <x:v>4700.08</x:v>
      </x:c>
      <x:c r="N93" s="22" t="n">
        <x:f>ROUND('Base SOM'!Q84*DAY($B$4)/DAY(EOMONTH($B$4,0)),2)</x:f>
        <x:v>130.94</x:v>
      </x:c>
      <x:c r="O93" s="23" t="n">
        <x:f>'Base SOM'!I84</x:f>
        <x:v>120</x:v>
      </x:c>
      <x:c r="P93" s="2" t="str">
        <x:f>'Base SOM'!K84</x:f>
        <x:v>ACTIVE</x:v>
      </x:c>
    </x:row>
    <x:row r="94" ht="46" customHeight="1">
      <x:c r="A94" s="17" t="str">
        <x:f>'Base SOM'!B85</x:f>
        <x:v>MSL-F0024</x:v>
      </x:c>
      <x:c r="B94" s="21" t="str">
        <x:v>Estante mueble oficina</x:v>
      </x:c>
      <x:c r="C94" s="21" t="str">
        <x:f>'Base SOM'!C85</x:f>
        <x:v>Estante mueble oficina Pabel</x:v>
      </x:c>
      <x:c r="D94" s="18" t="n">
        <x:f>'Base SOM'!D85</x:f>
        <x:v>45657</x:v>
      </x:c>
      <x:c r="E94" s="24" t="n">
        <x:f>'Base SOM'!E85</x:f>
        <x:v>100</x:v>
      </x:c>
      <x:c r="F94" s="24" t="n">
        <x:f>'Base SOM'!F85</x:f>
        <x:v>512.73</x:v>
      </x:c>
      <x:c r="G94" s="24" t="n">
        <x:f>'Base SOM'!G85</x:f>
        <x:v>51273</x:v>
      </x:c>
      <x:c r="H94" s="24" t="n">
        <x:f>'Base SOM'!H85</x:f>
        <x:v>427.28</x:v>
      </x:c>
      <x:c r="I94" s="27" t="n">
        <x:f>MIN(G94-'Base SOM'!J85,M94+N94)</x:f>
        <x:v>9662.039999999999</x:v>
      </x:c>
      <x:c r="J94" s="27" t="n">
        <x:f>G94-I94</x:f>
        <x:v>41610.96</x:v>
      </x:c>
      <x:c r="K94" s="24" t="n">
        <x:f>'Base SOM'!O85</x:f>
        <x:v>8972.88</x:v>
      </x:c>
      <x:c r="L94" s="24" t="n">
        <x:f>I94-K94</x:f>
        <x:v>689.1599999999999</x:v>
      </x:c>
      <x:c r="M94" s="24" t="n">
        <x:f>'Base SOM'!P85</x:f>
        <x:v>9400.16</x:v>
      </x:c>
      <x:c r="N94" s="24" t="n">
        <x:f>ROUND('Base SOM'!Q85*DAY($B$4)/DAY(EOMONTH($B$4,0)),2)</x:f>
        <x:v>261.88</x:v>
      </x:c>
      <x:c r="O94" s="25" t="n">
        <x:f>'Base SOM'!I85</x:f>
        <x:v>120</x:v>
      </x:c>
      <x:c r="P94" s="17" t="str">
        <x:f>'Base SOM'!K85</x:f>
        <x:v>ACTIVE</x:v>
      </x:c>
    </x:row>
    <x:row r="95" ht="46" customHeight="1">
      <x:c r="A95" s="2" t="str">
        <x:f>'Base SOM'!B86</x:f>
        <x:v>MSL-F0025</x:v>
      </x:c>
      <x:c r="B95" s="11" t="str">
        <x:v>Monitor Samsung 27"</x:v>
      </x:c>
      <x:c r="C95" s="11" t="str">
        <x:f>'Base SOM'!C86</x:f>
        <x:v>Monitor Samsung 27" C27F390FHL</x:v>
      </x:c>
      <x:c r="D95" s="10" t="n">
        <x:f>'Base SOM'!D86</x:f>
        <x:v>45657</x:v>
      </x:c>
      <x:c r="E95" s="22" t="n">
        <x:f>'Base SOM'!E86</x:f>
        <x:v>221.75</x:v>
      </x:c>
      <x:c r="F95" s="22" t="n">
        <x:f>'Base SOM'!F86</x:f>
        <x:v>512.73</x:v>
      </x:c>
      <x:c r="G95" s="22" t="n">
        <x:f>'Base SOM'!G86</x:f>
        <x:v>113697.88</x:v>
      </x:c>
      <x:c r="H95" s="22" t="n">
        <x:f>'Base SOM'!H86</x:f>
        <x:v>947.48</x:v>
      </x:c>
      <x:c r="I95" s="26" t="n">
        <x:f>MIN(G95-'Base SOM'!J86,M95+N95)</x:f>
        <x:v>21425.27</x:v>
      </x:c>
      <x:c r="J95" s="26" t="n">
        <x:f>G95-I95</x:f>
        <x:v>92272.61</x:v>
      </x:c>
      <x:c r="K95" s="22" t="n">
        <x:f>'Base SOM'!O86</x:f>
        <x:v>19897.08</x:v>
      </x:c>
      <x:c r="L95" s="22" t="n">
        <x:f>I95-K95</x:f>
        <x:v>1528.1899999999987</x:v>
      </x:c>
      <x:c r="M95" s="22" t="n">
        <x:f>'Base SOM'!P86</x:f>
        <x:v>20844.56</x:v>
      </x:c>
      <x:c r="N95" s="22" t="n">
        <x:f>ROUND('Base SOM'!Q86*DAY($B$4)/DAY(EOMONTH($B$4,0)),2)</x:f>
        <x:v>580.71</x:v>
      </x:c>
      <x:c r="O95" s="23" t="n">
        <x:f>'Base SOM'!I86</x:f>
        <x:v>120</x:v>
      </x:c>
      <x:c r="P95" s="2" t="str">
        <x:f>'Base SOM'!K86</x:f>
        <x:v>ACTIVE</x:v>
      </x:c>
    </x:row>
    <x:row r="96" ht="46" customHeight="1">
      <x:c r="A96" s="17" t="str">
        <x:f>'Base SOM'!B87</x:f>
        <x:v>MSL-F0026</x:v>
      </x:c>
      <x:c r="B96" s="21" t="str">
        <x:v>Lampara 20x20 oficina</x:v>
      </x:c>
      <x:c r="C96" s="21" t="str">
        <x:f>'Base SOM'!C87</x:f>
        <x:v>Lampara 20x20 oficina Aaron</x:v>
      </x:c>
      <x:c r="D96" s="18" t="n">
        <x:f>'Base SOM'!D87</x:f>
        <x:v>45657</x:v>
      </x:c>
      <x:c r="E96" s="24" t="n">
        <x:f>'Base SOM'!E87</x:f>
        <x:v>240</x:v>
      </x:c>
      <x:c r="F96" s="24" t="n">
        <x:f>'Base SOM'!F87</x:f>
        <x:v>512.73</x:v>
      </x:c>
      <x:c r="G96" s="24" t="n">
        <x:f>'Base SOM'!G87</x:f>
        <x:v>123055.2</x:v>
      </x:c>
      <x:c r="H96" s="24" t="n">
        <x:f>'Base SOM'!H87</x:f>
        <x:v>1025.46</x:v>
      </x:c>
      <x:c r="I96" s="27" t="n">
        <x:f>MIN(G96-'Base SOM'!J87,M96+N96)</x:f>
        <x:v>23188.629999999997</x:v>
      </x:c>
      <x:c r="J96" s="27" t="n">
        <x:f>G96-I96</x:f>
        <x:v>99866.57</x:v>
      </x:c>
      <x:c r="K96" s="24" t="n">
        <x:f>'Base SOM'!O87</x:f>
        <x:v>21534.66</x:v>
      </x:c>
      <x:c r="L96" s="24" t="n">
        <x:f>I96-K96</x:f>
        <x:v>1653.9699999999975</x:v>
      </x:c>
      <x:c r="M96" s="24" t="n">
        <x:f>'Base SOM'!P87</x:f>
        <x:v>22560.12</x:v>
      </x:c>
      <x:c r="N96" s="24" t="n">
        <x:f>ROUND('Base SOM'!Q87*DAY($B$4)/DAY(EOMONTH($B$4,0)),2)</x:f>
        <x:v>628.51</x:v>
      </x:c>
      <x:c r="O96" s="25" t="n">
        <x:f>'Base SOM'!I87</x:f>
        <x:v>120</x:v>
      </x:c>
      <x:c r="P96" s="17" t="str">
        <x:f>'Base SOM'!K87</x:f>
        <x:v>ACTIVE</x:v>
      </x:c>
    </x:row>
    <x:row r="97" ht="46" customHeight="1">
      <x:c r="A97" s="2" t="str">
        <x:f>'Base SOM'!B88</x:f>
        <x:v>MSL-F0027</x:v>
      </x:c>
      <x:c r="B97" s="11" t="str">
        <x:v>Lampara 20x20 oficina</x:v>
      </x:c>
      <x:c r="C97" s="11" t="str">
        <x:f>'Base SOM'!C88</x:f>
        <x:v>Lampara 20x20 oficina Pabel</x:v>
      </x:c>
      <x:c r="D97" s="10" t="n">
        <x:f>'Base SOM'!D88</x:f>
        <x:v>45657</x:v>
      </x:c>
      <x:c r="E97" s="22" t="n">
        <x:f>'Base SOM'!E88</x:f>
        <x:v>240</x:v>
      </x:c>
      <x:c r="F97" s="22" t="n">
        <x:f>'Base SOM'!F88</x:f>
        <x:v>512.73</x:v>
      </x:c>
      <x:c r="G97" s="22" t="n">
        <x:f>'Base SOM'!G88</x:f>
        <x:v>123055.2</x:v>
      </x:c>
      <x:c r="H97" s="22" t="n">
        <x:f>'Base SOM'!H88</x:f>
        <x:v>1025.46</x:v>
      </x:c>
      <x:c r="I97" s="26" t="n">
        <x:f>MIN(G97-'Base SOM'!J88,M97+N97)</x:f>
        <x:v>23188.629999999997</x:v>
      </x:c>
      <x:c r="J97" s="26" t="n">
        <x:f>G97-I97</x:f>
        <x:v>99866.57</x:v>
      </x:c>
      <x:c r="K97" s="22" t="n">
        <x:f>'Base SOM'!O88</x:f>
        <x:v>21534.66</x:v>
      </x:c>
      <x:c r="L97" s="22" t="n">
        <x:f>I97-K97</x:f>
        <x:v>1653.9699999999975</x:v>
      </x:c>
      <x:c r="M97" s="22" t="n">
        <x:f>'Base SOM'!P88</x:f>
        <x:v>22560.12</x:v>
      </x:c>
      <x:c r="N97" s="22" t="n">
        <x:f>ROUND('Base SOM'!Q88*DAY($B$4)/DAY(EOMONTH($B$4,0)),2)</x:f>
        <x:v>628.51</x:v>
      </x:c>
      <x:c r="O97" s="23" t="n">
        <x:f>'Base SOM'!I88</x:f>
        <x:v>120</x:v>
      </x:c>
      <x:c r="P97" s="2" t="str">
        <x:f>'Base SOM'!K88</x:f>
        <x:v>ACTIVE</x:v>
      </x:c>
    </x:row>
    <x:row r="98" ht="46" customHeight="1">
      <x:c r="A98" s="17" t="str">
        <x:f>'Base SOM'!B89</x:f>
        <x:v>MSL-F0028</x:v>
      </x:c>
      <x:c r="B98" s="21" t="str">
        <x:v>Lampara 20x20 oficina</x:v>
      </x:c>
      <x:c r="C98" s="21" t="str">
        <x:f>'Base SOM'!C89</x:f>
        <x:v>Lampara 20x20 oficina Abogados</x:v>
      </x:c>
      <x:c r="D98" s="18" t="n">
        <x:f>'Base SOM'!D89</x:f>
        <x:v>45657</x:v>
      </x:c>
      <x:c r="E98" s="24" t="n">
        <x:f>'Base SOM'!E89</x:f>
        <x:v>240</x:v>
      </x:c>
      <x:c r="F98" s="24" t="n">
        <x:f>'Base SOM'!F89</x:f>
        <x:v>512.73</x:v>
      </x:c>
      <x:c r="G98" s="24" t="n">
        <x:f>'Base SOM'!G89</x:f>
        <x:v>123055.2</x:v>
      </x:c>
      <x:c r="H98" s="24" t="n">
        <x:f>'Base SOM'!H89</x:f>
        <x:v>1025.46</x:v>
      </x:c>
      <x:c r="I98" s="27" t="n">
        <x:f>MIN(G98-'Base SOM'!J89,M98+N98)</x:f>
        <x:v>23188.629999999997</x:v>
      </x:c>
      <x:c r="J98" s="27" t="n">
        <x:f>G98-I98</x:f>
        <x:v>99866.57</x:v>
      </x:c>
      <x:c r="K98" s="24" t="n">
        <x:f>'Base SOM'!O89</x:f>
        <x:v>21534.66</x:v>
      </x:c>
      <x:c r="L98" s="24" t="n">
        <x:f>I98-K98</x:f>
        <x:v>1653.9699999999975</x:v>
      </x:c>
      <x:c r="M98" s="24" t="n">
        <x:f>'Base SOM'!P89</x:f>
        <x:v>22560.12</x:v>
      </x:c>
      <x:c r="N98" s="24" t="n">
        <x:f>ROUND('Base SOM'!Q89*DAY($B$4)/DAY(EOMONTH($B$4,0)),2)</x:f>
        <x:v>628.51</x:v>
      </x:c>
      <x:c r="O98" s="25" t="n">
        <x:f>'Base SOM'!I89</x:f>
        <x:v>120</x:v>
      </x:c>
      <x:c r="P98" s="17" t="str">
        <x:f>'Base SOM'!K89</x:f>
        <x:v>ACTIVE</x:v>
      </x:c>
    </x:row>
    <x:row r="99" ht="46" customHeight="1">
      <x:c r="A99" s="2" t="str">
        <x:f>'Base SOM'!B90</x:f>
        <x:v>MSL-F0028-DUP2</x:v>
      </x:c>
      <x:c r="B99" s="11" t="str">
        <x:v>Laptop HP 15ED1014A</x:v>
      </x:c>
      <x:c r="C99" s="11" t="str">
        <x:f>'Base SOM'!C90</x:f>
        <x:v>Laptop HP 15ED1014A</x:v>
      </x:c>
      <x:c r="D99" s="10" t="n">
        <x:f>'Base SOM'!D90</x:f>
        <x:v>45657</x:v>
      </x:c>
      <x:c r="E99" s="22" t="n">
        <x:f>'Base SOM'!E90</x:f>
        <x:v>2200</x:v>
      </x:c>
      <x:c r="F99" s="22" t="n">
        <x:f>'Base SOM'!F90</x:f>
        <x:v>512.73</x:v>
      </x:c>
      <x:c r="G99" s="22" t="n">
        <x:f>'Base SOM'!G90</x:f>
        <x:v>1128006</x:v>
      </x:c>
      <x:c r="H99" s="22" t="n">
        <x:f>'Base SOM'!H90</x:f>
        <x:v>9400.05</x:v>
      </x:c>
      <x:c r="I99" s="26" t="n">
        <x:f>MIN(G99-'Base SOM'!J90,M99+N99)</x:f>
        <x:v>212562.42</x:v>
      </x:c>
      <x:c r="J99" s="26" t="n">
        <x:f>G99-I99</x:f>
        <x:v>915443.58</x:v>
      </x:c>
      <x:c r="K99" s="22" t="n">
        <x:f>'Base SOM'!O90</x:f>
        <x:v>197401.05</x:v>
      </x:c>
      <x:c r="L99" s="22" t="n">
        <x:f>I99-K99</x:f>
        <x:v>15161.370000000024</x:v>
      </x:c>
      <x:c r="M99" s="22" t="n">
        <x:f>'Base SOM'!P90</x:f>
        <x:v>206801.1</x:v>
      </x:c>
      <x:c r="N99" s="22" t="n">
        <x:f>ROUND('Base SOM'!Q90*DAY($B$4)/DAY(EOMONTH($B$4,0)),2)</x:f>
        <x:v>5761.32</x:v>
      </x:c>
      <x:c r="O99" s="23" t="n">
        <x:f>'Base SOM'!I90</x:f>
        <x:v>120</x:v>
      </x:c>
      <x:c r="P99" s="2" t="str">
        <x:f>'Base SOM'!K90</x:f>
        <x:v>ACTIVE</x:v>
      </x:c>
    </x:row>
    <x:row r="100" ht="46" customHeight="1">
      <x:c r="A100" s="17" t="str">
        <x:f>'Base SOM'!B91</x:f>
        <x:v>MSL-F0029</x:v>
      </x:c>
      <x:c r="B100" s="21" t="str">
        <x:v>Laptop DELL</x:v>
      </x:c>
      <x:c r="C100" s="21" t="str">
        <x:f>'Base SOM'!C91</x:f>
        <x:v>Laptop DELL</x:v>
      </x:c>
      <x:c r="D100" s="18" t="n">
        <x:f>'Base SOM'!D91</x:f>
        <x:v>45657</x:v>
      </x:c>
      <x:c r="E100" s="24" t="n">
        <x:f>'Base SOM'!E91</x:f>
        <x:v>1100</x:v>
      </x:c>
      <x:c r="F100" s="24" t="n">
        <x:f>'Base SOM'!F91</x:f>
        <x:v>512.73</x:v>
      </x:c>
      <x:c r="G100" s="24" t="n">
        <x:f>'Base SOM'!G91</x:f>
        <x:v>564003</x:v>
      </x:c>
      <x:c r="H100" s="24" t="n">
        <x:f>'Base SOM'!H91</x:f>
        <x:v>4700.03</x:v>
      </x:c>
      <x:c r="I100" s="27" t="n">
        <x:f>MIN(G100-'Base SOM'!J91,M100+N100)</x:f>
        <x:v>106281.32</x:v>
      </x:c>
      <x:c r="J100" s="27" t="n">
        <x:f>G100-I100</x:f>
        <x:v>457721.68</x:v>
      </x:c>
      <x:c r="K100" s="24" t="n">
        <x:f>'Base SOM'!O91</x:f>
        <x:v>98700.63</x:v>
      </x:c>
      <x:c r="L100" s="24" t="n">
        <x:f>I100-K100</x:f>
        <x:v>7580.690000000002</x:v>
      </x:c>
      <x:c r="M100" s="24" t="n">
        <x:f>'Base SOM'!P91</x:f>
        <x:v>103400.66</x:v>
      </x:c>
      <x:c r="N100" s="24" t="n">
        <x:f>ROUND('Base SOM'!Q91*DAY($B$4)/DAY(EOMONTH($B$4,0)),2)</x:f>
        <x:v>2880.66</x:v>
      </x:c>
      <x:c r="O100" s="25" t="n">
        <x:f>'Base SOM'!I91</x:f>
        <x:v>120</x:v>
      </x:c>
      <x:c r="P100" s="17" t="str">
        <x:f>'Base SOM'!K91</x:f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47d7d0eb07014430"/>
  </x:tableParts>
</x:worksheet>
</file>

<file path=xl/worksheets/sheet2.xml><?xml version="1.0" encoding="utf-8"?>
<x:worksheet xmlns:x="http://schemas.openxmlformats.org/spreadsheetml/2006/main">
  <x:sheetPr>
    <x:tabColor rgb="FF294B60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Activos fijos de MCI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23" customHeight="1">
      <x:c r="A4" s="2" t="str">
        <x:v>Corte</x:v>
      </x:c>
      <x:c r="B4" s="10" t="d">
        <x:v>2026-10-19T00:00:00.000Z</x:v>
      </x:c>
      <x:c r="C4" s="2"/>
      <x:c r="D4" s="2"/>
      <x:c r="E4" s="2"/>
      <x:c r="F4" s="2"/>
      <x:c r="G4" s="2"/>
      <x:c r="H4" s="2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23" customHeight="1">
      <x:c r="A6" s="16" t="str">
        <x:v>Sin activos identificables como MCI en el registro consultado.</x:v>
      </x:c>
      <x:c r="B6" s="16"/>
      <x:c r="C6" s="16"/>
      <x:c r="D6" s="16"/>
      <x:c r="E6" s="16"/>
      <x:c r="F6" s="16"/>
      <x:c r="G6" s="16"/>
      <x:c r="H6" s="1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23" customHeight="1">
      <x:c r="A8" s="2" t="str">
        <x:v>Los 86 registros encontrados tienen codigo MSL y sus asientos asociados pertenecen a MSL-CR.</x:v>
      </x:c>
      <x:c r="B8" s="2"/>
      <x:c r="C8" s="2"/>
      <x:c r="D8" s="2"/>
      <x:c r="E8" s="2"/>
      <x:c r="F8" s="2"/>
      <x:c r="G8" s="2"/>
      <x:c r="H8" s="2"/>
    </x:row>
    <x:row r="9" ht="23" customHeight="1">
      <x:c r="A9" s="2"/>
      <x:c r="B9" s="2"/>
      <x:c r="C9" s="2"/>
      <x:c r="D9" s="2"/>
      <x:c r="E9" s="2"/>
      <x:c r="F9" s="2"/>
      <x:c r="G9" s="2"/>
      <x:c r="H9" s="2"/>
    </x:row>
    <x:row r="10" ht="23" customHeight="1">
      <x:c r="A10" s="2" t="str">
        <x:v>No se duplicaron activos de MSL. Costo y valor neto de MCI: no disponibles, no cero.</x:v>
      </x:c>
      <x:c r="B10" s="2"/>
      <x:c r="C10" s="2"/>
      <x:c r="D10" s="2"/>
      <x:c r="E10" s="2"/>
      <x:c r="F10" s="2"/>
      <x:c r="G10" s="2"/>
      <x:c r="H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</x:row>
    <x:row r="12" ht="23" customHeight="1">
      <x:c r="A12" s="2" t="str">
        <x:v>La tabla de activos no tiene un campo propio de empresa. Para completar MCI se requiere su inventario o una asignacion verificable.</x:v>
      </x:c>
      <x:c r="B12" s="2"/>
      <x:c r="C12" s="2"/>
      <x:c r="D12" s="2"/>
      <x:c r="E12" s="2"/>
      <x:c r="F12" s="2"/>
      <x:c r="G12" s="2"/>
      <x:c r="H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94B6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9" hidden="0" customWidth="1"/>
    <x:col min="3" max="3" width="6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50" hidden="0" customWidth="1"/>
    <x:col min="21" max="21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30" customHeight="1">
      <x:c r="A2" s="3" t="str">
        <x:v>Datos de SOM al 19/10/2026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3" customHeight="1">
      <x:c r="A3" s="2" t="str">
        <x:v>Fuente: Accounting / Activos fijos y calendario de depreciacion. Consulta de solo lectura. Importacion: Activos e Inventario MSL FY2025.xlsx.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50" customHeight="1">
      <x:c r="A5" s="7" t="str">
        <x:v>ID</x:v>
      </x:c>
      <x:c r="B5" s="7" t="str">
        <x:v>Codigo</x:v>
      </x:c>
      <x:c r="C5" s="7" t="str">
        <x:v>Descripcion original</x:v>
      </x:c>
      <x:c r="D5" s="7" t="str">
        <x:v>Compra registrada</x:v>
      </x:c>
      <x:c r="E5" s="7" t="str">
        <x:v>Costo USD</x:v>
      </x:c>
      <x:c r="F5" s="7" t="str">
        <x:v>TC historico</x:v>
      </x:c>
      <x:c r="G5" s="7" t="str">
        <x:v>Costo CRC</x:v>
      </x:c>
      <x:c r="H5" s="7" t="str">
        <x:v>Dep. mensual CRC</x:v>
      </x:c>
      <x:c r="I5" s="7" t="str">
        <x:v>Vida util meses</x:v>
      </x:c>
      <x:c r="J5" s="7" t="str">
        <x:v>Residual CRC</x:v>
      </x:c>
      <x:c r="K5" s="7" t="str">
        <x:v>Estado</x:v>
      </x:c>
      <x:c r="L5" s="7" t="str">
        <x:v>Clasificacion</x:v>
      </x:c>
      <x:c r="M5" s="7" t="str">
        <x:v>Dep. acumulada guardada CRC</x:v>
      </x:c>
      <x:c r="N5" s="7" t="str">
        <x:v>Neto guardado CRC</x:v>
      </x:c>
      <x:c r="O5" s="7" t="str">
        <x:v>Dep. calendario POSTED CRC</x:v>
      </x:c>
      <x:c r="P5" s="7" t="str">
        <x:v>Dep. calendario hasta septiembre CRC</x:v>
      </x:c>
      <x:c r="Q5" s="7" t="str">
        <x:v>Cuota octubre CRC</x:v>
      </x:c>
      <x:c r="R5" s="7" t="str">
        <x:v>Serie</x:v>
      </x:c>
      <x:c r="S5" s="7" t="str">
        <x:v>Ubicacion</x:v>
      </x:c>
      <x:c r="T5" s="7" t="str">
        <x:v>Observaciones originales</x:v>
      </x:c>
      <x:c r="U5" s="7" t="str">
        <x:v>Fecha TC</x:v>
      </x:c>
    </x:row>
    <x:row r="6" ht="46" customHeight="1">
      <x:c r="A6" s="2" t="n">
        <x:v>1</x:v>
      </x:c>
      <x:c r="B6" s="2" t="str">
        <x:v>MSL-A0001</x:v>
      </x:c>
      <x:c r="C6" s="11" t="str">
        <x:v>ESCRITORIO SPACIO 120X60X75CM LISO COLOR CLARO</x:v>
      </x:c>
      <x:c r="D6" s="10" t="d">
        <x:v>2024-12-31T00:00:00.000Z</x:v>
      </x:c>
      <x:c r="E6" s="8" t="n">
        <x:v>280</x:v>
      </x:c>
      <x:c r="F6" s="8" t="n">
        <x:v>512.73</x:v>
      </x:c>
      <x:c r="G6" s="8" t="n">
        <x:v>143564.4</x:v>
      </x:c>
      <x:c r="H6" s="8" t="n">
        <x:v>1196.37</x:v>
      </x:c>
      <x:c r="I6" s="9" t="n">
        <x:v>120</x:v>
      </x:c>
      <x:c r="J6" s="8" t="n">
        <x:v>0</x:v>
      </x:c>
      <x:c r="K6" s="8" t="str">
        <x:v>ACTIVE</x:v>
      </x:c>
      <x:c r="L6" s="8" t="str">
        <x:v>Muebles y enseres</x:v>
      </x:c>
      <x:c r="M6" s="8" t="n">
        <x:v>23927.4</x:v>
      </x:c>
      <x:c r="N6" s="8" t="n">
        <x:v>119637</x:v>
      </x:c>
      <x:c r="O6" s="8" t="n">
        <x:v>25123.77</x:v>
      </x:c>
      <x:c r="P6" s="8" t="n">
        <x:v>26320.14</x:v>
      </x:c>
      <x:c r="Q6" s="8" t="n">
        <x:v>1196.37</x:v>
      </x:c>
      <x:c r="R6" s="2" t="str">
        <x:v>NA</x:v>
      </x:c>
      <x:c r="S6" s="2" t="str">
        <x:v>Area de trabajo</x:v>
      </x:c>
      <x:c r="T6" s="11" t="str">
        <x:v>Comprados en Noviembre</x:v>
      </x:c>
      <x:c r="U6" s="10" t="d">
        <x:v>2024-12-31T00:00:00.000Z</x:v>
      </x:c>
    </x:row>
    <x:row r="7" ht="46" customHeight="1">
      <x:c r="A7" s="2" t="n">
        <x:v>2</x:v>
      </x:c>
      <x:c r="B7" s="2" t="str">
        <x:v>MSL-A0002</x:v>
      </x:c>
      <x:c r="C7" s="11" t="str">
        <x:v>ESCRITORIO SPACIO 120X60X75CM LISO COLOR CLARO</x:v>
      </x:c>
      <x:c r="D7" s="10" t="d">
        <x:v>2024-12-31T00:00:00.000Z</x:v>
      </x:c>
      <x:c r="E7" s="8" t="n">
        <x:v>280</x:v>
      </x:c>
      <x:c r="F7" s="8" t="n">
        <x:v>512.73</x:v>
      </x:c>
      <x:c r="G7" s="8" t="n">
        <x:v>143564.4</x:v>
      </x:c>
      <x:c r="H7" s="8" t="n">
        <x:v>1196.37</x:v>
      </x:c>
      <x:c r="I7" s="9" t="n">
        <x:v>120</x:v>
      </x:c>
      <x:c r="J7" s="8" t="n">
        <x:v>0</x:v>
      </x:c>
      <x:c r="K7" s="8" t="str">
        <x:v>ACTIVE</x:v>
      </x:c>
      <x:c r="L7" s="8" t="str">
        <x:v>Muebles y enseres</x:v>
      </x:c>
      <x:c r="M7" s="8" t="n">
        <x:v>23927.4</x:v>
      </x:c>
      <x:c r="N7" s="8" t="n">
        <x:v>119637</x:v>
      </x:c>
      <x:c r="O7" s="8" t="n">
        <x:v>25123.77</x:v>
      </x:c>
      <x:c r="P7" s="8" t="n">
        <x:v>26320.14</x:v>
      </x:c>
      <x:c r="Q7" s="8" t="n">
        <x:v>1196.37</x:v>
      </x:c>
      <x:c r="R7" s="2" t="str">
        <x:v>NA</x:v>
      </x:c>
      <x:c r="S7" s="2" t="str">
        <x:v>Area de trabajo</x:v>
      </x:c>
      <x:c r="T7" s="11" t="str">
        <x:v>Comprados en Noviembre</x:v>
      </x:c>
      <x:c r="U7" s="10" t="d">
        <x:v>2024-12-31T00:00:00.000Z</x:v>
      </x:c>
    </x:row>
    <x:row r="8" ht="46" customHeight="1">
      <x:c r="A8" s="2" t="n">
        <x:v>3</x:v>
      </x:c>
      <x:c r="B8" s="2" t="str">
        <x:v>MSL-A0003</x:v>
      </x:c>
      <x:c r="C8" s="11" t="str">
        <x:v>ESCRITORIO SPACIO 120X60X75CM LISO COLOR CLARO</x:v>
      </x:c>
      <x:c r="D8" s="10" t="d">
        <x:v>2024-12-31T00:00:00.000Z</x:v>
      </x:c>
      <x:c r="E8" s="8" t="n">
        <x:v>280</x:v>
      </x:c>
      <x:c r="F8" s="8" t="n">
        <x:v>512.73</x:v>
      </x:c>
      <x:c r="G8" s="8" t="n">
        <x:v>143564.4</x:v>
      </x:c>
      <x:c r="H8" s="8" t="n">
        <x:v>1196.37</x:v>
      </x:c>
      <x:c r="I8" s="9" t="n">
        <x:v>120</x:v>
      </x:c>
      <x:c r="J8" s="8" t="n">
        <x:v>0</x:v>
      </x:c>
      <x:c r="K8" s="8" t="str">
        <x:v>ACTIVE</x:v>
      </x:c>
      <x:c r="L8" s="8" t="str">
        <x:v>Muebles y enseres</x:v>
      </x:c>
      <x:c r="M8" s="8" t="n">
        <x:v>23927.4</x:v>
      </x:c>
      <x:c r="N8" s="8" t="n">
        <x:v>119637</x:v>
      </x:c>
      <x:c r="O8" s="8" t="n">
        <x:v>25123.77</x:v>
      </x:c>
      <x:c r="P8" s="8" t="n">
        <x:v>26320.14</x:v>
      </x:c>
      <x:c r="Q8" s="8" t="n">
        <x:v>1196.37</x:v>
      </x:c>
      <x:c r="R8" s="2" t="str">
        <x:v>NA</x:v>
      </x:c>
      <x:c r="S8" s="2" t="str">
        <x:v>Area de trabajo</x:v>
      </x:c>
      <x:c r="T8" s="11" t="str">
        <x:v>Comprados en Noviembre</x:v>
      </x:c>
      <x:c r="U8" s="10" t="d">
        <x:v>2024-12-31T00:00:00.000Z</x:v>
      </x:c>
    </x:row>
    <x:row r="9" ht="46" customHeight="1">
      <x:c r="A9" s="2" t="n">
        <x:v>4</x:v>
      </x:c>
      <x:c r="B9" s="2" t="str">
        <x:v>MSL-A0004</x:v>
      </x:c>
      <x:c r="C9" s="11" t="str">
        <x:v>ESCRITORIO SPACIO 120X60X75CM LISO COLOR CLARO</x:v>
      </x:c>
      <x:c r="D9" s="10" t="d">
        <x:v>2024-12-31T00:00:00.000Z</x:v>
      </x:c>
      <x:c r="E9" s="8" t="n">
        <x:v>280</x:v>
      </x:c>
      <x:c r="F9" s="8" t="n">
        <x:v>512.73</x:v>
      </x:c>
      <x:c r="G9" s="8" t="n">
        <x:v>143564.4</x:v>
      </x:c>
      <x:c r="H9" s="8" t="n">
        <x:v>1196.37</x:v>
      </x:c>
      <x:c r="I9" s="9" t="n">
        <x:v>120</x:v>
      </x:c>
      <x:c r="J9" s="8" t="n">
        <x:v>0</x:v>
      </x:c>
      <x:c r="K9" s="8" t="str">
        <x:v>ACTIVE</x:v>
      </x:c>
      <x:c r="L9" s="8" t="str">
        <x:v>Muebles y enseres</x:v>
      </x:c>
      <x:c r="M9" s="8" t="n">
        <x:v>23927.4</x:v>
      </x:c>
      <x:c r="N9" s="8" t="n">
        <x:v>119637</x:v>
      </x:c>
      <x:c r="O9" s="8" t="n">
        <x:v>25123.77</x:v>
      </x:c>
      <x:c r="P9" s="8" t="n">
        <x:v>26320.14</x:v>
      </x:c>
      <x:c r="Q9" s="8" t="n">
        <x:v>1196.37</x:v>
      </x:c>
      <x:c r="R9" s="2" t="str">
        <x:v>NA</x:v>
      </x:c>
      <x:c r="S9" s="2" t="str">
        <x:v>Area de trabajo</x:v>
      </x:c>
      <x:c r="T9" s="11" t="str">
        <x:v>Comprados en Noviembre</x:v>
      </x:c>
      <x:c r="U9" s="10" t="d">
        <x:v>2024-12-31T00:00:00.000Z</x:v>
      </x:c>
    </x:row>
    <x:row r="10" ht="46" customHeight="1">
      <x:c r="A10" s="2" t="n">
        <x:v>5</x:v>
      </x:c>
      <x:c r="B10" s="2" t="str">
        <x:v>MSL-A0005</x:v>
      </x:c>
      <x:c r="C10" s="11" t="str">
        <x:v>ESCRITORIO SPACIO 120X60X75CM LISO COLOR CLARO</x:v>
      </x:c>
      <x:c r="D10" s="10" t="d">
        <x:v>2024-12-31T00:00:00.000Z</x:v>
      </x:c>
      <x:c r="E10" s="8" t="n">
        <x:v>280</x:v>
      </x:c>
      <x:c r="F10" s="8" t="n">
        <x:v>512.73</x:v>
      </x:c>
      <x:c r="G10" s="8" t="n">
        <x:v>143564.4</x:v>
      </x:c>
      <x:c r="H10" s="8" t="n">
        <x:v>1196.37</x:v>
      </x:c>
      <x:c r="I10" s="9" t="n">
        <x:v>120</x:v>
      </x:c>
      <x:c r="J10" s="8" t="n">
        <x:v>0</x:v>
      </x:c>
      <x:c r="K10" s="8" t="str">
        <x:v>ACTIVE</x:v>
      </x:c>
      <x:c r="L10" s="8" t="str">
        <x:v>Muebles y enseres</x:v>
      </x:c>
      <x:c r="M10" s="8" t="n">
        <x:v>23927.4</x:v>
      </x:c>
      <x:c r="N10" s="8" t="n">
        <x:v>119637</x:v>
      </x:c>
      <x:c r="O10" s="8" t="n">
        <x:v>25123.77</x:v>
      </x:c>
      <x:c r="P10" s="8" t="n">
        <x:v>26320.14</x:v>
      </x:c>
      <x:c r="Q10" s="8" t="n">
        <x:v>1196.37</x:v>
      </x:c>
      <x:c r="R10" s="2" t="str">
        <x:v>NA</x:v>
      </x:c>
      <x:c r="S10" s="2" t="str">
        <x:v>Area de trabajo</x:v>
      </x:c>
      <x:c r="T10" s="11" t="str">
        <x:v>Comprados en Noviembre</x:v>
      </x:c>
      <x:c r="U10" s="10" t="d">
        <x:v>2024-12-31T00:00:00.000Z</x:v>
      </x:c>
    </x:row>
    <x:row r="11" ht="46" customHeight="1">
      <x:c r="A11" s="2" t="n">
        <x:v>6</x:v>
      </x:c>
      <x:c r="B11" s="2" t="str">
        <x:v>MSL-A0006</x:v>
      </x:c>
      <x:c r="C11" s="11" t="str">
        <x:v>ESCRITORIO SPACIO 120X60X75CM LISO COLOR CLARO</x:v>
      </x:c>
      <x:c r="D11" s="10" t="d">
        <x:v>2024-12-31T00:00:00.000Z</x:v>
      </x:c>
      <x:c r="E11" s="8" t="n">
        <x:v>280</x:v>
      </x:c>
      <x:c r="F11" s="8" t="n">
        <x:v>512.73</x:v>
      </x:c>
      <x:c r="G11" s="8" t="n">
        <x:v>143564.4</x:v>
      </x:c>
      <x:c r="H11" s="8" t="n">
        <x:v>1196.37</x:v>
      </x:c>
      <x:c r="I11" s="9" t="n">
        <x:v>120</x:v>
      </x:c>
      <x:c r="J11" s="8" t="n">
        <x:v>0</x:v>
      </x:c>
      <x:c r="K11" s="8" t="str">
        <x:v>ACTIVE</x:v>
      </x:c>
      <x:c r="L11" s="8" t="str">
        <x:v>Muebles y enseres</x:v>
      </x:c>
      <x:c r="M11" s="8" t="n">
        <x:v>23927.4</x:v>
      </x:c>
      <x:c r="N11" s="8" t="n">
        <x:v>119637</x:v>
      </x:c>
      <x:c r="O11" s="8" t="n">
        <x:v>25123.77</x:v>
      </x:c>
      <x:c r="P11" s="8" t="n">
        <x:v>26320.14</x:v>
      </x:c>
      <x:c r="Q11" s="8" t="n">
        <x:v>1196.37</x:v>
      </x:c>
      <x:c r="R11" s="2" t="str">
        <x:v>NA</x:v>
      </x:c>
      <x:c r="S11" s="2" t="str">
        <x:v>Area de trabajo</x:v>
      </x:c>
      <x:c r="T11" s="11" t="str">
        <x:v>Comprados en Noviembre</x:v>
      </x:c>
      <x:c r="U11" s="10" t="d">
        <x:v>2024-12-31T00:00:00.000Z</x:v>
      </x:c>
    </x:row>
    <x:row r="12" ht="46" customHeight="1">
      <x:c r="A12" s="2" t="n">
        <x:v>18</x:v>
      </x:c>
      <x:c r="B12" s="2" t="str">
        <x:v>MSL-A0007</x:v>
      </x:c>
      <x:c r="C12" s="11" t="str">
        <x:v>SILLA SECRETARIAL KUNA GRIS BASE NYLON GRIS</x:v>
      </x:c>
      <x:c r="D12" s="10" t="d">
        <x:v>2024-12-31T00:00:00.000Z</x:v>
      </x:c>
      <x:c r="E12" s="8" t="n">
        <x:v>120</x:v>
      </x:c>
      <x:c r="F12" s="8" t="n">
        <x:v>512.73</x:v>
      </x:c>
      <x:c r="G12" s="8" t="n">
        <x:v>61527.6</x:v>
      </x:c>
      <x:c r="H12" s="8" t="n">
        <x:v>512.73</x:v>
      </x:c>
      <x:c r="I12" s="9" t="n">
        <x:v>120</x:v>
      </x:c>
      <x:c r="J12" s="8" t="n">
        <x:v>0</x:v>
      </x:c>
      <x:c r="K12" s="8" t="str">
        <x:v>ACTIVE</x:v>
      </x:c>
      <x:c r="L12" s="8" t="str">
        <x:v>Muebles y enseres</x:v>
      </x:c>
      <x:c r="M12" s="8" t="n">
        <x:v>10254.6</x:v>
      </x:c>
      <x:c r="N12" s="8" t="n">
        <x:v>51273</x:v>
      </x:c>
      <x:c r="O12" s="8" t="n">
        <x:v>10767.33</x:v>
      </x:c>
      <x:c r="P12" s="8" t="n">
        <x:v>11280.06</x:v>
      </x:c>
      <x:c r="Q12" s="8" t="n">
        <x:v>512.73</x:v>
      </x:c>
      <x:c r="R12" s="2" t="str">
        <x:v>NA</x:v>
      </x:c>
      <x:c r="S12" s="2" t="str">
        <x:v>Area de trabajo</x:v>
      </x:c>
      <x:c r="T12" s="11" t="str">
        <x:v>Comprados en Noviembre</x:v>
      </x:c>
      <x:c r="U12" s="10" t="d">
        <x:v>2024-12-31T00:00:00.000Z</x:v>
      </x:c>
    </x:row>
    <x:row r="13" ht="46" customHeight="1">
      <x:c r="A13" s="2" t="n">
        <x:v>19</x:v>
      </x:c>
      <x:c r="B13" s="2" t="str">
        <x:v>MSL-A0008</x:v>
      </x:c>
      <x:c r="C13" s="11" t="str">
        <x:v>SILLA SECRETARIAL KUNA GRIS BASE NYLON GRIS</x:v>
      </x:c>
      <x:c r="D13" s="10" t="d">
        <x:v>2024-12-31T00:00:00.000Z</x:v>
      </x:c>
      <x:c r="E13" s="8" t="n">
        <x:v>120</x:v>
      </x:c>
      <x:c r="F13" s="8" t="n">
        <x:v>512.73</x:v>
      </x:c>
      <x:c r="G13" s="8" t="n">
        <x:v>61527.6</x:v>
      </x:c>
      <x:c r="H13" s="8" t="n">
        <x:v>512.73</x:v>
      </x:c>
      <x:c r="I13" s="9" t="n">
        <x:v>120</x:v>
      </x:c>
      <x:c r="J13" s="8" t="n">
        <x:v>0</x:v>
      </x:c>
      <x:c r="K13" s="8" t="str">
        <x:v>ACTIVE</x:v>
      </x:c>
      <x:c r="L13" s="8" t="str">
        <x:v>Muebles y enseres</x:v>
      </x:c>
      <x:c r="M13" s="8" t="n">
        <x:v>10254.6</x:v>
      </x:c>
      <x:c r="N13" s="8" t="n">
        <x:v>51273</x:v>
      </x:c>
      <x:c r="O13" s="8" t="n">
        <x:v>10767.33</x:v>
      </x:c>
      <x:c r="P13" s="8" t="n">
        <x:v>11280.06</x:v>
      </x:c>
      <x:c r="Q13" s="8" t="n">
        <x:v>512.73</x:v>
      </x:c>
      <x:c r="R13" s="2" t="str">
        <x:v>NA</x:v>
      </x:c>
      <x:c r="S13" s="2" t="str">
        <x:v>Area de trabajo</x:v>
      </x:c>
      <x:c r="T13" s="11" t="str">
        <x:v>Comprados en Noviembre</x:v>
      </x:c>
      <x:c r="U13" s="10" t="d">
        <x:v>2024-12-31T00:00:00.000Z</x:v>
      </x:c>
    </x:row>
    <x:row r="14" ht="46" customHeight="1">
      <x:c r="A14" s="2" t="n">
        <x:v>20</x:v>
      </x:c>
      <x:c r="B14" s="2" t="str">
        <x:v>MSL-A0009</x:v>
      </x:c>
      <x:c r="C14" s="11" t="str">
        <x:v>SILLA SECRETARIAL KUNA GRIS BASE NYLON GRIS</x:v>
      </x:c>
      <x:c r="D14" s="10" t="d">
        <x:v>2024-12-31T00:00:00.000Z</x:v>
      </x:c>
      <x:c r="E14" s="8" t="n">
        <x:v>120</x:v>
      </x:c>
      <x:c r="F14" s="8" t="n">
        <x:v>512.73</x:v>
      </x:c>
      <x:c r="G14" s="8" t="n">
        <x:v>61527.6</x:v>
      </x:c>
      <x:c r="H14" s="8" t="n">
        <x:v>512.73</x:v>
      </x:c>
      <x:c r="I14" s="9" t="n">
        <x:v>120</x:v>
      </x:c>
      <x:c r="J14" s="8" t="n">
        <x:v>0</x:v>
      </x:c>
      <x:c r="K14" s="8" t="str">
        <x:v>ACTIVE</x:v>
      </x:c>
      <x:c r="L14" s="8" t="str">
        <x:v>Muebles y enseres</x:v>
      </x:c>
      <x:c r="M14" s="8" t="n">
        <x:v>10254.6</x:v>
      </x:c>
      <x:c r="N14" s="8" t="n">
        <x:v>51273</x:v>
      </x:c>
      <x:c r="O14" s="8" t="n">
        <x:v>10767.33</x:v>
      </x:c>
      <x:c r="P14" s="8" t="n">
        <x:v>11280.06</x:v>
      </x:c>
      <x:c r="Q14" s="8" t="n">
        <x:v>512.73</x:v>
      </x:c>
      <x:c r="R14" s="2" t="str">
        <x:v>NA</x:v>
      </x:c>
      <x:c r="S14" s="2" t="str">
        <x:v>Area de trabajo</x:v>
      </x:c>
      <x:c r="T14" s="11" t="str">
        <x:v>Comprados en Noviembre</x:v>
      </x:c>
      <x:c r="U14" s="10" t="d">
        <x:v>2024-12-31T00:00:00.000Z</x:v>
      </x:c>
    </x:row>
    <x:row r="15" ht="46" customHeight="1">
      <x:c r="A15" s="2" t="n">
        <x:v>21</x:v>
      </x:c>
      <x:c r="B15" s="2" t="str">
        <x:v>MSL-A0010</x:v>
      </x:c>
      <x:c r="C15" s="11" t="str">
        <x:v>SILLA SECRETARIAL KUNA GRIS BASE NYLON GRIS</x:v>
      </x:c>
      <x:c r="D15" s="10" t="d">
        <x:v>2024-12-31T00:00:00.000Z</x:v>
      </x:c>
      <x:c r="E15" s="8" t="n">
        <x:v>120</x:v>
      </x:c>
      <x:c r="F15" s="8" t="n">
        <x:v>512.73</x:v>
      </x:c>
      <x:c r="G15" s="8" t="n">
        <x:v>61527.6</x:v>
      </x:c>
      <x:c r="H15" s="8" t="n">
        <x:v>512.73</x:v>
      </x:c>
      <x:c r="I15" s="9" t="n">
        <x:v>120</x:v>
      </x:c>
      <x:c r="J15" s="8" t="n">
        <x:v>0</x:v>
      </x:c>
      <x:c r="K15" s="8" t="str">
        <x:v>ACTIVE</x:v>
      </x:c>
      <x:c r="L15" s="8" t="str">
        <x:v>Muebles y enseres</x:v>
      </x:c>
      <x:c r="M15" s="8" t="n">
        <x:v>10254.6</x:v>
      </x:c>
      <x:c r="N15" s="8" t="n">
        <x:v>51273</x:v>
      </x:c>
      <x:c r="O15" s="8" t="n">
        <x:v>10767.33</x:v>
      </x:c>
      <x:c r="P15" s="8" t="n">
        <x:v>11280.06</x:v>
      </x:c>
      <x:c r="Q15" s="8" t="n">
        <x:v>512.73</x:v>
      </x:c>
      <x:c r="R15" s="2" t="str">
        <x:v>NA</x:v>
      </x:c>
      <x:c r="S15" s="2" t="str">
        <x:v>Area de trabajo</x:v>
      </x:c>
      <x:c r="T15" s="11" t="str">
        <x:v>Comprados en Noviembre</x:v>
      </x:c>
      <x:c r="U15" s="10" t="d">
        <x:v>2024-12-31T00:00:00.000Z</x:v>
      </x:c>
    </x:row>
    <x:row r="16" ht="46" customHeight="1">
      <x:c r="A16" s="2" t="n">
        <x:v>22</x:v>
      </x:c>
      <x:c r="B16" s="2" t="str">
        <x:v>MSL-A0011</x:v>
      </x:c>
      <x:c r="C16" s="11" t="str">
        <x:v>SILLA SECRETARIAL KUNA GRIS BASE NYLON GRIS</x:v>
      </x:c>
      <x:c r="D16" s="10" t="d">
        <x:v>2024-12-31T00:00:00.000Z</x:v>
      </x:c>
      <x:c r="E16" s="8" t="n">
        <x:v>120</x:v>
      </x:c>
      <x:c r="F16" s="8" t="n">
        <x:v>512.73</x:v>
      </x:c>
      <x:c r="G16" s="8" t="n">
        <x:v>61527.6</x:v>
      </x:c>
      <x:c r="H16" s="8" t="n">
        <x:v>512.73</x:v>
      </x:c>
      <x:c r="I16" s="9" t="n">
        <x:v>120</x:v>
      </x:c>
      <x:c r="J16" s="8" t="n">
        <x:v>0</x:v>
      </x:c>
      <x:c r="K16" s="8" t="str">
        <x:v>ACTIVE</x:v>
      </x:c>
      <x:c r="L16" s="8" t="str">
        <x:v>Muebles y enseres</x:v>
      </x:c>
      <x:c r="M16" s="8" t="n">
        <x:v>10254.6</x:v>
      </x:c>
      <x:c r="N16" s="8" t="n">
        <x:v>51273</x:v>
      </x:c>
      <x:c r="O16" s="8" t="n">
        <x:v>10767.33</x:v>
      </x:c>
      <x:c r="P16" s="8" t="n">
        <x:v>11280.06</x:v>
      </x:c>
      <x:c r="Q16" s="8" t="n">
        <x:v>512.73</x:v>
      </x:c>
      <x:c r="R16" s="2" t="str">
        <x:v>NA</x:v>
      </x:c>
      <x:c r="S16" s="2" t="str">
        <x:v>Area de trabajo</x:v>
      </x:c>
      <x:c r="T16" s="11" t="str">
        <x:v>Comprados en Noviembre</x:v>
      </x:c>
      <x:c r="U16" s="10" t="d">
        <x:v>2024-12-31T00:00:00.000Z</x:v>
      </x:c>
    </x:row>
    <x:row r="17" ht="46" customHeight="1">
      <x:c r="A17" s="2" t="n">
        <x:v>23</x:v>
      </x:c>
      <x:c r="B17" s="2" t="str">
        <x:v>MSL-A0012</x:v>
      </x:c>
      <x:c r="C17" s="11" t="str">
        <x:v>SILLA SECRETARIAL KUNA GRIS BASE NYLON GRIS</x:v>
      </x:c>
      <x:c r="D17" s="10" t="d">
        <x:v>2024-12-31T00:00:00.000Z</x:v>
      </x:c>
      <x:c r="E17" s="8" t="n">
        <x:v>120</x:v>
      </x:c>
      <x:c r="F17" s="8" t="n">
        <x:v>512.73</x:v>
      </x:c>
      <x:c r="G17" s="8" t="n">
        <x:v>61527.6</x:v>
      </x:c>
      <x:c r="H17" s="8" t="n">
        <x:v>512.73</x:v>
      </x:c>
      <x:c r="I17" s="9" t="n">
        <x:v>120</x:v>
      </x:c>
      <x:c r="J17" s="8" t="n">
        <x:v>0</x:v>
      </x:c>
      <x:c r="K17" s="8" t="str">
        <x:v>ACTIVE</x:v>
      </x:c>
      <x:c r="L17" s="8" t="str">
        <x:v>Muebles y enseres</x:v>
      </x:c>
      <x:c r="M17" s="8" t="n">
        <x:v>10254.6</x:v>
      </x:c>
      <x:c r="N17" s="8" t="n">
        <x:v>51273</x:v>
      </x:c>
      <x:c r="O17" s="8" t="n">
        <x:v>10767.33</x:v>
      </x:c>
      <x:c r="P17" s="8" t="n">
        <x:v>11280.06</x:v>
      </x:c>
      <x:c r="Q17" s="8" t="n">
        <x:v>512.73</x:v>
      </x:c>
      <x:c r="R17" s="2" t="str">
        <x:v>NA</x:v>
      </x:c>
      <x:c r="S17" s="2" t="str">
        <x:v>Area de trabajo</x:v>
      </x:c>
      <x:c r="T17" s="11" t="str">
        <x:v>Comprados en Noviembre</x:v>
      </x:c>
      <x:c r="U17" s="10" t="d">
        <x:v>2024-12-31T00:00:00.000Z</x:v>
      </x:c>
    </x:row>
    <x:row r="18" ht="46" customHeight="1">
      <x:c r="A18" s="2" t="n">
        <x:v>24</x:v>
      </x:c>
      <x:c r="B18" s="2" t="str">
        <x:v>MSL-A0013</x:v>
      </x:c>
      <x:c r="C18" s="11" t="str">
        <x:v>GABINETE 2 GAVETAS 50X48X75CM COLOR CLARO</x:v>
      </x:c>
      <x:c r="D18" s="10" t="d">
        <x:v>2024-12-31T00:00:00.000Z</x:v>
      </x:c>
      <x:c r="E18" s="8" t="n">
        <x:v>190</x:v>
      </x:c>
      <x:c r="F18" s="8" t="n">
        <x:v>512.73</x:v>
      </x:c>
      <x:c r="G18" s="8" t="n">
        <x:v>97418.7</x:v>
      </x:c>
      <x:c r="H18" s="8" t="n">
        <x:v>811.82</x:v>
      </x:c>
      <x:c r="I18" s="9" t="n">
        <x:v>120</x:v>
      </x:c>
      <x:c r="J18" s="8" t="n">
        <x:v>0</x:v>
      </x:c>
      <x:c r="K18" s="8" t="str">
        <x:v>ACTIVE</x:v>
      </x:c>
      <x:c r="L18" s="8" t="str">
        <x:v>Muebles y enseres</x:v>
      </x:c>
      <x:c r="M18" s="8" t="n">
        <x:v>16236.4</x:v>
      </x:c>
      <x:c r="N18" s="8" t="n">
        <x:v>81182.3</x:v>
      </x:c>
      <x:c r="O18" s="8" t="n">
        <x:v>17048.22</x:v>
      </x:c>
      <x:c r="P18" s="8" t="n">
        <x:v>17860.04</x:v>
      </x:c>
      <x:c r="Q18" s="8" t="n">
        <x:v>811.82</x:v>
      </x:c>
      <x:c r="R18" s="2" t="str">
        <x:v>NA</x:v>
      </x:c>
      <x:c r="S18" s="2" t="str">
        <x:v>Area de trabajo</x:v>
      </x:c>
      <x:c r="T18" s="11" t="str">
        <x:v>Comprados en Noviembre</x:v>
      </x:c>
      <x:c r="U18" s="10" t="d">
        <x:v>2024-12-31T00:00:00.000Z</x:v>
      </x:c>
    </x:row>
    <x:row r="19" ht="46" customHeight="1">
      <x:c r="A19" s="2" t="n">
        <x:v>47</x:v>
      </x:c>
      <x:c r="B19" s="2" t="str">
        <x:v>MSL-A0014</x:v>
      </x:c>
      <x:c r="C19" s="11" t="str">
        <x:v>EPSON Ecotank</x:v>
      </x:c>
      <x:c r="D19" s="10" t="d">
        <x:v>2024-12-31T00:00:00.000Z</x:v>
      </x:c>
      <x:c r="E19" s="8" t="n">
        <x:v>450</x:v>
      </x:c>
      <x:c r="F19" s="8" t="n">
        <x:v>512.73</x:v>
      </x:c>
      <x:c r="G19" s="8" t="n">
        <x:v>230728.5</x:v>
      </x:c>
      <x:c r="H19" s="8" t="n">
        <x:v>1922.74</x:v>
      </x:c>
      <x:c r="I19" s="9" t="n">
        <x:v>120</x:v>
      </x:c>
      <x:c r="J19" s="8" t="n">
        <x:v>0</x:v>
      </x:c>
      <x:c r="K19" s="8" t="str">
        <x:v>ACTIVE</x:v>
      </x:c>
      <x:c r="L19" s="8" t="str">
        <x:v>Equipos de oficina</x:v>
      </x:c>
      <x:c r="M19" s="8" t="n">
        <x:v>38454.8</x:v>
      </x:c>
      <x:c r="N19" s="8" t="n">
        <x:v>192273.7</x:v>
      </x:c>
      <x:c r="O19" s="8" t="n">
        <x:v>40377.54</x:v>
      </x:c>
      <x:c r="P19" s="8" t="n">
        <x:v>42300.28</x:v>
      </x:c>
      <x:c r="Q19" s="8" t="n">
        <x:v>1922.74</x:v>
      </x:c>
      <x:c r="R19" s="2" t="str">
        <x:v>L3250</x:v>
      </x:c>
      <x:c r="S19" s="2" t="str">
        <x:v>Area de trabajo</x:v>
      </x:c>
      <x:c r="T19" s="11" t="str">
        <x:v>NA</x:v>
      </x:c>
      <x:c r="U19" s="10" t="d">
        <x:v>2024-12-31T00:00:00.000Z</x:v>
      </x:c>
    </x:row>
    <x:row r="20" ht="46" customHeight="1">
      <x:c r="A20" s="2" t="n">
        <x:v>49</x:v>
      </x:c>
      <x:c r="B20" s="2" t="str">
        <x:v>MSL-A0015</x:v>
      </x:c>
      <x:c r="C20" s="11" t="str">
        <x:v>Monitor HP 24"</x:v>
      </x:c>
      <x:c r="D20" s="10" t="d">
        <x:v>2024-12-31T00:00:00.000Z</x:v>
      </x:c>
      <x:c r="E20" s="8" t="n">
        <x:v>100</x:v>
      </x:c>
      <x:c r="F20" s="8" t="n">
        <x:v>512.73</x:v>
      </x:c>
      <x:c r="G20" s="8" t="n">
        <x:v>51273</x:v>
      </x:c>
      <x:c r="H20" s="8" t="n">
        <x:v>427.28</x:v>
      </x:c>
      <x:c r="I20" s="9" t="n">
        <x:v>120</x:v>
      </x:c>
      <x:c r="J20" s="8" t="n">
        <x:v>0</x:v>
      </x:c>
      <x:c r="K20" s="8" t="str">
        <x:v>ACTIVE</x:v>
      </x:c>
      <x:c r="L20" s="8" t="str">
        <x:v>Equipos de oficina</x:v>
      </x:c>
      <x:c r="M20" s="8" t="n">
        <x:v>8545.6</x:v>
      </x:c>
      <x:c r="N20" s="8" t="n">
        <x:v>42727.4</x:v>
      </x:c>
      <x:c r="O20" s="8" t="n">
        <x:v>8972.88</x:v>
      </x:c>
      <x:c r="P20" s="8" t="n">
        <x:v>9400.16</x:v>
      </x:c>
      <x:c r="Q20" s="8" t="n">
        <x:v>427.28</x:v>
      </x:c>
      <x:c r="R20" s="2" t="str">
        <x:v>CNK3130F01</x:v>
      </x:c>
      <x:c r="S20" s="2" t="str">
        <x:v>Area de trabajo</x:v>
      </x:c>
      <x:c r="T20" s="11" t="str">
        <x:v>Comprados en Enero</x:v>
      </x:c>
      <x:c r="U20" s="10" t="d">
        <x:v>2024-12-31T00:00:00.000Z</x:v>
      </x:c>
    </x:row>
    <x:row r="21" ht="46" customHeight="1">
      <x:c r="A21" s="2" t="n">
        <x:v>50</x:v>
      </x:c>
      <x:c r="B21" s="2" t="str">
        <x:v>MSL-A0016</x:v>
      </x:c>
      <x:c r="C21" s="11" t="str">
        <x:v>Mouse Logitech</x:v>
      </x:c>
      <x:c r="D21" s="10" t="d">
        <x:v>2024-12-31T00:00:00.000Z</x:v>
      </x:c>
      <x:c r="E21" s="8" t="n">
        <x:v>18</x:v>
      </x:c>
      <x:c r="F21" s="8" t="n">
        <x:v>512.73</x:v>
      </x:c>
      <x:c r="G21" s="8" t="n">
        <x:v>9229.14</x:v>
      </x:c>
      <x:c r="H21" s="8" t="n">
        <x:v>76.91</x:v>
      </x:c>
      <x:c r="I21" s="9" t="n">
        <x:v>120</x:v>
      </x:c>
      <x:c r="J21" s="8" t="n">
        <x:v>0</x:v>
      </x:c>
      <x:c r="K21" s="8" t="str">
        <x:v>ACTIVE</x:v>
      </x:c>
      <x:c r="L21" s="8" t="str">
        <x:v>Equipos de oficina</x:v>
      </x:c>
      <x:c r="M21" s="8" t="n">
        <x:v>1538.2</x:v>
      </x:c>
      <x:c r="N21" s="8" t="n">
        <x:v>7690.94</x:v>
      </x:c>
      <x:c r="O21" s="8" t="n">
        <x:v>1615.11</x:v>
      </x:c>
      <x:c r="P21" s="8" t="n">
        <x:v>1692.02</x:v>
      </x:c>
      <x:c r="Q21" s="8" t="n">
        <x:v>76.91</x:v>
      </x:c>
      <x:c r="R21" s="2" t="str">
        <x:v>ESD-1307221C</x:v>
      </x:c>
      <x:c r="S21" s="2" t="str">
        <x:v>Area de trabajo</x:v>
      </x:c>
      <x:c r="T21" s="11" t="str">
        <x:v>Comprados en Enero</x:v>
      </x:c>
      <x:c r="U21" s="10" t="d">
        <x:v>2024-12-31T00:00:00.000Z</x:v>
      </x:c>
    </x:row>
    <x:row r="22" ht="46" customHeight="1">
      <x:c r="A22" s="2" t="n">
        <x:v>51</x:v>
      </x:c>
      <x:c r="B22" s="2" t="str">
        <x:v>MSL-A0017</x:v>
      </x:c>
      <x:c r="C22" s="11" t="str">
        <x:v>Logitec telcado</x:v>
      </x:c>
      <x:c r="D22" s="10" t="d">
        <x:v>2024-12-31T00:00:00.000Z</x:v>
      </x:c>
      <x:c r="E22" s="8" t="n">
        <x:v>42.85</x:v>
      </x:c>
      <x:c r="F22" s="8" t="n">
        <x:v>512.73</x:v>
      </x:c>
      <x:c r="G22" s="8" t="n">
        <x:v>21970.48</x:v>
      </x:c>
      <x:c r="H22" s="8" t="n">
        <x:v>183.09</x:v>
      </x:c>
      <x:c r="I22" s="9" t="n">
        <x:v>120</x:v>
      </x:c>
      <x:c r="J22" s="8" t="n">
        <x:v>0</x:v>
      </x:c>
      <x:c r="K22" s="8" t="str">
        <x:v>ACTIVE</x:v>
      </x:c>
      <x:c r="L22" s="8" t="str">
        <x:v>Equipos de oficina</x:v>
      </x:c>
      <x:c r="M22" s="8" t="n">
        <x:v>3661.8</x:v>
      </x:c>
      <x:c r="N22" s="8" t="n">
        <x:v>18308.68</x:v>
      </x:c>
      <x:c r="O22" s="8" t="n">
        <x:v>3844.89</x:v>
      </x:c>
      <x:c r="P22" s="8" t="n">
        <x:v>4027.98</x:v>
      </x:c>
      <x:c r="Q22" s="8" t="n">
        <x:v>183.09</x:v>
      </x:c>
      <x:c r="R22" s="2" t="str">
        <x:v>2404SC1043T8</x:v>
      </x:c>
      <x:c r="S22" s="2" t="str">
        <x:v>Area de trabajo</x:v>
      </x:c>
      <x:c r="T22" s="11" t="str">
        <x:v>Comprados en Enero</x:v>
      </x:c>
      <x:c r="U22" s="10" t="d">
        <x:v>2024-12-31T00:00:00.000Z</x:v>
      </x:c>
    </x:row>
    <x:row r="23" ht="46" customHeight="1">
      <x:c r="A23" s="2" t="n">
        <x:v>52</x:v>
      </x:c>
      <x:c r="B23" s="2" t="str">
        <x:v>MSL-A0018</x:v>
      </x:c>
      <x:c r="C23" s="11" t="str">
        <x:v>Laptop HP</x:v>
      </x:c>
      <x:c r="D23" s="10" t="d">
        <x:v>2024-12-31T00:00:00.000Z</x:v>
      </x:c>
      <x:c r="E23" s="8" t="n">
        <x:v>490</x:v>
      </x:c>
      <x:c r="F23" s="8" t="n">
        <x:v>512.73</x:v>
      </x:c>
      <x:c r="G23" s="8" t="n">
        <x:v>251237.7</x:v>
      </x:c>
      <x:c r="H23" s="8" t="n">
        <x:v>2093.65</x:v>
      </x:c>
      <x:c r="I23" s="9" t="n">
        <x:v>120</x:v>
      </x:c>
      <x:c r="J23" s="8" t="n">
        <x:v>0</x:v>
      </x:c>
      <x:c r="K23" s="8" t="str">
        <x:v>ACTIVE</x:v>
      </x:c>
      <x:c r="L23" s="8" t="str">
        <x:v>Equipos de oficina</x:v>
      </x:c>
      <x:c r="M23" s="8" t="n">
        <x:v>41873</x:v>
      </x:c>
      <x:c r="N23" s="8" t="n">
        <x:v>209364.7</x:v>
      </x:c>
      <x:c r="O23" s="8" t="n">
        <x:v>43966.65</x:v>
      </x:c>
      <x:c r="P23" s="8" t="n">
        <x:v>46060.3</x:v>
      </x:c>
      <x:c r="Q23" s="8" t="n">
        <x:v>2093.65</x:v>
      </x:c>
      <x:c r="R23" s="2" t="str">
        <x:v>5CD335939N</x:v>
      </x:c>
      <x:c r="S23" s="2" t="str">
        <x:v>Area de trabajo</x:v>
      </x:c>
      <x:c r="T23" s="11" t="str">
        <x:v>Comprados en Enero</x:v>
      </x:c>
      <x:c r="U23" s="10" t="d">
        <x:v>2024-12-31T00:00:00.000Z</x:v>
      </x:c>
    </x:row>
    <x:row r="24" ht="46" customHeight="1">
      <x:c r="A24" s="2" t="n">
        <x:v>53</x:v>
      </x:c>
      <x:c r="B24" s="2" t="str">
        <x:v>MSL-A0019</x:v>
      </x:c>
      <x:c r="C24" s="11" t="str">
        <x:v>AT&amp;T Telefono inalambrico DL72240</x:v>
      </x:c>
      <x:c r="D24" s="10" t="d">
        <x:v>2024-12-31T00:00:00.000Z</x:v>
      </x:c>
      <x:c r="E24" s="8" t="n">
        <x:v>58.5</x:v>
      </x:c>
      <x:c r="F24" s="8" t="n">
        <x:v>512.73</x:v>
      </x:c>
      <x:c r="G24" s="8" t="n">
        <x:v>29994.71</x:v>
      </x:c>
      <x:c r="H24" s="8" t="n">
        <x:v>249.96</x:v>
      </x:c>
      <x:c r="I24" s="9" t="n">
        <x:v>120</x:v>
      </x:c>
      <x:c r="J24" s="8" t="n">
        <x:v>0</x:v>
      </x:c>
      <x:c r="K24" s="8" t="str">
        <x:v>ACTIVE</x:v>
      </x:c>
      <x:c r="L24" s="8" t="str">
        <x:v>Equipos de oficina</x:v>
      </x:c>
      <x:c r="M24" s="8" t="n">
        <x:v>4999.2</x:v>
      </x:c>
      <x:c r="N24" s="8" t="n">
        <x:v>24995.51</x:v>
      </x:c>
      <x:c r="O24" s="8" t="n">
        <x:v>5249.16</x:v>
      </x:c>
      <x:c r="P24" s="8" t="n">
        <x:v>5499.12</x:v>
      </x:c>
      <x:c r="Q24" s="8" t="n">
        <x:v>249.96</x:v>
      </x:c>
      <x:c r="R24" s="2" t="str">
        <x:v>8U000493994-A</x:v>
      </x:c>
      <x:c r="S24" s="2" t="str">
        <x:v>Area de trabajo</x:v>
      </x:c>
      <x:c r="T24" s="11" t="str">
        <x:v>Comprados en Enero</x:v>
      </x:c>
      <x:c r="U24" s="10" t="d">
        <x:v>2024-12-31T00:00:00.000Z</x:v>
      </x:c>
    </x:row>
    <x:row r="25" ht="46" customHeight="1">
      <x:c r="A25" s="2" t="n">
        <x:v>54</x:v>
      </x:c>
      <x:c r="B25" s="2" t="str">
        <x:v>MSL-A0020</x:v>
      </x:c>
      <x:c r="C25" s="11" t="str">
        <x:v>AT&amp;T Telefono inalambrico DL72240</x:v>
      </x:c>
      <x:c r="D25" s="10" t="d">
        <x:v>2024-12-31T00:00:00.000Z</x:v>
      </x:c>
      <x:c r="E25" s="8" t="n">
        <x:v>58.5</x:v>
      </x:c>
      <x:c r="F25" s="8" t="n">
        <x:v>512.73</x:v>
      </x:c>
      <x:c r="G25" s="8" t="n">
        <x:v>29994.71</x:v>
      </x:c>
      <x:c r="H25" s="8" t="n">
        <x:v>249.96</x:v>
      </x:c>
      <x:c r="I25" s="9" t="n">
        <x:v>120</x:v>
      </x:c>
      <x:c r="J25" s="8" t="n">
        <x:v>0</x:v>
      </x:c>
      <x:c r="K25" s="8" t="str">
        <x:v>ACTIVE</x:v>
      </x:c>
      <x:c r="L25" s="8" t="str">
        <x:v>Equipos de oficina</x:v>
      </x:c>
      <x:c r="M25" s="8" t="n">
        <x:v>4999.2</x:v>
      </x:c>
      <x:c r="N25" s="8" t="n">
        <x:v>24995.51</x:v>
      </x:c>
      <x:c r="O25" s="8" t="n">
        <x:v>5249.16</x:v>
      </x:c>
      <x:c r="P25" s="8" t="n">
        <x:v>5499.12</x:v>
      </x:c>
      <x:c r="Q25" s="8" t="n">
        <x:v>249.96</x:v>
      </x:c>
      <x:c r="R25" s="2" t="str">
        <x:v>8U000493994-A</x:v>
      </x:c>
      <x:c r="S25" s="2" t="str">
        <x:v>Area de trabajo</x:v>
      </x:c>
      <x:c r="T25" s="11" t="str">
        <x:v>Comprados en Enero</x:v>
      </x:c>
      <x:c r="U25" s="10" t="d">
        <x:v>2024-12-31T00:00:00.000Z</x:v>
      </x:c>
    </x:row>
    <x:row r="26" ht="46" customHeight="1">
      <x:c r="A26" s="2" t="n">
        <x:v>55</x:v>
      </x:c>
      <x:c r="B26" s="2" t="str">
        <x:v>MSL-A0022</x:v>
      </x:c>
      <x:c r="C26" s="11" t="str">
        <x:v>Aire Daikin</x:v>
      </x:c>
      <x:c r="D26" s="10" t="d">
        <x:v>2024-12-31T00:00:00.000Z</x:v>
      </x:c>
      <x:c r="E26" s="8" t="n">
        <x:v>796.46</x:v>
      </x:c>
      <x:c r="F26" s="8" t="n">
        <x:v>512.73</x:v>
      </x:c>
      <x:c r="G26" s="8" t="n">
        <x:v>408368.94</x:v>
      </x:c>
      <x:c r="H26" s="8" t="n">
        <x:v>3403.07</x:v>
      </x:c>
      <x:c r="I26" s="9" t="n">
        <x:v>120</x:v>
      </x:c>
      <x:c r="J26" s="8" t="n">
        <x:v>0</x:v>
      </x:c>
      <x:c r="K26" s="8" t="str">
        <x:v>ACTIVE</x:v>
      </x:c>
      <x:c r="L26" s="8" t="str">
        <x:v>Maquinaria y equipo</x:v>
      </x:c>
      <x:c r="M26" s="8" t="n">
        <x:v>68061.4</x:v>
      </x:c>
      <x:c r="N26" s="8" t="n">
        <x:v>340307.54</x:v>
      </x:c>
      <x:c r="O26" s="8" t="n">
        <x:v>71464.47</x:v>
      </x:c>
      <x:c r="P26" s="8" t="n">
        <x:v>74867.54</x:v>
      </x:c>
      <x:c r="Q26" s="8" t="n">
        <x:v>3403.07</x:v>
      </x:c>
      <x:c r="R26" s="2" t="str">
        <x:v>FTKSI8GL216A</x:v>
      </x:c>
      <x:c r="S26" s="2" t="str">
        <x:v>Area de trabajo</x:v>
      </x:c>
      <x:c r="T26" s="11" t="str">
        <x:v>Comprados en Noviembre</x:v>
      </x:c>
      <x:c r="U26" s="10" t="d">
        <x:v>2024-12-31T00:00:00.000Z</x:v>
      </x:c>
    </x:row>
    <x:row r="27" ht="46" customHeight="1">
      <x:c r="A27" s="2" t="n">
        <x:v>81</x:v>
      </x:c>
      <x:c r="B27" s="2" t="str">
        <x:v>MSL-A0023</x:v>
      </x:c>
      <x:c r="C27" s="11" t="str">
        <x:v>Lampara 20x20 oficina area de trabajo</x:v>
      </x:c>
      <x:c r="D27" s="10" t="d">
        <x:v>2024-12-31T00:00:00.000Z</x:v>
      </x:c>
      <x:c r="E27" s="8" t="n">
        <x:v>240</x:v>
      </x:c>
      <x:c r="F27" s="8" t="n">
        <x:v>512.73</x:v>
      </x:c>
      <x:c r="G27" s="8" t="n">
        <x:v>123055.2</x:v>
      </x:c>
      <x:c r="H27" s="8" t="n">
        <x:v>1025.46</x:v>
      </x:c>
      <x:c r="I27" s="9" t="n">
        <x:v>120</x:v>
      </x:c>
      <x:c r="J27" s="8" t="n">
        <x:v>0</x:v>
      </x:c>
      <x:c r="K27" s="8" t="str">
        <x:v>ACTIVE</x:v>
      </x:c>
      <x:c r="L27" s="8" t="str">
        <x:v>Maquinaria y equipo</x:v>
      </x:c>
      <x:c r="M27" s="8" t="n">
        <x:v>20509.2</x:v>
      </x:c>
      <x:c r="N27" s="8" t="n">
        <x:v>102546</x:v>
      </x:c>
      <x:c r="O27" s="8" t="n">
        <x:v>21534.66</x:v>
      </x:c>
      <x:c r="P27" s="8" t="n">
        <x:v>22560.12</x:v>
      </x:c>
      <x:c r="Q27" s="8" t="n">
        <x:v>1025.46</x:v>
      </x:c>
      <x:c r="R27" s="2" t="str"/>
      <x:c r="S27" s="2" t="str">
        <x:v>Area de trabajo</x:v>
      </x:c>
      <x:c r="T27" s="11" t="str">
        <x:v>Comprados en Noviembre</x:v>
      </x:c>
      <x:c r="U27" s="10" t="d">
        <x:v>2024-12-31T00:00:00.000Z</x:v>
      </x:c>
    </x:row>
    <x:row r="28" ht="46" customHeight="1">
      <x:c r="A28" s="2" t="n">
        <x:v>82</x:v>
      </x:c>
      <x:c r="B28" s="2" t="str">
        <x:v>MSL-A0024</x:v>
      </x:c>
      <x:c r="C28" s="11" t="str">
        <x:v>Lampara 20x20 oficina area de trabajo</x:v>
      </x:c>
      <x:c r="D28" s="10" t="d">
        <x:v>2024-12-31T00:00:00.000Z</x:v>
      </x:c>
      <x:c r="E28" s="8" t="n">
        <x:v>240</x:v>
      </x:c>
      <x:c r="F28" s="8" t="n">
        <x:v>512.73</x:v>
      </x:c>
      <x:c r="G28" s="8" t="n">
        <x:v>123055.2</x:v>
      </x:c>
      <x:c r="H28" s="8" t="n">
        <x:v>1025.46</x:v>
      </x:c>
      <x:c r="I28" s="9" t="n">
        <x:v>120</x:v>
      </x:c>
      <x:c r="J28" s="8" t="n">
        <x:v>0</x:v>
      </x:c>
      <x:c r="K28" s="8" t="str">
        <x:v>ACTIVE</x:v>
      </x:c>
      <x:c r="L28" s="8" t="str">
        <x:v>Maquinaria y equipo</x:v>
      </x:c>
      <x:c r="M28" s="8" t="n">
        <x:v>20509.2</x:v>
      </x:c>
      <x:c r="N28" s="8" t="n">
        <x:v>102546</x:v>
      </x:c>
      <x:c r="O28" s="8" t="n">
        <x:v>21534.66</x:v>
      </x:c>
      <x:c r="P28" s="8" t="n">
        <x:v>22560.12</x:v>
      </x:c>
      <x:c r="Q28" s="8" t="n">
        <x:v>1025.46</x:v>
      </x:c>
      <x:c r="R28" s="2" t="str"/>
      <x:c r="S28" s="2" t="str">
        <x:v>Area de trabajo</x:v>
      </x:c>
      <x:c r="T28" s="11" t="str">
        <x:v>Comprados en Noviembre</x:v>
      </x:c>
      <x:c r="U28" s="10" t="d">
        <x:v>2024-12-31T00:00:00.000Z</x:v>
      </x:c>
    </x:row>
    <x:row r="29" ht="46" customHeight="1">
      <x:c r="A29" s="2" t="n">
        <x:v>83</x:v>
      </x:c>
      <x:c r="B29" s="2" t="str">
        <x:v>MSL-A0025</x:v>
      </x:c>
      <x:c r="C29" s="11" t="str">
        <x:v>Lampara 20x20 oficina area de trabajo</x:v>
      </x:c>
      <x:c r="D29" s="10" t="d">
        <x:v>2024-12-31T00:00:00.000Z</x:v>
      </x:c>
      <x:c r="E29" s="8" t="n">
        <x:v>240</x:v>
      </x:c>
      <x:c r="F29" s="8" t="n">
        <x:v>512.73</x:v>
      </x:c>
      <x:c r="G29" s="8" t="n">
        <x:v>123055.2</x:v>
      </x:c>
      <x:c r="H29" s="8" t="n">
        <x:v>1025.46</x:v>
      </x:c>
      <x:c r="I29" s="9" t="n">
        <x:v>120</x:v>
      </x:c>
      <x:c r="J29" s="8" t="n">
        <x:v>0</x:v>
      </x:c>
      <x:c r="K29" s="8" t="str">
        <x:v>ACTIVE</x:v>
      </x:c>
      <x:c r="L29" s="8" t="str">
        <x:v>Maquinaria y equipo</x:v>
      </x:c>
      <x:c r="M29" s="8" t="n">
        <x:v>20509.2</x:v>
      </x:c>
      <x:c r="N29" s="8" t="n">
        <x:v>102546</x:v>
      </x:c>
      <x:c r="O29" s="8" t="n">
        <x:v>21534.66</x:v>
      </x:c>
      <x:c r="P29" s="8" t="n">
        <x:v>22560.12</x:v>
      </x:c>
      <x:c r="Q29" s="8" t="n">
        <x:v>1025.46</x:v>
      </x:c>
      <x:c r="R29" s="2" t="str"/>
      <x:c r="S29" s="2" t="str">
        <x:v>Area de trabajo</x:v>
      </x:c>
      <x:c r="T29" s="11" t="str">
        <x:v>Comprados en Noviembre</x:v>
      </x:c>
      <x:c r="U29" s="10" t="d">
        <x:v>2024-12-31T00:00:00.000Z</x:v>
      </x:c>
    </x:row>
    <x:row r="30" ht="46" customHeight="1">
      <x:c r="A30" s="2" t="n">
        <x:v>84</x:v>
      </x:c>
      <x:c r="B30" s="2" t="str">
        <x:v>MSL-A0026</x:v>
      </x:c>
      <x:c r="C30" s="11" t="str">
        <x:v>Lampara 20x20 oficina area de trabajo</x:v>
      </x:c>
      <x:c r="D30" s="10" t="d">
        <x:v>2024-12-31T00:00:00.000Z</x:v>
      </x:c>
      <x:c r="E30" s="8" t="n">
        <x:v>240</x:v>
      </x:c>
      <x:c r="F30" s="8" t="n">
        <x:v>512.73</x:v>
      </x:c>
      <x:c r="G30" s="8" t="n">
        <x:v>123055.2</x:v>
      </x:c>
      <x:c r="H30" s="8" t="n">
        <x:v>1025.46</x:v>
      </x:c>
      <x:c r="I30" s="9" t="n">
        <x:v>120</x:v>
      </x:c>
      <x:c r="J30" s="8" t="n">
        <x:v>0</x:v>
      </x:c>
      <x:c r="K30" s="8" t="str">
        <x:v>ACTIVE</x:v>
      </x:c>
      <x:c r="L30" s="8" t="str">
        <x:v>Maquinaria y equipo</x:v>
      </x:c>
      <x:c r="M30" s="8" t="n">
        <x:v>20509.2</x:v>
      </x:c>
      <x:c r="N30" s="8" t="n">
        <x:v>102546</x:v>
      </x:c>
      <x:c r="O30" s="8" t="n">
        <x:v>21534.66</x:v>
      </x:c>
      <x:c r="P30" s="8" t="n">
        <x:v>22560.12</x:v>
      </x:c>
      <x:c r="Q30" s="8" t="n">
        <x:v>1025.46</x:v>
      </x:c>
      <x:c r="R30" s="2" t="str"/>
      <x:c r="S30" s="2" t="str">
        <x:v>Area de trabajo</x:v>
      </x:c>
      <x:c r="T30" s="11" t="str">
        <x:v>Comprados en Noviembre</x:v>
      </x:c>
      <x:c r="U30" s="10" t="d">
        <x:v>2024-12-31T00:00:00.000Z</x:v>
      </x:c>
    </x:row>
    <x:row r="31" ht="46" customHeight="1">
      <x:c r="A31" s="2" t="n">
        <x:v>78</x:v>
      </x:c>
      <x:c r="B31" s="2" t="str">
        <x:v>MSL-B0001</x:v>
      </x:c>
      <x:c r="C31" s="11" t="str">
        <x:v>Lampara 20x20 oficina pasillo</x:v>
      </x:c>
      <x:c r="D31" s="10" t="d">
        <x:v>2024-12-31T00:00:00.000Z</x:v>
      </x:c>
      <x:c r="E31" s="8" t="n">
        <x:v>240</x:v>
      </x:c>
      <x:c r="F31" s="8" t="n">
        <x:v>512.73</x:v>
      </x:c>
      <x:c r="G31" s="8" t="n">
        <x:v>123055.2</x:v>
      </x:c>
      <x:c r="H31" s="8" t="n">
        <x:v>1025.46</x:v>
      </x:c>
      <x:c r="I31" s="9" t="n">
        <x:v>120</x:v>
      </x:c>
      <x:c r="J31" s="8" t="n">
        <x:v>0</x:v>
      </x:c>
      <x:c r="K31" s="8" t="str">
        <x:v>ACTIVE</x:v>
      </x:c>
      <x:c r="L31" s="8" t="str">
        <x:v>Maquinaria y equipo</x:v>
      </x:c>
      <x:c r="M31" s="8" t="n">
        <x:v>20509.2</x:v>
      </x:c>
      <x:c r="N31" s="8" t="n">
        <x:v>102546</x:v>
      </x:c>
      <x:c r="O31" s="8" t="n">
        <x:v>21534.66</x:v>
      </x:c>
      <x:c r="P31" s="8" t="n">
        <x:v>22560.12</x:v>
      </x:c>
      <x:c r="Q31" s="8" t="n">
        <x:v>1025.46</x:v>
      </x:c>
      <x:c r="R31" s="2" t="str"/>
      <x:c r="S31" s="2" t="str">
        <x:v>Pasillo</x:v>
      </x:c>
      <x:c r="T31" s="11" t="str">
        <x:v>Comprados en Noviembre</x:v>
      </x:c>
      <x:c r="U31" s="10" t="d">
        <x:v>2024-12-31T00:00:00.000Z</x:v>
      </x:c>
    </x:row>
    <x:row r="32" ht="46" customHeight="1">
      <x:c r="A32" s="2" t="n">
        <x:v>79</x:v>
      </x:c>
      <x:c r="B32" s="2" t="str">
        <x:v>MSL-B0002</x:v>
      </x:c>
      <x:c r="C32" s="11" t="str">
        <x:v>Lampara 20x20 oficina pasillo</x:v>
      </x:c>
      <x:c r="D32" s="10" t="d">
        <x:v>2024-12-31T00:00:00.000Z</x:v>
      </x:c>
      <x:c r="E32" s="8" t="n">
        <x:v>240</x:v>
      </x:c>
      <x:c r="F32" s="8" t="n">
        <x:v>512.73</x:v>
      </x:c>
      <x:c r="G32" s="8" t="n">
        <x:v>123055.2</x:v>
      </x:c>
      <x:c r="H32" s="8" t="n">
        <x:v>1025.46</x:v>
      </x:c>
      <x:c r="I32" s="9" t="n">
        <x:v>120</x:v>
      </x:c>
      <x:c r="J32" s="8" t="n">
        <x:v>0</x:v>
      </x:c>
      <x:c r="K32" s="8" t="str">
        <x:v>ACTIVE</x:v>
      </x:c>
      <x:c r="L32" s="8" t="str">
        <x:v>Maquinaria y equipo</x:v>
      </x:c>
      <x:c r="M32" s="8" t="n">
        <x:v>20509.2</x:v>
      </x:c>
      <x:c r="N32" s="8" t="n">
        <x:v>102546</x:v>
      </x:c>
      <x:c r="O32" s="8" t="n">
        <x:v>21534.66</x:v>
      </x:c>
      <x:c r="P32" s="8" t="n">
        <x:v>22560.12</x:v>
      </x:c>
      <x:c r="Q32" s="8" t="n">
        <x:v>1025.46</x:v>
      </x:c>
      <x:c r="R32" s="2" t="str"/>
      <x:c r="S32" s="2" t="str">
        <x:v>Pasillo</x:v>
      </x:c>
      <x:c r="T32" s="11" t="str">
        <x:v>Comprados en Noviembre</x:v>
      </x:c>
      <x:c r="U32" s="10" t="d">
        <x:v>2024-12-31T00:00:00.000Z</x:v>
      </x:c>
    </x:row>
    <x:row r="33" ht="46" customHeight="1">
      <x:c r="A33" s="2" t="n">
        <x:v>80</x:v>
      </x:c>
      <x:c r="B33" s="2" t="str">
        <x:v>MSL-B0003</x:v>
      </x:c>
      <x:c r="C33" s="11" t="str">
        <x:v>Lampara 20x20 oficina pasillo</x:v>
      </x:c>
      <x:c r="D33" s="10" t="d">
        <x:v>2024-12-31T00:00:00.000Z</x:v>
      </x:c>
      <x:c r="E33" s="8" t="n">
        <x:v>240</x:v>
      </x:c>
      <x:c r="F33" s="8" t="n">
        <x:v>512.73</x:v>
      </x:c>
      <x:c r="G33" s="8" t="n">
        <x:v>123055.2</x:v>
      </x:c>
      <x:c r="H33" s="8" t="n">
        <x:v>1025.46</x:v>
      </x:c>
      <x:c r="I33" s="9" t="n">
        <x:v>120</x:v>
      </x:c>
      <x:c r="J33" s="8" t="n">
        <x:v>0</x:v>
      </x:c>
      <x:c r="K33" s="8" t="str">
        <x:v>ACTIVE</x:v>
      </x:c>
      <x:c r="L33" s="8" t="str">
        <x:v>Maquinaria y equipo</x:v>
      </x:c>
      <x:c r="M33" s="8" t="n">
        <x:v>20509.2</x:v>
      </x:c>
      <x:c r="N33" s="8" t="n">
        <x:v>102546</x:v>
      </x:c>
      <x:c r="O33" s="8" t="n">
        <x:v>21534.66</x:v>
      </x:c>
      <x:c r="P33" s="8" t="n">
        <x:v>22560.12</x:v>
      </x:c>
      <x:c r="Q33" s="8" t="n">
        <x:v>1025.46</x:v>
      </x:c>
      <x:c r="R33" s="2" t="str"/>
      <x:c r="S33" s="2" t="str">
        <x:v>Pasillo</x:v>
      </x:c>
      <x:c r="T33" s="11" t="str">
        <x:v>Comprados en Noviembre</x:v>
      </x:c>
      <x:c r="U33" s="10" t="d">
        <x:v>2024-12-31T00:00:00.000Z</x:v>
      </x:c>
    </x:row>
    <x:row r="34" ht="46" customHeight="1">
      <x:c r="A34" s="2" t="n">
        <x:v>36</x:v>
      </x:c>
      <x:c r="B34" s="2" t="str">
        <x:v>MSL-C0001</x:v>
      </x:c>
      <x:c r="C34" s="11" t="str">
        <x:v>SILLA NEGRA BRAZO FIJO</x:v>
      </x:c>
      <x:c r="D34" s="10" t="d">
        <x:v>2024-12-31T00:00:00.000Z</x:v>
      </x:c>
      <x:c r="E34" s="8" t="n">
        <x:v>110.62</x:v>
      </x:c>
      <x:c r="F34" s="8" t="n">
        <x:v>512.73</x:v>
      </x:c>
      <x:c r="G34" s="8" t="n">
        <x:v>56718.19</x:v>
      </x:c>
      <x:c r="H34" s="8" t="n">
        <x:v>472.65</x:v>
      </x:c>
      <x:c r="I34" s="9" t="n">
        <x:v>120</x:v>
      </x:c>
      <x:c r="J34" s="8" t="n">
        <x:v>0</x:v>
      </x:c>
      <x:c r="K34" s="8" t="str">
        <x:v>ACTIVE</x:v>
      </x:c>
      <x:c r="L34" s="8" t="str">
        <x:v>Muebles y enseres</x:v>
      </x:c>
      <x:c r="M34" s="8" t="n">
        <x:v>9453</x:v>
      </x:c>
      <x:c r="N34" s="8" t="n">
        <x:v>47265.19</x:v>
      </x:c>
      <x:c r="O34" s="8" t="n">
        <x:v>9925.65</x:v>
      </x:c>
      <x:c r="P34" s="8" t="n">
        <x:v>10398.3</x:v>
      </x:c>
      <x:c r="Q34" s="8" t="n">
        <x:v>472.65</x:v>
      </x:c>
      <x:c r="R34" s="2" t="str"/>
      <x:c r="S34" s="2" t="str">
        <x:v>Sala Conferencias</x:v>
      </x:c>
      <x:c r="T34" s="11" t="str">
        <x:v>Comprados en Noviembre</x:v>
      </x:c>
      <x:c r="U34" s="10" t="d">
        <x:v>2024-12-31T00:00:00.000Z</x:v>
      </x:c>
    </x:row>
    <x:row r="35" ht="46" customHeight="1">
      <x:c r="A35" s="2" t="n">
        <x:v>37</x:v>
      </x:c>
      <x:c r="B35" s="2" t="str">
        <x:v>MSL-C0002</x:v>
      </x:c>
      <x:c r="C35" s="11" t="str">
        <x:v>SILLA NEGRA BRAZO FIJO</x:v>
      </x:c>
      <x:c r="D35" s="10" t="d">
        <x:v>2024-12-31T00:00:00.000Z</x:v>
      </x:c>
      <x:c r="E35" s="8" t="n">
        <x:v>110.62</x:v>
      </x:c>
      <x:c r="F35" s="8" t="n">
        <x:v>512.73</x:v>
      </x:c>
      <x:c r="G35" s="8" t="n">
        <x:v>56718.19</x:v>
      </x:c>
      <x:c r="H35" s="8" t="n">
        <x:v>472.65</x:v>
      </x:c>
      <x:c r="I35" s="9" t="n">
        <x:v>120</x:v>
      </x:c>
      <x:c r="J35" s="8" t="n">
        <x:v>0</x:v>
      </x:c>
      <x:c r="K35" s="8" t="str">
        <x:v>ACTIVE</x:v>
      </x:c>
      <x:c r="L35" s="8" t="str">
        <x:v>Muebles y enseres</x:v>
      </x:c>
      <x:c r="M35" s="8" t="n">
        <x:v>9453</x:v>
      </x:c>
      <x:c r="N35" s="8" t="n">
        <x:v>47265.19</x:v>
      </x:c>
      <x:c r="O35" s="8" t="n">
        <x:v>9925.65</x:v>
      </x:c>
      <x:c r="P35" s="8" t="n">
        <x:v>10398.3</x:v>
      </x:c>
      <x:c r="Q35" s="8" t="n">
        <x:v>472.65</x:v>
      </x:c>
      <x:c r="R35" s="2" t="str"/>
      <x:c r="S35" s="2" t="str">
        <x:v>Sala Conferencias</x:v>
      </x:c>
      <x:c r="T35" s="11" t="str">
        <x:v>Comprados en Noviembre</x:v>
      </x:c>
      <x:c r="U35" s="10" t="d">
        <x:v>2024-12-31T00:00:00.000Z</x:v>
      </x:c>
    </x:row>
    <x:row r="36" ht="46" customHeight="1">
      <x:c r="A36" s="2" t="n">
        <x:v>38</x:v>
      </x:c>
      <x:c r="B36" s="2" t="str">
        <x:v>MSL-C0003</x:v>
      </x:c>
      <x:c r="C36" s="11" t="str">
        <x:v>SILLA NEGRA BRAZO FIJO</x:v>
      </x:c>
      <x:c r="D36" s="10" t="d">
        <x:v>2024-12-31T00:00:00.000Z</x:v>
      </x:c>
      <x:c r="E36" s="8" t="n">
        <x:v>110.62</x:v>
      </x:c>
      <x:c r="F36" s="8" t="n">
        <x:v>512.73</x:v>
      </x:c>
      <x:c r="G36" s="8" t="n">
        <x:v>56718.19</x:v>
      </x:c>
      <x:c r="H36" s="8" t="n">
        <x:v>472.65</x:v>
      </x:c>
      <x:c r="I36" s="9" t="n">
        <x:v>120</x:v>
      </x:c>
      <x:c r="J36" s="8" t="n">
        <x:v>0</x:v>
      </x:c>
      <x:c r="K36" s="8" t="str">
        <x:v>ACTIVE</x:v>
      </x:c>
      <x:c r="L36" s="8" t="str">
        <x:v>Muebles y enseres</x:v>
      </x:c>
      <x:c r="M36" s="8" t="n">
        <x:v>9453</x:v>
      </x:c>
      <x:c r="N36" s="8" t="n">
        <x:v>47265.19</x:v>
      </x:c>
      <x:c r="O36" s="8" t="n">
        <x:v>9925.65</x:v>
      </x:c>
      <x:c r="P36" s="8" t="n">
        <x:v>10398.3</x:v>
      </x:c>
      <x:c r="Q36" s="8" t="n">
        <x:v>472.65</x:v>
      </x:c>
      <x:c r="R36" s="2" t="str"/>
      <x:c r="S36" s="2" t="str">
        <x:v>Sala Conferencias</x:v>
      </x:c>
      <x:c r="T36" s="11" t="str">
        <x:v>Comprados en Noviembre</x:v>
      </x:c>
      <x:c r="U36" s="10" t="d">
        <x:v>2024-12-31T00:00:00.000Z</x:v>
      </x:c>
    </x:row>
    <x:row r="37" ht="46" customHeight="1">
      <x:c r="A37" s="2" t="n">
        <x:v>39</x:v>
      </x:c>
      <x:c r="B37" s="2" t="str">
        <x:v>MSL-C0004</x:v>
      </x:c>
      <x:c r="C37" s="11" t="str">
        <x:v>SILLA NEGRA BRAZO FIJO</x:v>
      </x:c>
      <x:c r="D37" s="10" t="d">
        <x:v>2024-12-31T00:00:00.000Z</x:v>
      </x:c>
      <x:c r="E37" s="8" t="n">
        <x:v>110.62</x:v>
      </x:c>
      <x:c r="F37" s="8" t="n">
        <x:v>512.73</x:v>
      </x:c>
      <x:c r="G37" s="8" t="n">
        <x:v>56718.19</x:v>
      </x:c>
      <x:c r="H37" s="8" t="n">
        <x:v>472.65</x:v>
      </x:c>
      <x:c r="I37" s="9" t="n">
        <x:v>120</x:v>
      </x:c>
      <x:c r="J37" s="8" t="n">
        <x:v>0</x:v>
      </x:c>
      <x:c r="K37" s="8" t="str">
        <x:v>ACTIVE</x:v>
      </x:c>
      <x:c r="L37" s="8" t="str">
        <x:v>Muebles y enseres</x:v>
      </x:c>
      <x:c r="M37" s="8" t="n">
        <x:v>9453</x:v>
      </x:c>
      <x:c r="N37" s="8" t="n">
        <x:v>47265.19</x:v>
      </x:c>
      <x:c r="O37" s="8" t="n">
        <x:v>9925.65</x:v>
      </x:c>
      <x:c r="P37" s="8" t="n">
        <x:v>10398.3</x:v>
      </x:c>
      <x:c r="Q37" s="8" t="n">
        <x:v>472.65</x:v>
      </x:c>
      <x:c r="R37" s="2" t="str"/>
      <x:c r="S37" s="2" t="str">
        <x:v>Sala Conferencias</x:v>
      </x:c>
      <x:c r="T37" s="11" t="str">
        <x:v>Comprados en Noviembre</x:v>
      </x:c>
      <x:c r="U37" s="10" t="d">
        <x:v>2024-12-31T00:00:00.000Z</x:v>
      </x:c>
    </x:row>
    <x:row r="38" ht="46" customHeight="1">
      <x:c r="A38" s="2" t="n">
        <x:v>40</x:v>
      </x:c>
      <x:c r="B38" s="2" t="str">
        <x:v>MSL-C0005</x:v>
      </x:c>
      <x:c r="C38" s="11" t="str">
        <x:v>SILLA NEGRA BRAZO FIJO</x:v>
      </x:c>
      <x:c r="D38" s="10" t="d">
        <x:v>2024-12-31T00:00:00.000Z</x:v>
      </x:c>
      <x:c r="E38" s="8" t="n">
        <x:v>110.62</x:v>
      </x:c>
      <x:c r="F38" s="8" t="n">
        <x:v>512.73</x:v>
      </x:c>
      <x:c r="G38" s="8" t="n">
        <x:v>56718.19</x:v>
      </x:c>
      <x:c r="H38" s="8" t="n">
        <x:v>472.65</x:v>
      </x:c>
      <x:c r="I38" s="9" t="n">
        <x:v>120</x:v>
      </x:c>
      <x:c r="J38" s="8" t="n">
        <x:v>0</x:v>
      </x:c>
      <x:c r="K38" s="8" t="str">
        <x:v>ACTIVE</x:v>
      </x:c>
      <x:c r="L38" s="8" t="str">
        <x:v>Muebles y enseres</x:v>
      </x:c>
      <x:c r="M38" s="8" t="n">
        <x:v>9453</x:v>
      </x:c>
      <x:c r="N38" s="8" t="n">
        <x:v>47265.19</x:v>
      </x:c>
      <x:c r="O38" s="8" t="n">
        <x:v>9925.65</x:v>
      </x:c>
      <x:c r="P38" s="8" t="n">
        <x:v>10398.3</x:v>
      </x:c>
      <x:c r="Q38" s="8" t="n">
        <x:v>472.65</x:v>
      </x:c>
      <x:c r="R38" s="2" t="str"/>
      <x:c r="S38" s="2" t="str">
        <x:v>Sala Conferencias</x:v>
      </x:c>
      <x:c r="T38" s="11" t="str">
        <x:v>Comprados en Noviembre</x:v>
      </x:c>
      <x:c r="U38" s="10" t="d">
        <x:v>2024-12-31T00:00:00.000Z</x:v>
      </x:c>
    </x:row>
    <x:row r="39" ht="46" customHeight="1">
      <x:c r="A39" s="2" t="n">
        <x:v>41</x:v>
      </x:c>
      <x:c r="B39" s="2" t="str">
        <x:v>MSL-C0006</x:v>
      </x:c>
      <x:c r="C39" s="11" t="str">
        <x:v>SILLA NEGRA BRAZO FIJO</x:v>
      </x:c>
      <x:c r="D39" s="10" t="d">
        <x:v>2024-12-31T00:00:00.000Z</x:v>
      </x:c>
      <x:c r="E39" s="8" t="n">
        <x:v>110.62</x:v>
      </x:c>
      <x:c r="F39" s="8" t="n">
        <x:v>512.73</x:v>
      </x:c>
      <x:c r="G39" s="8" t="n">
        <x:v>56718.19</x:v>
      </x:c>
      <x:c r="H39" s="8" t="n">
        <x:v>472.65</x:v>
      </x:c>
      <x:c r="I39" s="9" t="n">
        <x:v>120</x:v>
      </x:c>
      <x:c r="J39" s="8" t="n">
        <x:v>0</x:v>
      </x:c>
      <x:c r="K39" s="8" t="str">
        <x:v>ACTIVE</x:v>
      </x:c>
      <x:c r="L39" s="8" t="str">
        <x:v>Muebles y enseres</x:v>
      </x:c>
      <x:c r="M39" s="8" t="n">
        <x:v>9453</x:v>
      </x:c>
      <x:c r="N39" s="8" t="n">
        <x:v>47265.19</x:v>
      </x:c>
      <x:c r="O39" s="8" t="n">
        <x:v>9925.65</x:v>
      </x:c>
      <x:c r="P39" s="8" t="n">
        <x:v>10398.3</x:v>
      </x:c>
      <x:c r="Q39" s="8" t="n">
        <x:v>472.65</x:v>
      </x:c>
      <x:c r="R39" s="2" t="str"/>
      <x:c r="S39" s="2" t="str">
        <x:v>Sala Conferencias</x:v>
      </x:c>
      <x:c r="T39" s="11" t="str">
        <x:v>Comprados en Noviembre</x:v>
      </x:c>
      <x:c r="U39" s="10" t="d">
        <x:v>2024-12-31T00:00:00.000Z</x:v>
      </x:c>
    </x:row>
    <x:row r="40" ht="46" customHeight="1">
      <x:c r="A40" s="2" t="n">
        <x:v>42</x:v>
      </x:c>
      <x:c r="B40" s="2" t="str">
        <x:v>MSL-C0007</x:v>
      </x:c>
      <x:c r="C40" s="11" t="str">
        <x:v>SILLA NEGRA BRAZO FIJO</x:v>
      </x:c>
      <x:c r="D40" s="10" t="d">
        <x:v>2024-12-31T00:00:00.000Z</x:v>
      </x:c>
      <x:c r="E40" s="8" t="n">
        <x:v>110.62</x:v>
      </x:c>
      <x:c r="F40" s="8" t="n">
        <x:v>512.73</x:v>
      </x:c>
      <x:c r="G40" s="8" t="n">
        <x:v>56718.19</x:v>
      </x:c>
      <x:c r="H40" s="8" t="n">
        <x:v>472.65</x:v>
      </x:c>
      <x:c r="I40" s="9" t="n">
        <x:v>120</x:v>
      </x:c>
      <x:c r="J40" s="8" t="n">
        <x:v>0</x:v>
      </x:c>
      <x:c r="K40" s="8" t="str">
        <x:v>ACTIVE</x:v>
      </x:c>
      <x:c r="L40" s="8" t="str">
        <x:v>Muebles y enseres</x:v>
      </x:c>
      <x:c r="M40" s="8" t="n">
        <x:v>9453</x:v>
      </x:c>
      <x:c r="N40" s="8" t="n">
        <x:v>47265.19</x:v>
      </x:c>
      <x:c r="O40" s="8" t="n">
        <x:v>9925.65</x:v>
      </x:c>
      <x:c r="P40" s="8" t="n">
        <x:v>10398.3</x:v>
      </x:c>
      <x:c r="Q40" s="8" t="n">
        <x:v>472.65</x:v>
      </x:c>
      <x:c r="R40" s="2" t="str"/>
      <x:c r="S40" s="2" t="str">
        <x:v>Sala Conferencias</x:v>
      </x:c>
      <x:c r="T40" s="11" t="str">
        <x:v>Comprados en Noviembre</x:v>
      </x:c>
      <x:c r="U40" s="10" t="d">
        <x:v>2024-12-31T00:00:00.000Z</x:v>
      </x:c>
    </x:row>
    <x:row r="41" ht="46" customHeight="1">
      <x:c r="A41" s="2" t="n">
        <x:v>43</x:v>
      </x:c>
      <x:c r="B41" s="2" t="str">
        <x:v>MSL-C0008</x:v>
      </x:c>
      <x:c r="C41" s="11" t="str">
        <x:v>SILLA NEGRA BRAZO FIJO</x:v>
      </x:c>
      <x:c r="D41" s="10" t="d">
        <x:v>2024-12-31T00:00:00.000Z</x:v>
      </x:c>
      <x:c r="E41" s="8" t="n">
        <x:v>110.62</x:v>
      </x:c>
      <x:c r="F41" s="8" t="n">
        <x:v>512.73</x:v>
      </x:c>
      <x:c r="G41" s="8" t="n">
        <x:v>56718.19</x:v>
      </x:c>
      <x:c r="H41" s="8" t="n">
        <x:v>472.65</x:v>
      </x:c>
      <x:c r="I41" s="9" t="n">
        <x:v>120</x:v>
      </x:c>
      <x:c r="J41" s="8" t="n">
        <x:v>0</x:v>
      </x:c>
      <x:c r="K41" s="8" t="str">
        <x:v>ACTIVE</x:v>
      </x:c>
      <x:c r="L41" s="8" t="str">
        <x:v>Muebles y enseres</x:v>
      </x:c>
      <x:c r="M41" s="8" t="n">
        <x:v>9453</x:v>
      </x:c>
      <x:c r="N41" s="8" t="n">
        <x:v>47265.19</x:v>
      </x:c>
      <x:c r="O41" s="8" t="n">
        <x:v>9925.65</x:v>
      </x:c>
      <x:c r="P41" s="8" t="n">
        <x:v>10398.3</x:v>
      </x:c>
      <x:c r="Q41" s="8" t="n">
        <x:v>472.65</x:v>
      </x:c>
      <x:c r="R41" s="2" t="str"/>
      <x:c r="S41" s="2" t="str">
        <x:v>Sala Conferencias</x:v>
      </x:c>
      <x:c r="T41" s="11" t="str">
        <x:v>Comprados en Noviembre</x:v>
      </x:c>
      <x:c r="U41" s="10" t="d">
        <x:v>2024-12-31T00:00:00.000Z</x:v>
      </x:c>
    </x:row>
    <x:row r="42" ht="46" customHeight="1">
      <x:c r="A42" s="2" t="n">
        <x:v>44</x:v>
      </x:c>
      <x:c r="B42" s="2" t="str">
        <x:v>MSL-C0009</x:v>
      </x:c>
      <x:c r="C42" s="11" t="str">
        <x:v>[74-KAI-PIZ-6040M-VBT] Pizarra Vidrio BlancoTemperado Magnetica 150x100</x:v>
      </x:c>
      <x:c r="D42" s="10" t="d">
        <x:v>2024-12-31T00:00:00.000Z</x:v>
      </x:c>
      <x:c r="E42" s="8" t="n">
        <x:v>213.2</x:v>
      </x:c>
      <x:c r="F42" s="8" t="n">
        <x:v>512.73</x:v>
      </x:c>
      <x:c r="G42" s="8" t="n">
        <x:v>109314.04</x:v>
      </x:c>
      <x:c r="H42" s="8" t="n">
        <x:v>910.95</x:v>
      </x:c>
      <x:c r="I42" s="9" t="n">
        <x:v>120</x:v>
      </x:c>
      <x:c r="J42" s="8" t="n">
        <x:v>0</x:v>
      </x:c>
      <x:c r="K42" s="8" t="str">
        <x:v>ACTIVE</x:v>
      </x:c>
      <x:c r="L42" s="8" t="str">
        <x:v>Muebles y enseres</x:v>
      </x:c>
      <x:c r="M42" s="8" t="n">
        <x:v>18219</x:v>
      </x:c>
      <x:c r="N42" s="8" t="n">
        <x:v>91095.04</x:v>
      </x:c>
      <x:c r="O42" s="8" t="n">
        <x:v>19129.95</x:v>
      </x:c>
      <x:c r="P42" s="8" t="n">
        <x:v>20040.9</x:v>
      </x:c>
      <x:c r="Q42" s="8" t="n">
        <x:v>910.95</x:v>
      </x:c>
      <x:c r="R42" s="2" t="str"/>
      <x:c r="S42" s="2" t="str">
        <x:v>Sala Conferencias</x:v>
      </x:c>
      <x:c r="T42" s="11" t="str">
        <x:v>Comprados en Noviembre</x:v>
      </x:c>
      <x:c r="U42" s="10" t="d">
        <x:v>2024-12-31T00:00:00.000Z</x:v>
      </x:c>
    </x:row>
    <x:row r="43" ht="46" customHeight="1">
      <x:c r="A43" s="2" t="n">
        <x:v>56</x:v>
      </x:c>
      <x:c r="B43" s="2" t="str">
        <x:v>MSL-C0010</x:v>
      </x:c>
      <x:c r="C43" s="11" t="str">
        <x:v>Aire Daikin</x:v>
      </x:c>
      <x:c r="D43" s="10" t="d">
        <x:v>2024-12-31T00:00:00.000Z</x:v>
      </x:c>
      <x:c r="E43" s="8" t="n">
        <x:v>973.45</x:v>
      </x:c>
      <x:c r="F43" s="8" t="n">
        <x:v>512.73</x:v>
      </x:c>
      <x:c r="G43" s="8" t="n">
        <x:v>499117.02</x:v>
      </x:c>
      <x:c r="H43" s="8" t="n">
        <x:v>4159.31</x:v>
      </x:c>
      <x:c r="I43" s="9" t="n">
        <x:v>120</x:v>
      </x:c>
      <x:c r="J43" s="8" t="n">
        <x:v>0</x:v>
      </x:c>
      <x:c r="K43" s="8" t="str">
        <x:v>ACTIVE</x:v>
      </x:c>
      <x:c r="L43" s="8" t="str">
        <x:v>Maquinaria y equipo</x:v>
      </x:c>
      <x:c r="M43" s="8" t="n">
        <x:v>83186.2</x:v>
      </x:c>
      <x:c r="N43" s="8" t="n">
        <x:v>415930.82</x:v>
      </x:c>
      <x:c r="O43" s="8" t="n">
        <x:v>87345.51</x:v>
      </x:c>
      <x:c r="P43" s="8" t="n">
        <x:v>91504.82</x:v>
      </x:c>
      <x:c r="Q43" s="8" t="n">
        <x:v>4159.31</x:v>
      </x:c>
      <x:c r="R43" s="2" t="str">
        <x:v>FTKS12GL616A</x:v>
      </x:c>
      <x:c r="S43" s="2" t="str">
        <x:v>Sala Conferencias</x:v>
      </x:c>
      <x:c r="T43" s="11" t="str">
        <x:v>Comprados en Noviembre</x:v>
      </x:c>
      <x:c r="U43" s="10" t="d">
        <x:v>2024-12-31T00:00:00.000Z</x:v>
      </x:c>
    </x:row>
    <x:row r="44" ht="46" customHeight="1">
      <x:c r="A44" s="2" t="n">
        <x:v>57</x:v>
      </x:c>
      <x:c r="B44" s="2" t="str">
        <x:v>MSL-C0011</x:v>
      </x:c>
      <x:c r="C44" s="11" t="str">
        <x:v>Speaker sala de conferencias Togn VEO TV-M3B</x:v>
      </x:c>
      <x:c r="D44" s="10" t="d">
        <x:v>2024-12-31T00:00:00.000Z</x:v>
      </x:c>
      <x:c r="E44" s="8" t="n">
        <x:v>100</x:v>
      </x:c>
      <x:c r="F44" s="8" t="n">
        <x:v>512.73</x:v>
      </x:c>
      <x:c r="G44" s="8" t="n">
        <x:v>51273</x:v>
      </x:c>
      <x:c r="H44" s="8" t="n">
        <x:v>427.28</x:v>
      </x:c>
      <x:c r="I44" s="9" t="n">
        <x:v>120</x:v>
      </x:c>
      <x:c r="J44" s="8" t="n">
        <x:v>0</x:v>
      </x:c>
      <x:c r="K44" s="8" t="str">
        <x:v>ACTIVE</x:v>
      </x:c>
      <x:c r="L44" s="8" t="str">
        <x:v>Equipos de oficina</x:v>
      </x:c>
      <x:c r="M44" s="8" t="n">
        <x:v>8545.6</x:v>
      </x:c>
      <x:c r="N44" s="8" t="n">
        <x:v>42727.4</x:v>
      </x:c>
      <x:c r="O44" s="8" t="n">
        <x:v>8972.88</x:v>
      </x:c>
      <x:c r="P44" s="8" t="n">
        <x:v>9400.16</x:v>
      </x:c>
      <x:c r="Q44" s="8" t="n">
        <x:v>427.28</x:v>
      </x:c>
      <x:c r="R44" s="2" t="str">
        <x:v>2308240134</x:v>
      </x:c>
      <x:c r="S44" s="2" t="str">
        <x:v>Sala Conferencias</x:v>
      </x:c>
      <x:c r="T44" s="11" t="str">
        <x:v>Comprados en Noviembre</x:v>
      </x:c>
      <x:c r="U44" s="10" t="d">
        <x:v>2024-12-31T00:00:00.000Z</x:v>
      </x:c>
    </x:row>
    <x:row r="45" ht="46" customHeight="1">
      <x:c r="A45" s="2" t="n">
        <x:v>58</x:v>
      </x:c>
      <x:c r="B45" s="2" t="str">
        <x:v>MSL-C0012</x:v>
      </x:c>
      <x:c r="C45" s="11" t="str">
        <x:v>Camara TOGNVEO TV-B4K</x:v>
      </x:c>
      <x:c r="D45" s="10" t="d">
        <x:v>2024-12-31T00:00:00.000Z</x:v>
      </x:c>
      <x:c r="E45" s="8" t="n">
        <x:v>100</x:v>
      </x:c>
      <x:c r="F45" s="8" t="n">
        <x:v>512.73</x:v>
      </x:c>
      <x:c r="G45" s="8" t="n">
        <x:v>51273</x:v>
      </x:c>
      <x:c r="H45" s="8" t="n">
        <x:v>427.28</x:v>
      </x:c>
      <x:c r="I45" s="9" t="n">
        <x:v>120</x:v>
      </x:c>
      <x:c r="J45" s="8" t="n">
        <x:v>0</x:v>
      </x:c>
      <x:c r="K45" s="8" t="str">
        <x:v>ACTIVE</x:v>
      </x:c>
      <x:c r="L45" s="8" t="str">
        <x:v>Equipos de oficina</x:v>
      </x:c>
      <x:c r="M45" s="8" t="n">
        <x:v>8545.6</x:v>
      </x:c>
      <x:c r="N45" s="8" t="n">
        <x:v>42727.4</x:v>
      </x:c>
      <x:c r="O45" s="8" t="n">
        <x:v>8972.88</x:v>
      </x:c>
      <x:c r="P45" s="8" t="n">
        <x:v>9400.16</x:v>
      </x:c>
      <x:c r="Q45" s="8" t="n">
        <x:v>427.28</x:v>
      </x:c>
      <x:c r="R45" s="2" t="str">
        <x:v>2308240134</x:v>
      </x:c>
      <x:c r="S45" s="2" t="str">
        <x:v>Sala Conferencias</x:v>
      </x:c>
      <x:c r="T45" s="11" t="str">
        <x:v>Comprados en Noviembre</x:v>
      </x:c>
      <x:c r="U45" s="10" t="d">
        <x:v>2024-12-31T00:00:00.000Z</x:v>
      </x:c>
    </x:row>
    <x:row r="46" ht="46" customHeight="1">
      <x:c r="A46" s="2" t="n">
        <x:v>59</x:v>
      </x:c>
      <x:c r="B46" s="2" t="str">
        <x:v>MSL-C0013</x:v>
      </x:c>
      <x:c r="C46" s="11" t="str">
        <x:v>Samsung UN70DU7000P</x:v>
      </x:c>
      <x:c r="D46" s="10" t="d">
        <x:v>2024-12-31T00:00:00.000Z</x:v>
      </x:c>
      <x:c r="E46" s="8" t="n">
        <x:v>1200</x:v>
      </x:c>
      <x:c r="F46" s="8" t="n">
        <x:v>512.73</x:v>
      </x:c>
      <x:c r="G46" s="8" t="n">
        <x:v>615276</x:v>
      </x:c>
      <x:c r="H46" s="8" t="n">
        <x:v>5127.3</x:v>
      </x:c>
      <x:c r="I46" s="9" t="n">
        <x:v>120</x:v>
      </x:c>
      <x:c r="J46" s="8" t="n">
        <x:v>0</x:v>
      </x:c>
      <x:c r="K46" s="8" t="str">
        <x:v>ACTIVE</x:v>
      </x:c>
      <x:c r="L46" s="8" t="str">
        <x:v>Equipos de oficina</x:v>
      </x:c>
      <x:c r="M46" s="8" t="n">
        <x:v>102546</x:v>
      </x:c>
      <x:c r="N46" s="8" t="n">
        <x:v>512730</x:v>
      </x:c>
      <x:c r="O46" s="8" t="n">
        <x:v>107673.3</x:v>
      </x:c>
      <x:c r="P46" s="8" t="n">
        <x:v>112800.6</x:v>
      </x:c>
      <x:c r="Q46" s="8" t="n">
        <x:v>5127.3</x:v>
      </x:c>
      <x:c r="R46" s="2" t="str">
        <x:v>0GUB3CDX50040061X</x:v>
      </x:c>
      <x:c r="S46" s="2" t="str">
        <x:v>Sala Conferencias</x:v>
      </x:c>
      <x:c r="T46" s="11" t="str">
        <x:v>Comprados en Noviembre</x:v>
      </x:c>
      <x:c r="U46" s="10" t="d">
        <x:v>2024-12-31T00:00:00.000Z</x:v>
      </x:c>
    </x:row>
    <x:row r="47" ht="46" customHeight="1">
      <x:c r="A47" s="2" t="n">
        <x:v>60</x:v>
      </x:c>
      <x:c r="B47" s="2" t="str">
        <x:v>MSL-C0014</x:v>
      </x:c>
      <x:c r="C47" s="11" t="str">
        <x:v>Bufetera Sala de conferencias</x:v>
      </x:c>
      <x:c r="D47" s="10" t="d">
        <x:v>2024-12-31T00:00:00.000Z</x:v>
      </x:c>
      <x:c r="E47" s="8" t="n">
        <x:v>80</x:v>
      </x:c>
      <x:c r="F47" s="8" t="n">
        <x:v>512.73</x:v>
      </x:c>
      <x:c r="G47" s="8" t="n">
        <x:v>41018.4</x:v>
      </x:c>
      <x:c r="H47" s="8" t="n">
        <x:v>341.82</x:v>
      </x:c>
      <x:c r="I47" s="9" t="n">
        <x:v>120</x:v>
      </x:c>
      <x:c r="J47" s="8" t="n">
        <x:v>0</x:v>
      </x:c>
      <x:c r="K47" s="8" t="str">
        <x:v>ACTIVE</x:v>
      </x:c>
      <x:c r="L47" s="8" t="str">
        <x:v>Muebles y enseres</x:v>
      </x:c>
      <x:c r="M47" s="8" t="n">
        <x:v>6836.4</x:v>
      </x:c>
      <x:c r="N47" s="8" t="n">
        <x:v>34182</x:v>
      </x:c>
      <x:c r="O47" s="8" t="n">
        <x:v>7178.22</x:v>
      </x:c>
      <x:c r="P47" s="8" t="n">
        <x:v>7520.04</x:v>
      </x:c>
      <x:c r="Q47" s="8" t="n">
        <x:v>341.82</x:v>
      </x:c>
      <x:c r="R47" s="2" t="str"/>
      <x:c r="S47" s="2" t="str">
        <x:v>Sala Conferencias</x:v>
      </x:c>
      <x:c r="T47" s="11" t="str">
        <x:v>Comprados en Noviembre</x:v>
      </x:c>
      <x:c r="U47" s="10" t="d">
        <x:v>2024-12-31T00:00:00.000Z</x:v>
      </x:c>
    </x:row>
    <x:row r="48" ht="46" customHeight="1">
      <x:c r="A48" s="2" t="n">
        <x:v>61</x:v>
      </x:c>
      <x:c r="B48" s="2" t="str">
        <x:v>MSL-C0015</x:v>
      </x:c>
      <x:c r="C48" s="11" t="str">
        <x:v>Lampara 40x20 sala de conferencias</x:v>
      </x:c>
      <x:c r="D48" s="10" t="d">
        <x:v>2024-12-31T00:00:00.000Z</x:v>
      </x:c>
      <x:c r="E48" s="8" t="n">
        <x:v>320</x:v>
      </x:c>
      <x:c r="F48" s="8" t="n">
        <x:v>512.73</x:v>
      </x:c>
      <x:c r="G48" s="8" t="n">
        <x:v>164073.6</x:v>
      </x:c>
      <x:c r="H48" s="8" t="n">
        <x:v>1367.28</x:v>
      </x:c>
      <x:c r="I48" s="9" t="n">
        <x:v>120</x:v>
      </x:c>
      <x:c r="J48" s="8" t="n">
        <x:v>0</x:v>
      </x:c>
      <x:c r="K48" s="8" t="str">
        <x:v>ACTIVE</x:v>
      </x:c>
      <x:c r="L48" s="8" t="str">
        <x:v>Maquinaria y equipo</x:v>
      </x:c>
      <x:c r="M48" s="8" t="n">
        <x:v>27345.6</x:v>
      </x:c>
      <x:c r="N48" s="8" t="n">
        <x:v>136728</x:v>
      </x:c>
      <x:c r="O48" s="8" t="n">
        <x:v>28712.88</x:v>
      </x:c>
      <x:c r="P48" s="8" t="n">
        <x:v>30080.16</x:v>
      </x:c>
      <x:c r="Q48" s="8" t="n">
        <x:v>1367.28</x:v>
      </x:c>
      <x:c r="R48" s="2" t="str"/>
      <x:c r="S48" s="2" t="str">
        <x:v>Sala Conferencias</x:v>
      </x:c>
      <x:c r="T48" s="11" t="str">
        <x:v>Comprados en Noviembre</x:v>
      </x:c>
      <x:c r="U48" s="10" t="d">
        <x:v>2024-12-31T00:00:00.000Z</x:v>
      </x:c>
    </x:row>
    <x:row r="49" ht="46" customHeight="1">
      <x:c r="A49" s="2" t="n">
        <x:v>62</x:v>
      </x:c>
      <x:c r="B49" s="2" t="str">
        <x:v>MSL-C0016</x:v>
      </x:c>
      <x:c r="C49" s="11" t="str">
        <x:v>Lampara 40x20 sala de conferencias</x:v>
      </x:c>
      <x:c r="D49" s="10" t="d">
        <x:v>2024-12-31T00:00:00.000Z</x:v>
      </x:c>
      <x:c r="E49" s="8" t="n">
        <x:v>320</x:v>
      </x:c>
      <x:c r="F49" s="8" t="n">
        <x:v>512.73</x:v>
      </x:c>
      <x:c r="G49" s="8" t="n">
        <x:v>164073.6</x:v>
      </x:c>
      <x:c r="H49" s="8" t="n">
        <x:v>1367.28</x:v>
      </x:c>
      <x:c r="I49" s="9" t="n">
        <x:v>120</x:v>
      </x:c>
      <x:c r="J49" s="8" t="n">
        <x:v>0</x:v>
      </x:c>
      <x:c r="K49" s="8" t="str">
        <x:v>ACTIVE</x:v>
      </x:c>
      <x:c r="L49" s="8" t="str">
        <x:v>Maquinaria y equipo</x:v>
      </x:c>
      <x:c r="M49" s="8" t="n">
        <x:v>27345.6</x:v>
      </x:c>
      <x:c r="N49" s="8" t="n">
        <x:v>136728</x:v>
      </x:c>
      <x:c r="O49" s="8" t="n">
        <x:v>28712.88</x:v>
      </x:c>
      <x:c r="P49" s="8" t="n">
        <x:v>30080.16</x:v>
      </x:c>
      <x:c r="Q49" s="8" t="n">
        <x:v>1367.28</x:v>
      </x:c>
      <x:c r="R49" s="2" t="str"/>
      <x:c r="S49" s="2" t="str">
        <x:v>Sala Conferencias</x:v>
      </x:c>
      <x:c r="T49" s="11" t="str">
        <x:v>Comprados en Noviembre</x:v>
      </x:c>
      <x:c r="U49" s="10" t="d">
        <x:v>2024-12-31T00:00:00.000Z</x:v>
      </x:c>
    </x:row>
    <x:row r="50" ht="46" customHeight="1">
      <x:c r="A50" s="2" t="n">
        <x:v>25</x:v>
      </x:c>
      <x:c r="B50" s="2" t="str">
        <x:v>MSL-D0001</x:v>
      </x:c>
      <x:c r="C50" s="11" t="str">
        <x:v>GABINETE 2 GAVETAS 50X48X75CM COLOR CLARO</x:v>
      </x:c>
      <x:c r="D50" s="10" t="d">
        <x:v>2024-12-31T00:00:00.000Z</x:v>
      </x:c>
      <x:c r="E50" s="8" t="n">
        <x:v>190</x:v>
      </x:c>
      <x:c r="F50" s="8" t="n">
        <x:v>512.73</x:v>
      </x:c>
      <x:c r="G50" s="8" t="n">
        <x:v>97418.7</x:v>
      </x:c>
      <x:c r="H50" s="8" t="n">
        <x:v>811.82</x:v>
      </x:c>
      <x:c r="I50" s="9" t="n">
        <x:v>120</x:v>
      </x:c>
      <x:c r="J50" s="8" t="n">
        <x:v>0</x:v>
      </x:c>
      <x:c r="K50" s="8" t="str">
        <x:v>ACTIVE</x:v>
      </x:c>
      <x:c r="L50" s="8" t="str">
        <x:v>Muebles y enseres</x:v>
      </x:c>
      <x:c r="M50" s="8" t="n">
        <x:v>16236.4</x:v>
      </x:c>
      <x:c r="N50" s="8" t="n">
        <x:v>81182.3</x:v>
      </x:c>
      <x:c r="O50" s="8" t="n">
        <x:v>17048.22</x:v>
      </x:c>
      <x:c r="P50" s="8" t="n">
        <x:v>17860.04</x:v>
      </x:c>
      <x:c r="Q50" s="8" t="n">
        <x:v>811.82</x:v>
      </x:c>
      <x:c r="R50" s="2" t="str">
        <x:v>NA</x:v>
      </x:c>
      <x:c r="S50" s="2" t="str">
        <x:v>Bodega</x:v>
      </x:c>
      <x:c r="T50" s="11" t="str">
        <x:v>Comprados en Noviembre</x:v>
      </x:c>
      <x:c r="U50" s="10" t="d">
        <x:v>2024-12-31T00:00:00.000Z</x:v>
      </x:c>
    </x:row>
    <x:row r="51" ht="46" customHeight="1">
      <x:c r="A51" s="2" t="n">
        <x:v>48</x:v>
      </x:c>
      <x:c r="B51" s="2" t="str">
        <x:v>MSL-D0002</x:v>
      </x:c>
      <x:c r="C51" s="11" t="str">
        <x:v>Refrigeradora Oster</x:v>
      </x:c>
      <x:c r="D51" s="10" t="d">
        <x:v>2024-12-31T00:00:00.000Z</x:v>
      </x:c>
      <x:c r="E51" s="8" t="n">
        <x:v>800</x:v>
      </x:c>
      <x:c r="F51" s="8" t="n">
        <x:v>512.73</x:v>
      </x:c>
      <x:c r="G51" s="8" t="n">
        <x:v>410184</x:v>
      </x:c>
      <x:c r="H51" s="8" t="n">
        <x:v>3418.2</x:v>
      </x:c>
      <x:c r="I51" s="9" t="n">
        <x:v>120</x:v>
      </x:c>
      <x:c r="J51" s="8" t="n">
        <x:v>0</x:v>
      </x:c>
      <x:c r="K51" s="8" t="str">
        <x:v>ACTIVE</x:v>
      </x:c>
      <x:c r="L51" s="8" t="str">
        <x:v>Equipos de cocina</x:v>
      </x:c>
      <x:c r="M51" s="8" t="n">
        <x:v>68364</x:v>
      </x:c>
      <x:c r="N51" s="8" t="n">
        <x:v>341820</x:v>
      </x:c>
      <x:c r="O51" s="8" t="n">
        <x:v>71782.2</x:v>
      </x:c>
      <x:c r="P51" s="8" t="n">
        <x:v>75200.4</x:v>
      </x:c>
      <x:c r="Q51" s="8" t="n">
        <x:v>3418.2</x:v>
      </x:c>
      <x:c r="R51" s="2" t="str">
        <x:v>OS-TFMI173V</x:v>
      </x:c>
      <x:c r="S51" s="2" t="str">
        <x:v>Bodega</x:v>
      </x:c>
      <x:c r="T51" s="11" t="str">
        <x:v>Comprados en Noviembre</x:v>
      </x:c>
      <x:c r="U51" s="10" t="d">
        <x:v>2024-12-31T00:00:00.000Z</x:v>
      </x:c>
    </x:row>
    <x:row r="52" ht="46" customHeight="1">
      <x:c r="A52" s="2" t="n">
        <x:v>7</x:v>
      </x:c>
      <x:c r="B52" s="2" t="str">
        <x:v>MSL-E0001</x:v>
      </x:c>
      <x:c r="C52" s="11" t="str">
        <x:v>SILLA LATERAL NORIEGA PP LIGHT GREY BASE MADERA</x:v>
      </x:c>
      <x:c r="D52" s="10" t="d">
        <x:v>2024-12-31T00:00:00.000Z</x:v>
      </x:c>
      <x:c r="E52" s="8" t="n">
        <x:v>120</x:v>
      </x:c>
      <x:c r="F52" s="8" t="n">
        <x:v>512.73</x:v>
      </x:c>
      <x:c r="G52" s="8" t="n">
        <x:v>61527.6</x:v>
      </x:c>
      <x:c r="H52" s="8" t="n">
        <x:v>512.73</x:v>
      </x:c>
      <x:c r="I52" s="9" t="n">
        <x:v>120</x:v>
      </x:c>
      <x:c r="J52" s="8" t="n">
        <x:v>0</x:v>
      </x:c>
      <x:c r="K52" s="8" t="str">
        <x:v>ACTIVE</x:v>
      </x:c>
      <x:c r="L52" s="8" t="str">
        <x:v>Equipos de oficina</x:v>
      </x:c>
      <x:c r="M52" s="8" t="n">
        <x:v>10254.6</x:v>
      </x:c>
      <x:c r="N52" s="8" t="n">
        <x:v>51273</x:v>
      </x:c>
      <x:c r="O52" s="8" t="n">
        <x:v>10767.33</x:v>
      </x:c>
      <x:c r="P52" s="8" t="n">
        <x:v>11280.06</x:v>
      </x:c>
      <x:c r="Q52" s="8" t="n">
        <x:v>512.73</x:v>
      </x:c>
      <x:c r="R52" s="2" t="str">
        <x:v>NA</x:v>
      </x:c>
      <x:c r="S52" s="2" t="str">
        <x:v>Cafetin</x:v>
      </x:c>
      <x:c r="T52" s="11" t="str">
        <x:v>Comprados en Noviembre</x:v>
      </x:c>
      <x:c r="U52" s="10" t="d">
        <x:v>2024-12-31T00:00:00.000Z</x:v>
      </x:c>
    </x:row>
    <x:row r="53" ht="46" customHeight="1">
      <x:c r="A53" s="2" t="n">
        <x:v>8</x:v>
      </x:c>
      <x:c r="B53" s="2" t="str">
        <x:v>MSL-E0002</x:v>
      </x:c>
      <x:c r="C53" s="11" t="str">
        <x:v>SILLA LATERAL NORIEGA PP LIGHT GREY BASE MADERA</x:v>
      </x:c>
      <x:c r="D53" s="10" t="d">
        <x:v>2024-12-31T00:00:00.000Z</x:v>
      </x:c>
      <x:c r="E53" s="8" t="n">
        <x:v>120</x:v>
      </x:c>
      <x:c r="F53" s="8" t="n">
        <x:v>512.73</x:v>
      </x:c>
      <x:c r="G53" s="8" t="n">
        <x:v>61527.6</x:v>
      </x:c>
      <x:c r="H53" s="8" t="n">
        <x:v>512.73</x:v>
      </x:c>
      <x:c r="I53" s="9" t="n">
        <x:v>120</x:v>
      </x:c>
      <x:c r="J53" s="8" t="n">
        <x:v>0</x:v>
      </x:c>
      <x:c r="K53" s="8" t="str">
        <x:v>ACTIVE</x:v>
      </x:c>
      <x:c r="L53" s="8" t="str">
        <x:v>Equipos de oficina</x:v>
      </x:c>
      <x:c r="M53" s="8" t="n">
        <x:v>10254.6</x:v>
      </x:c>
      <x:c r="N53" s="8" t="n">
        <x:v>51273</x:v>
      </x:c>
      <x:c r="O53" s="8" t="n">
        <x:v>10767.33</x:v>
      </x:c>
      <x:c r="P53" s="8" t="n">
        <x:v>11280.06</x:v>
      </x:c>
      <x:c r="Q53" s="8" t="n">
        <x:v>512.73</x:v>
      </x:c>
      <x:c r="R53" s="2" t="str">
        <x:v>NA</x:v>
      </x:c>
      <x:c r="S53" s="2" t="str">
        <x:v>Cafetin</x:v>
      </x:c>
      <x:c r="T53" s="11" t="str">
        <x:v>Comprados en Noviembre</x:v>
      </x:c>
      <x:c r="U53" s="10" t="d">
        <x:v>2024-12-31T00:00:00.000Z</x:v>
      </x:c>
    </x:row>
    <x:row r="54" ht="46" customHeight="1">
      <x:c r="A54" s="2" t="n">
        <x:v>15</x:v>
      </x:c>
      <x:c r="B54" s="2" t="str">
        <x:v>MSL-E0003</x:v>
      </x:c>
      <x:c r="C54" s="11" t="str">
        <x:v>SILLA LATERAL NORIEGA PP LIGHT WHITE BASE MADERA</x:v>
      </x:c>
      <x:c r="D54" s="10" t="d">
        <x:v>2024-12-31T00:00:00.000Z</x:v>
      </x:c>
      <x:c r="E54" s="8" t="n">
        <x:v>120</x:v>
      </x:c>
      <x:c r="F54" s="8" t="n">
        <x:v>512.73</x:v>
      </x:c>
      <x:c r="G54" s="8" t="n">
        <x:v>61527.6</x:v>
      </x:c>
      <x:c r="H54" s="8" t="n">
        <x:v>512.73</x:v>
      </x:c>
      <x:c r="I54" s="9" t="n">
        <x:v>120</x:v>
      </x:c>
      <x:c r="J54" s="8" t="n">
        <x:v>0</x:v>
      </x:c>
      <x:c r="K54" s="8" t="str">
        <x:v>ACTIVE</x:v>
      </x:c>
      <x:c r="L54" s="8" t="str">
        <x:v>Equipos de oficina</x:v>
      </x:c>
      <x:c r="M54" s="8" t="n">
        <x:v>10254.6</x:v>
      </x:c>
      <x:c r="N54" s="8" t="n">
        <x:v>51273</x:v>
      </x:c>
      <x:c r="O54" s="8" t="n">
        <x:v>10767.33</x:v>
      </x:c>
      <x:c r="P54" s="8" t="n">
        <x:v>11280.06</x:v>
      </x:c>
      <x:c r="Q54" s="8" t="n">
        <x:v>512.73</x:v>
      </x:c>
      <x:c r="R54" s="2" t="str">
        <x:v>NA</x:v>
      </x:c>
      <x:c r="S54" s="2" t="str">
        <x:v>Cafetin</x:v>
      </x:c>
      <x:c r="T54" s="11" t="str">
        <x:v>Comprados en Noviembre</x:v>
      </x:c>
      <x:c r="U54" s="10" t="d">
        <x:v>2024-12-31T00:00:00.000Z</x:v>
      </x:c>
    </x:row>
    <x:row r="55" ht="46" customHeight="1">
      <x:c r="A55" s="2" t="n">
        <x:v>16</x:v>
      </x:c>
      <x:c r="B55" s="2" t="str">
        <x:v>MSL-E0004</x:v>
      </x:c>
      <x:c r="C55" s="11" t="str">
        <x:v>SILLA LATERAL NORIEGA PP LIGHT WHITE BASE MADERA</x:v>
      </x:c>
      <x:c r="D55" s="10" t="d">
        <x:v>2024-12-31T00:00:00.000Z</x:v>
      </x:c>
      <x:c r="E55" s="8" t="n">
        <x:v>120</x:v>
      </x:c>
      <x:c r="F55" s="8" t="n">
        <x:v>512.73</x:v>
      </x:c>
      <x:c r="G55" s="8" t="n">
        <x:v>61527.6</x:v>
      </x:c>
      <x:c r="H55" s="8" t="n">
        <x:v>512.73</x:v>
      </x:c>
      <x:c r="I55" s="9" t="n">
        <x:v>120</x:v>
      </x:c>
      <x:c r="J55" s="8" t="n">
        <x:v>0</x:v>
      </x:c>
      <x:c r="K55" s="8" t="str">
        <x:v>ACTIVE</x:v>
      </x:c>
      <x:c r="L55" s="8" t="str">
        <x:v>Equipos de oficina</x:v>
      </x:c>
      <x:c r="M55" s="8" t="n">
        <x:v>10254.6</x:v>
      </x:c>
      <x:c r="N55" s="8" t="n">
        <x:v>51273</x:v>
      </x:c>
      <x:c r="O55" s="8" t="n">
        <x:v>10767.33</x:v>
      </x:c>
      <x:c r="P55" s="8" t="n">
        <x:v>11280.06</x:v>
      </x:c>
      <x:c r="Q55" s="8" t="n">
        <x:v>512.73</x:v>
      </x:c>
      <x:c r="R55" s="2" t="str">
        <x:v>NA</x:v>
      </x:c>
      <x:c r="S55" s="2" t="str">
        <x:v>Cafetin</x:v>
      </x:c>
      <x:c r="T55" s="11" t="str">
        <x:v>Comprados en Noviembre</x:v>
      </x:c>
      <x:c r="U55" s="10" t="d">
        <x:v>2024-12-31T00:00:00.000Z</x:v>
      </x:c>
    </x:row>
    <x:row r="56" ht="46" customHeight="1">
      <x:c r="A56" s="2" t="n">
        <x:v>63</x:v>
      </x:c>
      <x:c r="B56" s="2" t="str">
        <x:v>MSL-E0005</x:v>
      </x:c>
      <x:c r="C56" s="11" t="str">
        <x:v>Coffee Maker BLACK AND DEKER CM0916B</x:v>
      </x:c>
      <x:c r="D56" s="10" t="d">
        <x:v>2024-12-31T00:00:00.000Z</x:v>
      </x:c>
      <x:c r="E56" s="8" t="n">
        <x:v>41.75</x:v>
      </x:c>
      <x:c r="F56" s="8" t="n">
        <x:v>512.73</x:v>
      </x:c>
      <x:c r="G56" s="8" t="n">
        <x:v>21406.48</x:v>
      </x:c>
      <x:c r="H56" s="8" t="n">
        <x:v>178.39</x:v>
      </x:c>
      <x:c r="I56" s="9" t="n">
        <x:v>120</x:v>
      </x:c>
      <x:c r="J56" s="8" t="n">
        <x:v>0</x:v>
      </x:c>
      <x:c r="K56" s="8" t="str">
        <x:v>ACTIVE</x:v>
      </x:c>
      <x:c r="L56" s="8" t="str">
        <x:v>Equipos de cocina</x:v>
      </x:c>
      <x:c r="M56" s="8" t="n">
        <x:v>3567.8</x:v>
      </x:c>
      <x:c r="N56" s="8" t="n">
        <x:v>17838.68</x:v>
      </x:c>
      <x:c r="O56" s="8" t="n">
        <x:v>3746.19</x:v>
      </x:c>
      <x:c r="P56" s="8" t="n">
        <x:v>3924.58</x:v>
      </x:c>
      <x:c r="Q56" s="8" t="n">
        <x:v>178.39</x:v>
      </x:c>
      <x:c r="R56" s="2" t="str"/>
      <x:c r="S56" s="2" t="str">
        <x:v>Cafetin</x:v>
      </x:c>
      <x:c r="T56" s="11" t="str">
        <x:v>Comprados en Noviembre</x:v>
      </x:c>
      <x:c r="U56" s="10" t="d">
        <x:v>2024-12-31T00:00:00.000Z</x:v>
      </x:c>
    </x:row>
    <x:row r="57" ht="46" customHeight="1">
      <x:c r="A57" s="2" t="n">
        <x:v>64</x:v>
      </x:c>
      <x:c r="B57" s="2" t="str">
        <x:v>MSL-E0006</x:v>
      </x:c>
      <x:c r="C57" s="11" t="str">
        <x:v>Calentador de agua Oster PVSTKT3101-013</x:v>
      </x:c>
      <x:c r="D57" s="10" t="d">
        <x:v>2024-12-31T00:00:00.000Z</x:v>
      </x:c>
      <x:c r="E57" s="8" t="n">
        <x:v>66.48</x:v>
      </x:c>
      <x:c r="F57" s="8" t="n">
        <x:v>512.73</x:v>
      </x:c>
      <x:c r="G57" s="8" t="n">
        <x:v>34086.29</x:v>
      </x:c>
      <x:c r="H57" s="8" t="n">
        <x:v>284.05</x:v>
      </x:c>
      <x:c r="I57" s="9" t="n">
        <x:v>120</x:v>
      </x:c>
      <x:c r="J57" s="8" t="n">
        <x:v>0</x:v>
      </x:c>
      <x:c r="K57" s="8" t="str">
        <x:v>ACTIVE</x:v>
      </x:c>
      <x:c r="L57" s="8" t="str">
        <x:v>Equipos de cocina</x:v>
      </x:c>
      <x:c r="M57" s="8" t="n">
        <x:v>5681</x:v>
      </x:c>
      <x:c r="N57" s="8" t="n">
        <x:v>28405.29</x:v>
      </x:c>
      <x:c r="O57" s="8" t="n">
        <x:v>5965.05</x:v>
      </x:c>
      <x:c r="P57" s="8" t="n">
        <x:v>6249.1</x:v>
      </x:c>
      <x:c r="Q57" s="8" t="n">
        <x:v>284.05</x:v>
      </x:c>
      <x:c r="R57" s="2" t="str"/>
      <x:c r="S57" s="2" t="str">
        <x:v>Cafetin</x:v>
      </x:c>
      <x:c r="T57" s="11" t="str">
        <x:v>Comprados en Noviembre</x:v>
      </x:c>
      <x:c r="U57" s="10" t="d">
        <x:v>2024-12-31T00:00:00.000Z</x:v>
      </x:c>
    </x:row>
    <x:row r="58" ht="46" customHeight="1">
      <x:c r="A58" s="2" t="n">
        <x:v>65</x:v>
      </x:c>
      <x:c r="B58" s="2" t="str">
        <x:v>MSL-E0007</x:v>
      </x:c>
      <x:c r="C58" s="11" t="str">
        <x:v>Muble de cafetin</x:v>
      </x:c>
      <x:c r="D58" s="10" t="d">
        <x:v>2024-12-31T00:00:00.000Z</x:v>
      </x:c>
      <x:c r="E58" s="8" t="n">
        <x:v>100</x:v>
      </x:c>
      <x:c r="F58" s="8" t="n">
        <x:v>512.73</x:v>
      </x:c>
      <x:c r="G58" s="8" t="n">
        <x:v>51273</x:v>
      </x:c>
      <x:c r="H58" s="8" t="n">
        <x:v>427.28</x:v>
      </x:c>
      <x:c r="I58" s="9" t="n">
        <x:v>120</x:v>
      </x:c>
      <x:c r="J58" s="8" t="n">
        <x:v>0</x:v>
      </x:c>
      <x:c r="K58" s="8" t="str">
        <x:v>ACTIVE</x:v>
      </x:c>
      <x:c r="L58" s="8" t="str">
        <x:v>Muebles y enseres</x:v>
      </x:c>
      <x:c r="M58" s="8" t="n">
        <x:v>8545.6</x:v>
      </x:c>
      <x:c r="N58" s="8" t="n">
        <x:v>42727.4</x:v>
      </x:c>
      <x:c r="O58" s="8" t="n">
        <x:v>8972.88</x:v>
      </x:c>
      <x:c r="P58" s="8" t="n">
        <x:v>9400.16</x:v>
      </x:c>
      <x:c r="Q58" s="8" t="n">
        <x:v>427.28</x:v>
      </x:c>
      <x:c r="R58" s="2" t="str"/>
      <x:c r="S58" s="2" t="str">
        <x:v>Cafetin</x:v>
      </x:c>
      <x:c r="T58" s="11" t="str">
        <x:v>Comprados en Noviembre</x:v>
      </x:c>
      <x:c r="U58" s="10" t="d">
        <x:v>2024-12-31T00:00:00.000Z</x:v>
      </x:c>
    </x:row>
    <x:row r="59" ht="46" customHeight="1">
      <x:c r="A59" s="2" t="n">
        <x:v>66</x:v>
      </x:c>
      <x:c r="B59" s="2" t="str">
        <x:v>MSL-E0008</x:v>
      </x:c>
      <x:c r="C59" s="11" t="str">
        <x:v>Lampara 20x20 cafetin</x:v>
      </x:c>
      <x:c r="D59" s="10" t="d">
        <x:v>2024-12-31T00:00:00.000Z</x:v>
      </x:c>
      <x:c r="E59" s="8" t="n">
        <x:v>240</x:v>
      </x:c>
      <x:c r="F59" s="8" t="n">
        <x:v>512.73</x:v>
      </x:c>
      <x:c r="G59" s="8" t="n">
        <x:v>123055.2</x:v>
      </x:c>
      <x:c r="H59" s="8" t="n">
        <x:v>1025.46</x:v>
      </x:c>
      <x:c r="I59" s="9" t="n">
        <x:v>120</x:v>
      </x:c>
      <x:c r="J59" s="8" t="n">
        <x:v>0</x:v>
      </x:c>
      <x:c r="K59" s="8" t="str">
        <x:v>ACTIVE</x:v>
      </x:c>
      <x:c r="L59" s="8" t="str">
        <x:v>Maquinaria y equipo</x:v>
      </x:c>
      <x:c r="M59" s="8" t="n">
        <x:v>20509.2</x:v>
      </x:c>
      <x:c r="N59" s="8" t="n">
        <x:v>102546</x:v>
      </x:c>
      <x:c r="O59" s="8" t="n">
        <x:v>21534.66</x:v>
      </x:c>
      <x:c r="P59" s="8" t="n">
        <x:v>22560.12</x:v>
      </x:c>
      <x:c r="Q59" s="8" t="n">
        <x:v>1025.46</x:v>
      </x:c>
      <x:c r="R59" s="2" t="str"/>
      <x:c r="S59" s="2" t="str">
        <x:v>Cafetin</x:v>
      </x:c>
      <x:c r="T59" s="11" t="str">
        <x:v>Comprados en Noviembre</x:v>
      </x:c>
      <x:c r="U59" s="10" t="d">
        <x:v>2024-12-31T00:00:00.000Z</x:v>
      </x:c>
    </x:row>
    <x:row r="60" ht="46" customHeight="1">
      <x:c r="A60" s="2" t="n">
        <x:v>67</x:v>
      </x:c>
      <x:c r="B60" s="2" t="str">
        <x:v>MSL-E0009</x:v>
      </x:c>
      <x:c r="C60" s="11" t="str">
        <x:v>Lampara 20x20 cafetin</x:v>
      </x:c>
      <x:c r="D60" s="10" t="d">
        <x:v>2024-12-31T00:00:00.000Z</x:v>
      </x:c>
      <x:c r="E60" s="8" t="n">
        <x:v>240</x:v>
      </x:c>
      <x:c r="F60" s="8" t="n">
        <x:v>512.73</x:v>
      </x:c>
      <x:c r="G60" s="8" t="n">
        <x:v>123055.2</x:v>
      </x:c>
      <x:c r="H60" s="8" t="n">
        <x:v>1025.46</x:v>
      </x:c>
      <x:c r="I60" s="9" t="n">
        <x:v>120</x:v>
      </x:c>
      <x:c r="J60" s="8" t="n">
        <x:v>0</x:v>
      </x:c>
      <x:c r="K60" s="8" t="str">
        <x:v>ACTIVE</x:v>
      </x:c>
      <x:c r="L60" s="8" t="str">
        <x:v>Maquinaria y equipo</x:v>
      </x:c>
      <x:c r="M60" s="8" t="n">
        <x:v>20509.2</x:v>
      </x:c>
      <x:c r="N60" s="8" t="n">
        <x:v>102546</x:v>
      </x:c>
      <x:c r="O60" s="8" t="n">
        <x:v>21534.66</x:v>
      </x:c>
      <x:c r="P60" s="8" t="n">
        <x:v>22560.12</x:v>
      </x:c>
      <x:c r="Q60" s="8" t="n">
        <x:v>1025.46</x:v>
      </x:c>
      <x:c r="R60" s="2" t="str"/>
      <x:c r="S60" s="2" t="str">
        <x:v>Cafetin</x:v>
      </x:c>
      <x:c r="T60" s="11" t="str">
        <x:v>Comprados en Noviembre</x:v>
      </x:c>
      <x:c r="U60" s="10" t="d">
        <x:v>2024-12-31T00:00:00.000Z</x:v>
      </x:c>
    </x:row>
    <x:row r="61" ht="46" customHeight="1">
      <x:c r="A61" s="2" t="n">
        <x:v>68</x:v>
      </x:c>
      <x:c r="B61" s="2" t="str">
        <x:v>MSL-E0010</x:v>
      </x:c>
      <x:c r="C61" s="11" t="str">
        <x:v>Lampara 40x40 cafetin</x:v>
      </x:c>
      <x:c r="D61" s="10" t="d">
        <x:v>2024-12-31T00:00:00.000Z</x:v>
      </x:c>
      <x:c r="E61" s="8" t="n">
        <x:v>240</x:v>
      </x:c>
      <x:c r="F61" s="8" t="n">
        <x:v>512.73</x:v>
      </x:c>
      <x:c r="G61" s="8" t="n">
        <x:v>123055.2</x:v>
      </x:c>
      <x:c r="H61" s="8" t="n">
        <x:v>1025.46</x:v>
      </x:c>
      <x:c r="I61" s="9" t="n">
        <x:v>120</x:v>
      </x:c>
      <x:c r="J61" s="8" t="n">
        <x:v>0</x:v>
      </x:c>
      <x:c r="K61" s="8" t="str">
        <x:v>ACTIVE</x:v>
      </x:c>
      <x:c r="L61" s="8" t="str">
        <x:v>Maquinaria y equipo</x:v>
      </x:c>
      <x:c r="M61" s="8" t="n">
        <x:v>20509.2</x:v>
      </x:c>
      <x:c r="N61" s="8" t="n">
        <x:v>102546</x:v>
      </x:c>
      <x:c r="O61" s="8" t="n">
        <x:v>21534.66</x:v>
      </x:c>
      <x:c r="P61" s="8" t="n">
        <x:v>22560.12</x:v>
      </x:c>
      <x:c r="Q61" s="8" t="n">
        <x:v>1025.46</x:v>
      </x:c>
      <x:c r="R61" s="2" t="str"/>
      <x:c r="S61" s="2" t="str">
        <x:v>Cafetin</x:v>
      </x:c>
      <x:c r="T61" s="11" t="str">
        <x:v>Comprados en Noviembre</x:v>
      </x:c>
      <x:c r="U61" s="10" t="d">
        <x:v>2024-12-31T00:00:00.000Z</x:v>
      </x:c>
    </x:row>
    <x:row r="62" ht="46" customHeight="1">
      <x:c r="A62" s="2" t="n">
        <x:v>9</x:v>
      </x:c>
      <x:c r="B62" s="2" t="str">
        <x:v>MSL-F0001</x:v>
      </x:c>
      <x:c r="C62" s="11" t="str">
        <x:v>SILLA LATERAL NORIEGA PP LIGHT GREY BASE MADERA</x:v>
      </x:c>
      <x:c r="D62" s="10" t="d">
        <x:v>2024-12-31T00:00:00.000Z</x:v>
      </x:c>
      <x:c r="E62" s="8" t="n">
        <x:v>120</x:v>
      </x:c>
      <x:c r="F62" s="8" t="n">
        <x:v>512.73</x:v>
      </x:c>
      <x:c r="G62" s="8" t="n">
        <x:v>61527.6</x:v>
      </x:c>
      <x:c r="H62" s="8" t="n">
        <x:v>512.73</x:v>
      </x:c>
      <x:c r="I62" s="9" t="n">
        <x:v>120</x:v>
      </x:c>
      <x:c r="J62" s="8" t="n">
        <x:v>0</x:v>
      </x:c>
      <x:c r="K62" s="8" t="str">
        <x:v>ACTIVE</x:v>
      </x:c>
      <x:c r="L62" s="8" t="str">
        <x:v>Muebles y enseres</x:v>
      </x:c>
      <x:c r="M62" s="8" t="n">
        <x:v>10254.6</x:v>
      </x:c>
      <x:c r="N62" s="8" t="n">
        <x:v>51273</x:v>
      </x:c>
      <x:c r="O62" s="8" t="n">
        <x:v>10767.33</x:v>
      </x:c>
      <x:c r="P62" s="8" t="n">
        <x:v>11280.06</x:v>
      </x:c>
      <x:c r="Q62" s="8" t="n">
        <x:v>512.73</x:v>
      </x:c>
      <x:c r="R62" s="2" t="str">
        <x:v>NA</x:v>
      </x:c>
      <x:c r="S62" s="2" t="str">
        <x:v>Oficina Diana</x:v>
      </x:c>
      <x:c r="T62" s="11" t="str">
        <x:v>Comprados en Noviembre</x:v>
      </x:c>
      <x:c r="U62" s="10" t="d">
        <x:v>2024-12-31T00:00:00.000Z</x:v>
      </x:c>
    </x:row>
    <x:row r="63" ht="46" customHeight="1">
      <x:c r="A63" s="2" t="n">
        <x:v>10</x:v>
      </x:c>
      <x:c r="B63" s="2" t="str">
        <x:v>MSL-F0002</x:v>
      </x:c>
      <x:c r="C63" s="11" t="str">
        <x:v>SILLA LATERAL NORIEGA PP LIGHT GREY BASE MADERA</x:v>
      </x:c>
      <x:c r="D63" s="10" t="d">
        <x:v>2024-12-31T00:00:00.000Z</x:v>
      </x:c>
      <x:c r="E63" s="8" t="n">
        <x:v>120</x:v>
      </x:c>
      <x:c r="F63" s="8" t="n">
        <x:v>512.73</x:v>
      </x:c>
      <x:c r="G63" s="8" t="n">
        <x:v>61527.6</x:v>
      </x:c>
      <x:c r="H63" s="8" t="n">
        <x:v>512.73</x:v>
      </x:c>
      <x:c r="I63" s="9" t="n">
        <x:v>120</x:v>
      </x:c>
      <x:c r="J63" s="8" t="n">
        <x:v>0</x:v>
      </x:c>
      <x:c r="K63" s="8" t="str">
        <x:v>ACTIVE</x:v>
      </x:c>
      <x:c r="L63" s="8" t="str">
        <x:v>Muebles y enseres</x:v>
      </x:c>
      <x:c r="M63" s="8" t="n">
        <x:v>10254.6</x:v>
      </x:c>
      <x:c r="N63" s="8" t="n">
        <x:v>51273</x:v>
      </x:c>
      <x:c r="O63" s="8" t="n">
        <x:v>10767.33</x:v>
      </x:c>
      <x:c r="P63" s="8" t="n">
        <x:v>11280.06</x:v>
      </x:c>
      <x:c r="Q63" s="8" t="n">
        <x:v>512.73</x:v>
      </x:c>
      <x:c r="R63" s="2" t="str">
        <x:v>NA</x:v>
      </x:c>
      <x:c r="S63" s="2" t="str">
        <x:v>Oficina Diana</x:v>
      </x:c>
      <x:c r="T63" s="11" t="str">
        <x:v>Comprados en Noviembre</x:v>
      </x:c>
      <x:c r="U63" s="10" t="d">
        <x:v>2024-12-31T00:00:00.000Z</x:v>
      </x:c>
    </x:row>
    <x:row r="64" ht="46" customHeight="1">
      <x:c r="A64" s="2" t="n">
        <x:v>11</x:v>
      </x:c>
      <x:c r="B64" s="2" t="str">
        <x:v>MSL-F0003</x:v>
      </x:c>
      <x:c r="C64" s="11" t="str">
        <x:v>SILLA LATERAL NORIEGA PP LIGHT GREY BASE MADERA</x:v>
      </x:c>
      <x:c r="D64" s="10" t="d">
        <x:v>2024-12-31T00:00:00.000Z</x:v>
      </x:c>
      <x:c r="E64" s="8" t="n">
        <x:v>120</x:v>
      </x:c>
      <x:c r="F64" s="8" t="n">
        <x:v>512.73</x:v>
      </x:c>
      <x:c r="G64" s="8" t="n">
        <x:v>61527.6</x:v>
      </x:c>
      <x:c r="H64" s="8" t="n">
        <x:v>512.73</x:v>
      </x:c>
      <x:c r="I64" s="9" t="n">
        <x:v>120</x:v>
      </x:c>
      <x:c r="J64" s="8" t="n">
        <x:v>0</x:v>
      </x:c>
      <x:c r="K64" s="8" t="str">
        <x:v>ACTIVE</x:v>
      </x:c>
      <x:c r="L64" s="8" t="str">
        <x:v>Muebles y enseres</x:v>
      </x:c>
      <x:c r="M64" s="8" t="n">
        <x:v>10254.6</x:v>
      </x:c>
      <x:c r="N64" s="8" t="n">
        <x:v>51273</x:v>
      </x:c>
      <x:c r="O64" s="8" t="n">
        <x:v>10767.33</x:v>
      </x:c>
      <x:c r="P64" s="8" t="n">
        <x:v>11280.06</x:v>
      </x:c>
      <x:c r="Q64" s="8" t="n">
        <x:v>512.73</x:v>
      </x:c>
      <x:c r="R64" s="2" t="str">
        <x:v>NA</x:v>
      </x:c>
      <x:c r="S64" s="2" t="str">
        <x:v>Oficina Pabel</x:v>
      </x:c>
      <x:c r="T64" s="11" t="str">
        <x:v>Comprados en Noviembre</x:v>
      </x:c>
      <x:c r="U64" s="10" t="d">
        <x:v>2024-12-31T00:00:00.000Z</x:v>
      </x:c>
    </x:row>
    <x:row r="65" ht="46" customHeight="1">
      <x:c r="A65" s="2" t="n">
        <x:v>12</x:v>
      </x:c>
      <x:c r="B65" s="2" t="str">
        <x:v>MSL-F0004</x:v>
      </x:c>
      <x:c r="C65" s="11" t="str">
        <x:v>SILLA LATERAL NORIEGA PP LIGHT GREY BASE MADERA</x:v>
      </x:c>
      <x:c r="D65" s="10" t="d">
        <x:v>2024-12-31T00:00:00.000Z</x:v>
      </x:c>
      <x:c r="E65" s="8" t="n">
        <x:v>120</x:v>
      </x:c>
      <x:c r="F65" s="8" t="n">
        <x:v>512.73</x:v>
      </x:c>
      <x:c r="G65" s="8" t="n">
        <x:v>61527.6</x:v>
      </x:c>
      <x:c r="H65" s="8" t="n">
        <x:v>512.73</x:v>
      </x:c>
      <x:c r="I65" s="9" t="n">
        <x:v>120</x:v>
      </x:c>
      <x:c r="J65" s="8" t="n">
        <x:v>0</x:v>
      </x:c>
      <x:c r="K65" s="8" t="str">
        <x:v>ACTIVE</x:v>
      </x:c>
      <x:c r="L65" s="8" t="str">
        <x:v>Muebles y enseres</x:v>
      </x:c>
      <x:c r="M65" s="8" t="n">
        <x:v>10254.6</x:v>
      </x:c>
      <x:c r="N65" s="8" t="n">
        <x:v>51273</x:v>
      </x:c>
      <x:c r="O65" s="8" t="n">
        <x:v>10767.33</x:v>
      </x:c>
      <x:c r="P65" s="8" t="n">
        <x:v>11280.06</x:v>
      </x:c>
      <x:c r="Q65" s="8" t="n">
        <x:v>512.73</x:v>
      </x:c>
      <x:c r="R65" s="2" t="str">
        <x:v>NA</x:v>
      </x:c>
      <x:c r="S65" s="2" t="str">
        <x:v>Oficina Pabel</x:v>
      </x:c>
      <x:c r="T65" s="11" t="str">
        <x:v>Comprados en Noviembre</x:v>
      </x:c>
      <x:c r="U65" s="10" t="d">
        <x:v>2024-12-31T00:00:00.000Z</x:v>
      </x:c>
    </x:row>
    <x:row r="66" ht="46" customHeight="1">
      <x:c r="A66" s="2" t="n">
        <x:v>13</x:v>
      </x:c>
      <x:c r="B66" s="2" t="str">
        <x:v>MSL-F0005</x:v>
      </x:c>
      <x:c r="C66" s="11" t="str">
        <x:v>SILLA LATERAL NORIEGA PP LIGHT GREY BASE MADERA</x:v>
      </x:c>
      <x:c r="D66" s="10" t="d">
        <x:v>2024-12-31T00:00:00.000Z</x:v>
      </x:c>
      <x:c r="E66" s="8" t="n">
        <x:v>120</x:v>
      </x:c>
      <x:c r="F66" s="8" t="n">
        <x:v>512.73</x:v>
      </x:c>
      <x:c r="G66" s="8" t="n">
        <x:v>61527.6</x:v>
      </x:c>
      <x:c r="H66" s="8" t="n">
        <x:v>512.73</x:v>
      </x:c>
      <x:c r="I66" s="9" t="n">
        <x:v>120</x:v>
      </x:c>
      <x:c r="J66" s="8" t="n">
        <x:v>0</x:v>
      </x:c>
      <x:c r="K66" s="8" t="str">
        <x:v>ACTIVE</x:v>
      </x:c>
      <x:c r="L66" s="8" t="str">
        <x:v>Muebles y enseres</x:v>
      </x:c>
      <x:c r="M66" s="8" t="n">
        <x:v>10254.6</x:v>
      </x:c>
      <x:c r="N66" s="8" t="n">
        <x:v>51273</x:v>
      </x:c>
      <x:c r="O66" s="8" t="n">
        <x:v>10767.33</x:v>
      </x:c>
      <x:c r="P66" s="8" t="n">
        <x:v>11280.06</x:v>
      </x:c>
      <x:c r="Q66" s="8" t="n">
        <x:v>512.73</x:v>
      </x:c>
      <x:c r="R66" s="2" t="str">
        <x:v>NA</x:v>
      </x:c>
      <x:c r="S66" s="2" t="str">
        <x:v>Oficina Aaron</x:v>
      </x:c>
      <x:c r="T66" s="11" t="str">
        <x:v>Comprados en Noviembre</x:v>
      </x:c>
      <x:c r="U66" s="10" t="d">
        <x:v>2024-12-31T00:00:00.000Z</x:v>
      </x:c>
    </x:row>
    <x:row r="67" ht="46" customHeight="1">
      <x:c r="A67" s="2" t="n">
        <x:v>14</x:v>
      </x:c>
      <x:c r="B67" s="2" t="str">
        <x:v>MSL-F0006</x:v>
      </x:c>
      <x:c r="C67" s="11" t="str">
        <x:v>SILLA LATERAL NORIEGA PP LIGHT GREY BASE MADERA</x:v>
      </x:c>
      <x:c r="D67" s="10" t="d">
        <x:v>2024-12-31T00:00:00.000Z</x:v>
      </x:c>
      <x:c r="E67" s="8" t="n">
        <x:v>120</x:v>
      </x:c>
      <x:c r="F67" s="8" t="n">
        <x:v>512.73</x:v>
      </x:c>
      <x:c r="G67" s="8" t="n">
        <x:v>61527.6</x:v>
      </x:c>
      <x:c r="H67" s="8" t="n">
        <x:v>512.73</x:v>
      </x:c>
      <x:c r="I67" s="9" t="n">
        <x:v>120</x:v>
      </x:c>
      <x:c r="J67" s="8" t="n">
        <x:v>0</x:v>
      </x:c>
      <x:c r="K67" s="8" t="str">
        <x:v>ACTIVE</x:v>
      </x:c>
      <x:c r="L67" s="8" t="str">
        <x:v>Muebles y enseres</x:v>
      </x:c>
      <x:c r="M67" s="8" t="n">
        <x:v>10254.6</x:v>
      </x:c>
      <x:c r="N67" s="8" t="n">
        <x:v>51273</x:v>
      </x:c>
      <x:c r="O67" s="8" t="n">
        <x:v>10767.33</x:v>
      </x:c>
      <x:c r="P67" s="8" t="n">
        <x:v>11280.06</x:v>
      </x:c>
      <x:c r="Q67" s="8" t="n">
        <x:v>512.73</x:v>
      </x:c>
      <x:c r="R67" s="2" t="str">
        <x:v>NA</x:v>
      </x:c>
      <x:c r="S67" s="2" t="str">
        <x:v>Oficina Aaron</x:v>
      </x:c>
      <x:c r="T67" s="11" t="str">
        <x:v>Comprados en Noviembre</x:v>
      </x:c>
      <x:c r="U67" s="10" t="d">
        <x:v>2024-12-31T00:00:00.000Z</x:v>
      </x:c>
    </x:row>
    <x:row r="68" ht="46" customHeight="1">
      <x:c r="A68" s="2" t="n">
        <x:v>17</x:v>
      </x:c>
      <x:c r="B68" s="2" t="str">
        <x:v>MSL-F0007</x:v>
      </x:c>
      <x:c r="C68" s="11" t="str">
        <x:v>SILLA LATERAL NORIEGA PP LIGHT GREY BASE MADERA</x:v>
      </x:c>
      <x:c r="D68" s="10" t="d">
        <x:v>2024-12-31T00:00:00.000Z</x:v>
      </x:c>
      <x:c r="E68" s="8" t="n">
        <x:v>120</x:v>
      </x:c>
      <x:c r="F68" s="8" t="n">
        <x:v>512.73</x:v>
      </x:c>
      <x:c r="G68" s="8" t="n">
        <x:v>61527.6</x:v>
      </x:c>
      <x:c r="H68" s="8" t="n">
        <x:v>512.73</x:v>
      </x:c>
      <x:c r="I68" s="9" t="n">
        <x:v>120</x:v>
      </x:c>
      <x:c r="J68" s="8" t="n">
        <x:v>0</x:v>
      </x:c>
      <x:c r="K68" s="8" t="str">
        <x:v>ACTIVE</x:v>
      </x:c>
      <x:c r="L68" s="8" t="str">
        <x:v>Muebles y enseres</x:v>
      </x:c>
      <x:c r="M68" s="8" t="n">
        <x:v>10254.6</x:v>
      </x:c>
      <x:c r="N68" s="8" t="n">
        <x:v>51273</x:v>
      </x:c>
      <x:c r="O68" s="8" t="n">
        <x:v>10767.33</x:v>
      </x:c>
      <x:c r="P68" s="8" t="n">
        <x:v>11280.06</x:v>
      </x:c>
      <x:c r="Q68" s="8" t="n">
        <x:v>512.73</x:v>
      </x:c>
      <x:c r="R68" s="2" t="str">
        <x:v>NA</x:v>
      </x:c>
      <x:c r="S68" s="2" t="str">
        <x:v>Oficina Abogados</x:v>
      </x:c>
      <x:c r="T68" s="11" t="str">
        <x:v>Comprados en Noviembre</x:v>
      </x:c>
      <x:c r="U68" s="10" t="d">
        <x:v>2024-12-31T00:00:00.000Z</x:v>
      </x:c>
    </x:row>
    <x:row r="69" ht="46" customHeight="1">
      <x:c r="A69" s="2" t="n">
        <x:v>26</x:v>
      </x:c>
      <x:c r="B69" s="2" t="str">
        <x:v>MSL-F0008</x:v>
      </x:c>
      <x:c r="C69" s="11" t="str">
        <x:v>ESCRITORIO SPACIO 140X60X75CM LISO COLOR CLARO</x:v>
      </x:c>
      <x:c r="D69" s="10" t="d">
        <x:v>2024-12-31T00:00:00.000Z</x:v>
      </x:c>
      <x:c r="E69" s="8" t="n">
        <x:v>320</x:v>
      </x:c>
      <x:c r="F69" s="8" t="n">
        <x:v>512.73</x:v>
      </x:c>
      <x:c r="G69" s="8" t="n">
        <x:v>164073.6</x:v>
      </x:c>
      <x:c r="H69" s="8" t="n">
        <x:v>1367.28</x:v>
      </x:c>
      <x:c r="I69" s="9" t="n">
        <x:v>120</x:v>
      </x:c>
      <x:c r="J69" s="8" t="n">
        <x:v>0</x:v>
      </x:c>
      <x:c r="K69" s="8" t="str">
        <x:v>ACTIVE</x:v>
      </x:c>
      <x:c r="L69" s="8" t="str">
        <x:v>Muebles y enseres</x:v>
      </x:c>
      <x:c r="M69" s="8" t="n">
        <x:v>27345.6</x:v>
      </x:c>
      <x:c r="N69" s="8" t="n">
        <x:v>136728</x:v>
      </x:c>
      <x:c r="O69" s="8" t="n">
        <x:v>28712.88</x:v>
      </x:c>
      <x:c r="P69" s="8" t="n">
        <x:v>30080.16</x:v>
      </x:c>
      <x:c r="Q69" s="8" t="n">
        <x:v>1367.28</x:v>
      </x:c>
      <x:c r="R69" s="2" t="str">
        <x:v>NA</x:v>
      </x:c>
      <x:c r="S69" s="2" t="str">
        <x:v>Oficina Abogados</x:v>
      </x:c>
      <x:c r="T69" s="11" t="str">
        <x:v>Comprados en Noviembre</x:v>
      </x:c>
      <x:c r="U69" s="10" t="d">
        <x:v>2024-12-31T00:00:00.000Z</x:v>
      </x:c>
    </x:row>
    <x:row r="70" ht="46" customHeight="1">
      <x:c r="A70" s="2" t="n">
        <x:v>27</x:v>
      </x:c>
      <x:c r="B70" s="2" t="str">
        <x:v>MSL-F0009</x:v>
      </x:c>
      <x:c r="C70" s="11" t="str">
        <x:v>ESCRITORIO SPACIO 140X60X75CM LISO COLOR CLARO</x:v>
      </x:c>
      <x:c r="D70" s="10" t="d">
        <x:v>2024-12-31T00:00:00.000Z</x:v>
      </x:c>
      <x:c r="E70" s="8" t="n">
        <x:v>320</x:v>
      </x:c>
      <x:c r="F70" s="8" t="n">
        <x:v>512.73</x:v>
      </x:c>
      <x:c r="G70" s="8" t="n">
        <x:v>164073.6</x:v>
      </x:c>
      <x:c r="H70" s="8" t="n">
        <x:v>1367.28</x:v>
      </x:c>
      <x:c r="I70" s="9" t="n">
        <x:v>120</x:v>
      </x:c>
      <x:c r="J70" s="8" t="n">
        <x:v>0</x:v>
      </x:c>
      <x:c r="K70" s="8" t="str">
        <x:v>ACTIVE</x:v>
      </x:c>
      <x:c r="L70" s="8" t="str">
        <x:v>Muebles y enseres</x:v>
      </x:c>
      <x:c r="M70" s="8" t="n">
        <x:v>27345.6</x:v>
      </x:c>
      <x:c r="N70" s="8" t="n">
        <x:v>136728</x:v>
      </x:c>
      <x:c r="O70" s="8" t="n">
        <x:v>28712.88</x:v>
      </x:c>
      <x:c r="P70" s="8" t="n">
        <x:v>30080.16</x:v>
      </x:c>
      <x:c r="Q70" s="8" t="n">
        <x:v>1367.28</x:v>
      </x:c>
      <x:c r="R70" s="2" t="str">
        <x:v>NA</x:v>
      </x:c>
      <x:c r="S70" s="2" t="str">
        <x:v>Oficina Abogados</x:v>
      </x:c>
      <x:c r="T70" s="11" t="str">
        <x:v>Comprados en Noviembre</x:v>
      </x:c>
      <x:c r="U70" s="10" t="d">
        <x:v>2024-12-31T00:00:00.000Z</x:v>
      </x:c>
    </x:row>
    <x:row r="71" ht="46" customHeight="1">
      <x:c r="A71" s="2" t="n">
        <x:v>28</x:v>
      </x:c>
      <x:c r="B71" s="2" t="str">
        <x:v>MSL-F0010</x:v>
      </x:c>
      <x:c r="C71" s="11" t="str">
        <x:v>ESCRITORIO PAXSON 140X60CM C RETORNO IZQUIERDO SENTADO (4 BULTOS)</x:v>
      </x:c>
      <x:c r="D71" s="10" t="d">
        <x:v>2024-12-31T00:00:00.000Z</x:v>
      </x:c>
      <x:c r="E71" s="8" t="n">
        <x:v>490</x:v>
      </x:c>
      <x:c r="F71" s="8" t="n">
        <x:v>512.73</x:v>
      </x:c>
      <x:c r="G71" s="8" t="n">
        <x:v>251237.7</x:v>
      </x:c>
      <x:c r="H71" s="8" t="n">
        <x:v>2093.65</x:v>
      </x:c>
      <x:c r="I71" s="9" t="n">
        <x:v>120</x:v>
      </x:c>
      <x:c r="J71" s="8" t="n">
        <x:v>0</x:v>
      </x:c>
      <x:c r="K71" s="8" t="str">
        <x:v>ACTIVE</x:v>
      </x:c>
      <x:c r="L71" s="8" t="str">
        <x:v>Muebles y enseres</x:v>
      </x:c>
      <x:c r="M71" s="8" t="n">
        <x:v>41873</x:v>
      </x:c>
      <x:c r="N71" s="8" t="n">
        <x:v>209364.7</x:v>
      </x:c>
      <x:c r="O71" s="8" t="n">
        <x:v>43966.65</x:v>
      </x:c>
      <x:c r="P71" s="8" t="n">
        <x:v>46060.3</x:v>
      </x:c>
      <x:c r="Q71" s="8" t="n">
        <x:v>2093.65</x:v>
      </x:c>
      <x:c r="R71" s="2" t="str"/>
      <x:c r="S71" s="2" t="str">
        <x:v>Oficina Aaron</x:v>
      </x:c>
      <x:c r="T71" s="11" t="str">
        <x:v>Comprados en Noviembre</x:v>
      </x:c>
      <x:c r="U71" s="10" t="d">
        <x:v>2024-12-31T00:00:00.000Z</x:v>
      </x:c>
    </x:row>
    <x:row r="72" ht="46" customHeight="1">
      <x:c r="A72" s="2" t="n">
        <x:v>29</x:v>
      </x:c>
      <x:c r="B72" s="2" t="str">
        <x:v>MSL-F0011</x:v>
      </x:c>
      <x:c r="C72" s="11" t="str">
        <x:v>ESCRITORIO PAXSON140X60CM C RETORNO DERECHO SENTADO [[4 BULTOS]]</x:v>
      </x:c>
      <x:c r="D72" s="10" t="d">
        <x:v>2024-12-31T00:00:00.000Z</x:v>
      </x:c>
      <x:c r="E72" s="8" t="n">
        <x:v>490</x:v>
      </x:c>
      <x:c r="F72" s="8" t="n">
        <x:v>512.73</x:v>
      </x:c>
      <x:c r="G72" s="8" t="n">
        <x:v>251237.7</x:v>
      </x:c>
      <x:c r="H72" s="8" t="n">
        <x:v>2093.65</x:v>
      </x:c>
      <x:c r="I72" s="9" t="n">
        <x:v>120</x:v>
      </x:c>
      <x:c r="J72" s="8" t="n">
        <x:v>0</x:v>
      </x:c>
      <x:c r="K72" s="8" t="str">
        <x:v>ACTIVE</x:v>
      </x:c>
      <x:c r="L72" s="8" t="str">
        <x:v>Muebles y enseres</x:v>
      </x:c>
      <x:c r="M72" s="8" t="n">
        <x:v>41873</x:v>
      </x:c>
      <x:c r="N72" s="8" t="n">
        <x:v>209364.7</x:v>
      </x:c>
      <x:c r="O72" s="8" t="n">
        <x:v>43966.65</x:v>
      </x:c>
      <x:c r="P72" s="8" t="n">
        <x:v>46060.3</x:v>
      </x:c>
      <x:c r="Q72" s="8" t="n">
        <x:v>2093.65</x:v>
      </x:c>
      <x:c r="R72" s="2" t="str"/>
      <x:c r="S72" s="2" t="str">
        <x:v>Oficina Pabel</x:v>
      </x:c>
      <x:c r="T72" s="11" t="str">
        <x:v>Comprados en Noviembre</x:v>
      </x:c>
      <x:c r="U72" s="10" t="d">
        <x:v>2024-12-31T00:00:00.000Z</x:v>
      </x:c>
    </x:row>
    <x:row r="73" ht="46" customHeight="1">
      <x:c r="A73" s="2" t="n">
        <x:v>30</x:v>
      </x:c>
      <x:c r="B73" s="2" t="str">
        <x:v>MSL-F0012</x:v>
      </x:c>
      <x:c r="C73" s="11" t="str">
        <x:v>ESCRITORIO PAXSON140X60CM C RETORNO DERECHO SENTADO [[4 BULTOS]]</x:v>
      </x:c>
      <x:c r="D73" s="10" t="d">
        <x:v>2024-12-31T00:00:00.000Z</x:v>
      </x:c>
      <x:c r="E73" s="8" t="n">
        <x:v>490</x:v>
      </x:c>
      <x:c r="F73" s="8" t="n">
        <x:v>512.73</x:v>
      </x:c>
      <x:c r="G73" s="8" t="n">
        <x:v>251237.7</x:v>
      </x:c>
      <x:c r="H73" s="8" t="n">
        <x:v>2093.65</x:v>
      </x:c>
      <x:c r="I73" s="9" t="n">
        <x:v>120</x:v>
      </x:c>
      <x:c r="J73" s="8" t="n">
        <x:v>0</x:v>
      </x:c>
      <x:c r="K73" s="8" t="str">
        <x:v>ACTIVE</x:v>
      </x:c>
      <x:c r="L73" s="8" t="str">
        <x:v>Muebles y enseres</x:v>
      </x:c>
      <x:c r="M73" s="8" t="n">
        <x:v>41873</x:v>
      </x:c>
      <x:c r="N73" s="8" t="n">
        <x:v>209364.7</x:v>
      </x:c>
      <x:c r="O73" s="8" t="n">
        <x:v>43966.65</x:v>
      </x:c>
      <x:c r="P73" s="8" t="n">
        <x:v>46060.3</x:v>
      </x:c>
      <x:c r="Q73" s="8" t="n">
        <x:v>2093.65</x:v>
      </x:c>
      <x:c r="R73" s="2" t="str"/>
      <x:c r="S73" s="2" t="str">
        <x:v>Oficina Diana</x:v>
      </x:c>
      <x:c r="T73" s="11" t="str">
        <x:v>Comprados en Noviembre</x:v>
      </x:c>
      <x:c r="U73" s="10" t="d">
        <x:v>2024-12-31T00:00:00.000Z</x:v>
      </x:c>
    </x:row>
    <x:row r="74" ht="46" customHeight="1">
      <x:c r="A74" s="2" t="n">
        <x:v>31</x:v>
      </x:c>
      <x:c r="B74" s="2" t="str">
        <x:v>MSL-F0013</x:v>
      </x:c>
      <x:c r="C74" s="11" t="str">
        <x:v>SILLA EJECUTIVA KUNA GRIS BASE NYLON GRIS</x:v>
      </x:c>
      <x:c r="D74" s="10" t="d">
        <x:v>2024-12-31T00:00:00.000Z</x:v>
      </x:c>
      <x:c r="E74" s="8" t="n">
        <x:v>150</x:v>
      </x:c>
      <x:c r="F74" s="8" t="n">
        <x:v>512.73</x:v>
      </x:c>
      <x:c r="G74" s="8" t="n">
        <x:v>76909.5</x:v>
      </x:c>
      <x:c r="H74" s="8" t="n">
        <x:v>640.91</x:v>
      </x:c>
      <x:c r="I74" s="9" t="n">
        <x:v>120</x:v>
      </x:c>
      <x:c r="J74" s="8" t="n">
        <x:v>0</x:v>
      </x:c>
      <x:c r="K74" s="8" t="str">
        <x:v>ACTIVE</x:v>
      </x:c>
      <x:c r="L74" s="8" t="str">
        <x:v>Muebles y enseres</x:v>
      </x:c>
      <x:c r="M74" s="8" t="n">
        <x:v>12818.2</x:v>
      </x:c>
      <x:c r="N74" s="8" t="n">
        <x:v>64091.3</x:v>
      </x:c>
      <x:c r="O74" s="8" t="n">
        <x:v>13459.11</x:v>
      </x:c>
      <x:c r="P74" s="8" t="n">
        <x:v>14100.02</x:v>
      </x:c>
      <x:c r="Q74" s="8" t="n">
        <x:v>640.91</x:v>
      </x:c>
      <x:c r="R74" s="2" t="str"/>
      <x:c r="S74" s="2" t="str">
        <x:v>Oficina Abogados</x:v>
      </x:c>
      <x:c r="T74" s="11" t="str">
        <x:v>Comprados en Noviembre</x:v>
      </x:c>
      <x:c r="U74" s="10" t="d">
        <x:v>2024-12-31T00:00:00.000Z</x:v>
      </x:c>
    </x:row>
    <x:row r="75" ht="46" customHeight="1">
      <x:c r="A75" s="2" t="n">
        <x:v>32</x:v>
      </x:c>
      <x:c r="B75" s="2" t="str">
        <x:v>MSL-F0014</x:v>
      </x:c>
      <x:c r="C75" s="11" t="str">
        <x:v>SILLA EJECUTIVA KUNA GRIS BASE NYLON GRIS</x:v>
      </x:c>
      <x:c r="D75" s="10" t="d">
        <x:v>2024-12-31T00:00:00.000Z</x:v>
      </x:c>
      <x:c r="E75" s="8" t="n">
        <x:v>150</x:v>
      </x:c>
      <x:c r="F75" s="8" t="n">
        <x:v>512.73</x:v>
      </x:c>
      <x:c r="G75" s="8" t="n">
        <x:v>76909.5</x:v>
      </x:c>
      <x:c r="H75" s="8" t="n">
        <x:v>640.91</x:v>
      </x:c>
      <x:c r="I75" s="9" t="n">
        <x:v>120</x:v>
      </x:c>
      <x:c r="J75" s="8" t="n">
        <x:v>0</x:v>
      </x:c>
      <x:c r="K75" s="8" t="str">
        <x:v>ACTIVE</x:v>
      </x:c>
      <x:c r="L75" s="8" t="str">
        <x:v>Muebles y enseres</x:v>
      </x:c>
      <x:c r="M75" s="8" t="n">
        <x:v>12818.2</x:v>
      </x:c>
      <x:c r="N75" s="8" t="n">
        <x:v>64091.3</x:v>
      </x:c>
      <x:c r="O75" s="8" t="n">
        <x:v>13459.11</x:v>
      </x:c>
      <x:c r="P75" s="8" t="n">
        <x:v>14100.02</x:v>
      </x:c>
      <x:c r="Q75" s="8" t="n">
        <x:v>640.91</x:v>
      </x:c>
      <x:c r="R75" s="2" t="str"/>
      <x:c r="S75" s="2" t="str">
        <x:v>Oficina Abogados</x:v>
      </x:c>
      <x:c r="T75" s="11" t="str">
        <x:v>Comprados en Noviembre</x:v>
      </x:c>
      <x:c r="U75" s="10" t="d">
        <x:v>2024-12-31T00:00:00.000Z</x:v>
      </x:c>
    </x:row>
    <x:row r="76" ht="46" customHeight="1">
      <x:c r="A76" s="2" t="n">
        <x:v>33</x:v>
      </x:c>
      <x:c r="B76" s="2" t="str">
        <x:v>MSL-F0015</x:v>
      </x:c>
      <x:c r="C76" s="11" t="str">
        <x:v>SILLA MJ EJECUTIVA</x:v>
      </x:c>
      <x:c r="D76" s="10" t="d">
        <x:v>2024-12-31T00:00:00.000Z</x:v>
      </x:c>
      <x:c r="E76" s="8" t="n">
        <x:v>331.85</x:v>
      </x:c>
      <x:c r="F76" s="8" t="n">
        <x:v>512.73</x:v>
      </x:c>
      <x:c r="G76" s="8" t="n">
        <x:v>170149.45</x:v>
      </x:c>
      <x:c r="H76" s="8" t="n">
        <x:v>1417.91</x:v>
      </x:c>
      <x:c r="I76" s="9" t="n">
        <x:v>120</x:v>
      </x:c>
      <x:c r="J76" s="8" t="n">
        <x:v>0</x:v>
      </x:c>
      <x:c r="K76" s="8" t="str">
        <x:v>ACTIVE</x:v>
      </x:c>
      <x:c r="L76" s="8" t="str">
        <x:v>Muebles y enseres</x:v>
      </x:c>
      <x:c r="M76" s="8" t="n">
        <x:v>28358.2</x:v>
      </x:c>
      <x:c r="N76" s="8" t="n">
        <x:v>141791.25</x:v>
      </x:c>
      <x:c r="O76" s="8" t="n">
        <x:v>29776.11</x:v>
      </x:c>
      <x:c r="P76" s="8" t="n">
        <x:v>31194.02</x:v>
      </x:c>
      <x:c r="Q76" s="8" t="n">
        <x:v>1417.91</x:v>
      </x:c>
      <x:c r="R76" s="2" t="str"/>
      <x:c r="S76" s="2" t="str">
        <x:v>Oficina Aaron</x:v>
      </x:c>
      <x:c r="T76" s="11" t="str">
        <x:v>Comprados en Noviembre</x:v>
      </x:c>
      <x:c r="U76" s="10" t="d">
        <x:v>2024-12-31T00:00:00.000Z</x:v>
      </x:c>
    </x:row>
    <x:row r="77" ht="46" customHeight="1">
      <x:c r="A77" s="2" t="n">
        <x:v>34</x:v>
      </x:c>
      <x:c r="B77" s="2" t="str">
        <x:v>MSL-F0016</x:v>
      </x:c>
      <x:c r="C77" s="11" t="str">
        <x:v>SILLA MJ EJECUTIVA</x:v>
      </x:c>
      <x:c r="D77" s="10" t="d">
        <x:v>2024-12-31T00:00:00.000Z</x:v>
      </x:c>
      <x:c r="E77" s="8" t="n">
        <x:v>331.85</x:v>
      </x:c>
      <x:c r="F77" s="8" t="n">
        <x:v>512.73</x:v>
      </x:c>
      <x:c r="G77" s="8" t="n">
        <x:v>170149.45</x:v>
      </x:c>
      <x:c r="H77" s="8" t="n">
        <x:v>1417.91</x:v>
      </x:c>
      <x:c r="I77" s="9" t="n">
        <x:v>120</x:v>
      </x:c>
      <x:c r="J77" s="8" t="n">
        <x:v>0</x:v>
      </x:c>
      <x:c r="K77" s="8" t="str">
        <x:v>ACTIVE</x:v>
      </x:c>
      <x:c r="L77" s="8" t="str">
        <x:v>Muebles y enseres</x:v>
      </x:c>
      <x:c r="M77" s="8" t="n">
        <x:v>28358.2</x:v>
      </x:c>
      <x:c r="N77" s="8" t="n">
        <x:v>141791.25</x:v>
      </x:c>
      <x:c r="O77" s="8" t="n">
        <x:v>29776.11</x:v>
      </x:c>
      <x:c r="P77" s="8" t="n">
        <x:v>31194.02</x:v>
      </x:c>
      <x:c r="Q77" s="8" t="n">
        <x:v>1417.91</x:v>
      </x:c>
      <x:c r="R77" s="2" t="str"/>
      <x:c r="S77" s="2" t="str">
        <x:v>Oficina Pabel</x:v>
      </x:c>
      <x:c r="T77" s="11" t="str">
        <x:v>Comprados en Noviembre</x:v>
      </x:c>
      <x:c r="U77" s="10" t="d">
        <x:v>2024-12-31T00:00:00.000Z</x:v>
      </x:c>
    </x:row>
    <x:row r="78" ht="46" customHeight="1">
      <x:c r="A78" s="2" t="n">
        <x:v>35</x:v>
      </x:c>
      <x:c r="B78" s="2" t="str">
        <x:v>MSL-F0017</x:v>
      </x:c>
      <x:c r="C78" s="11" t="str">
        <x:v>SILLA MJ EJECUTIVA</x:v>
      </x:c>
      <x:c r="D78" s="10" t="d">
        <x:v>2024-12-31T00:00:00.000Z</x:v>
      </x:c>
      <x:c r="E78" s="8" t="n">
        <x:v>331.85</x:v>
      </x:c>
      <x:c r="F78" s="8" t="n">
        <x:v>512.73</x:v>
      </x:c>
      <x:c r="G78" s="8" t="n">
        <x:v>170149.45</x:v>
      </x:c>
      <x:c r="H78" s="8" t="n">
        <x:v>1417.91</x:v>
      </x:c>
      <x:c r="I78" s="9" t="n">
        <x:v>120</x:v>
      </x:c>
      <x:c r="J78" s="8" t="n">
        <x:v>0</x:v>
      </x:c>
      <x:c r="K78" s="8" t="str">
        <x:v>ACTIVE</x:v>
      </x:c>
      <x:c r="L78" s="8" t="str">
        <x:v>Muebles y enseres</x:v>
      </x:c>
      <x:c r="M78" s="8" t="n">
        <x:v>28358.2</x:v>
      </x:c>
      <x:c r="N78" s="8" t="n">
        <x:v>141791.25</x:v>
      </x:c>
      <x:c r="O78" s="8" t="n">
        <x:v>29776.11</x:v>
      </x:c>
      <x:c r="P78" s="8" t="n">
        <x:v>31194.02</x:v>
      </x:c>
      <x:c r="Q78" s="8" t="n">
        <x:v>1417.91</x:v>
      </x:c>
      <x:c r="R78" s="2" t="str"/>
      <x:c r="S78" s="2" t="str">
        <x:v>Oficina Diana</x:v>
      </x:c>
      <x:c r="T78" s="11" t="str">
        <x:v>Comprados en Noviembre</x:v>
      </x:c>
      <x:c r="U78" s="10" t="d">
        <x:v>2024-12-31T00:00:00.000Z</x:v>
      </x:c>
    </x:row>
    <x:row r="79" ht="46" customHeight="1">
      <x:c r="A79" s="2" t="n">
        <x:v>45</x:v>
      </x:c>
      <x:c r="B79" s="2" t="str">
        <x:v>MSL-F0018</x:v>
      </x:c>
      <x:c r="C79" s="11" t="str">
        <x:v>Monitor Samsung 27" C27F390FHL</x:v>
      </x:c>
      <x:c r="D79" s="10" t="d">
        <x:v>2024-12-31T00:00:00.000Z</x:v>
      </x:c>
      <x:c r="E79" s="8" t="n">
        <x:v>400</x:v>
      </x:c>
      <x:c r="F79" s="8" t="n">
        <x:v>512.73</x:v>
      </x:c>
      <x:c r="G79" s="8" t="n">
        <x:v>205092</x:v>
      </x:c>
      <x:c r="H79" s="8" t="n">
        <x:v>1709.1</x:v>
      </x:c>
      <x:c r="I79" s="9" t="n">
        <x:v>120</x:v>
      </x:c>
      <x:c r="J79" s="8" t="n">
        <x:v>0</x:v>
      </x:c>
      <x:c r="K79" s="8" t="str">
        <x:v>ACTIVE</x:v>
      </x:c>
      <x:c r="L79" s="8" t="str">
        <x:v>Equipos de oficina</x:v>
      </x:c>
      <x:c r="M79" s="8" t="n">
        <x:v>34182</x:v>
      </x:c>
      <x:c r="N79" s="8" t="n">
        <x:v>170910</x:v>
      </x:c>
      <x:c r="O79" s="8" t="n">
        <x:v>35891.1</x:v>
      </x:c>
      <x:c r="P79" s="8" t="n">
        <x:v>37600.2</x:v>
      </x:c>
      <x:c r="Q79" s="8" t="n">
        <x:v>1709.1</x:v>
      </x:c>
      <x:c r="R79" s="2" t="str">
        <x:v>BZT5H4ZN9002008X</x:v>
      </x:c>
      <x:c r="S79" s="2" t="str">
        <x:v>Oficina Diana</x:v>
      </x:c>
      <x:c r="T79" s="11" t="str">
        <x:v>Comprados en Noviembre</x:v>
      </x:c>
      <x:c r="U79" s="10" t="d">
        <x:v>2024-12-31T00:00:00.000Z</x:v>
      </x:c>
    </x:row>
    <x:row r="80" ht="46" customHeight="1">
      <x:c r="A80" s="2" t="n">
        <x:v>69</x:v>
      </x:c>
      <x:c r="B80" s="2" t="str">
        <x:v>MSL-F0019</x:v>
      </x:c>
      <x:c r="C80" s="11" t="str">
        <x:v>Teclado Logitech</x:v>
      </x:c>
      <x:c r="D80" s="10" t="d">
        <x:v>2024-12-31T00:00:00.000Z</x:v>
      </x:c>
      <x:c r="E80" s="8" t="n">
        <x:v>60</x:v>
      </x:c>
      <x:c r="F80" s="8" t="n">
        <x:v>512.73</x:v>
      </x:c>
      <x:c r="G80" s="8" t="n">
        <x:v>30763.8</x:v>
      </x:c>
      <x:c r="H80" s="8" t="n">
        <x:v>256.37</x:v>
      </x:c>
      <x:c r="I80" s="9" t="n">
        <x:v>120</x:v>
      </x:c>
      <x:c r="J80" s="8" t="n">
        <x:v>0</x:v>
      </x:c>
      <x:c r="K80" s="8" t="str">
        <x:v>ACTIVE</x:v>
      </x:c>
      <x:c r="L80" s="8" t="str">
        <x:v>Equipos de oficina</x:v>
      </x:c>
      <x:c r="M80" s="8" t="n">
        <x:v>5127.4</x:v>
      </x:c>
      <x:c r="N80" s="8" t="n">
        <x:v>25636.4</x:v>
      </x:c>
      <x:c r="O80" s="8" t="n">
        <x:v>5383.77</x:v>
      </x:c>
      <x:c r="P80" s="8" t="n">
        <x:v>5640.14</x:v>
      </x:c>
      <x:c r="Q80" s="8" t="n">
        <x:v>256.37</x:v>
      </x:c>
      <x:c r="R80" s="2" t="str">
        <x:v>2404SY02TL18</x:v>
      </x:c>
      <x:c r="S80" s="2" t="str">
        <x:v>Oficina Diana</x:v>
      </x:c>
      <x:c r="T80" s="11" t="str">
        <x:v>Comprados en Noviembre</x:v>
      </x:c>
      <x:c r="U80" s="10" t="d">
        <x:v>2024-12-31T00:00:00.000Z</x:v>
      </x:c>
    </x:row>
    <x:row r="81" ht="46" customHeight="1">
      <x:c r="A81" s="2" t="n">
        <x:v>70</x:v>
      </x:c>
      <x:c r="B81" s="2" t="str">
        <x:v>MSL-F0020</x:v>
      </x:c>
      <x:c r="C81" s="11" t="str">
        <x:v>Estante mueble oficina Diana</x:v>
      </x:c>
      <x:c r="D81" s="10" t="d">
        <x:v>2024-12-31T00:00:00.000Z</x:v>
      </x:c>
      <x:c r="E81" s="8" t="n">
        <x:v>100</x:v>
      </x:c>
      <x:c r="F81" s="8" t="n">
        <x:v>512.73</x:v>
      </x:c>
      <x:c r="G81" s="8" t="n">
        <x:v>51273</x:v>
      </x:c>
      <x:c r="H81" s="8" t="n">
        <x:v>427.28</x:v>
      </x:c>
      <x:c r="I81" s="9" t="n">
        <x:v>120</x:v>
      </x:c>
      <x:c r="J81" s="8" t="n">
        <x:v>0</x:v>
      </x:c>
      <x:c r="K81" s="8" t="str">
        <x:v>ACTIVE</x:v>
      </x:c>
      <x:c r="L81" s="8" t="str">
        <x:v>Muebles y enseres</x:v>
      </x:c>
      <x:c r="M81" s="8" t="n">
        <x:v>8545.6</x:v>
      </x:c>
      <x:c r="N81" s="8" t="n">
        <x:v>42727.4</x:v>
      </x:c>
      <x:c r="O81" s="8" t="n">
        <x:v>8972.88</x:v>
      </x:c>
      <x:c r="P81" s="8" t="n">
        <x:v>9400.16</x:v>
      </x:c>
      <x:c r="Q81" s="8" t="n">
        <x:v>427.28</x:v>
      </x:c>
      <x:c r="R81" s="2" t="str"/>
      <x:c r="S81" s="2" t="str">
        <x:v>Oficina Diana</x:v>
      </x:c>
      <x:c r="T81" s="11" t="str">
        <x:v>Comprados en Noviembre</x:v>
      </x:c>
      <x:c r="U81" s="10" t="d">
        <x:v>2024-12-31T00:00:00.000Z</x:v>
      </x:c>
    </x:row>
    <x:row r="82" ht="46" customHeight="1">
      <x:c r="A82" s="2" t="n">
        <x:v>71</x:v>
      </x:c>
      <x:c r="B82" s="2" t="str">
        <x:v>MSL-F0021</x:v>
      </x:c>
      <x:c r="C82" s="11" t="str">
        <x:v>Lampara 20x20 oficina Diana</x:v>
      </x:c>
      <x:c r="D82" s="10" t="d">
        <x:v>2024-12-31T00:00:00.000Z</x:v>
      </x:c>
      <x:c r="E82" s="8" t="n">
        <x:v>120</x:v>
      </x:c>
      <x:c r="F82" s="8" t="n">
        <x:v>512.73</x:v>
      </x:c>
      <x:c r="G82" s="8" t="n">
        <x:v>61527.6</x:v>
      </x:c>
      <x:c r="H82" s="8" t="n">
        <x:v>512.73</x:v>
      </x:c>
      <x:c r="I82" s="9" t="n">
        <x:v>120</x:v>
      </x:c>
      <x:c r="J82" s="8" t="n">
        <x:v>0</x:v>
      </x:c>
      <x:c r="K82" s="8" t="str">
        <x:v>ACTIVE</x:v>
      </x:c>
      <x:c r="L82" s="8" t="str">
        <x:v>Maquinaria y equipo</x:v>
      </x:c>
      <x:c r="M82" s="8" t="n">
        <x:v>10254.6</x:v>
      </x:c>
      <x:c r="N82" s="8" t="n">
        <x:v>51273</x:v>
      </x:c>
      <x:c r="O82" s="8" t="n">
        <x:v>10767.33</x:v>
      </x:c>
      <x:c r="P82" s="8" t="n">
        <x:v>11280.06</x:v>
      </x:c>
      <x:c r="Q82" s="8" t="n">
        <x:v>512.73</x:v>
      </x:c>
      <x:c r="R82" s="2" t="str"/>
      <x:c r="S82" s="2" t="str">
        <x:v>Oficina Diana</x:v>
      </x:c>
      <x:c r="T82" s="11" t="str">
        <x:v>Comprados en Noviembre</x:v>
      </x:c>
      <x:c r="U82" s="10" t="d">
        <x:v>2024-12-31T00:00:00.000Z</x:v>
      </x:c>
    </x:row>
    <x:row r="83" ht="46" customHeight="1">
      <x:c r="A83" s="2" t="n">
        <x:v>46</x:v>
      </x:c>
      <x:c r="B83" s="2" t="str">
        <x:v>MSL-F0022</x:v>
      </x:c>
      <x:c r="C83" s="11" t="str">
        <x:v>Monitor ASUS 28"</x:v>
      </x:c>
      <x:c r="D83" s="10" t="d">
        <x:v>2024-12-31T00:00:00.000Z</x:v>
      </x:c>
      <x:c r="E83" s="8" t="n">
        <x:v>400</x:v>
      </x:c>
      <x:c r="F83" s="8" t="n">
        <x:v>512.73</x:v>
      </x:c>
      <x:c r="G83" s="8" t="n">
        <x:v>205092</x:v>
      </x:c>
      <x:c r="H83" s="8" t="n">
        <x:v>1709.1</x:v>
      </x:c>
      <x:c r="I83" s="9" t="n">
        <x:v>120</x:v>
      </x:c>
      <x:c r="J83" s="8" t="n">
        <x:v>0</x:v>
      </x:c>
      <x:c r="K83" s="8" t="str">
        <x:v>ACTIVE</x:v>
      </x:c>
      <x:c r="L83" s="8" t="str">
        <x:v>Equipos de oficina</x:v>
      </x:c>
      <x:c r="M83" s="8" t="n">
        <x:v>34182</x:v>
      </x:c>
      <x:c r="N83" s="8" t="n">
        <x:v>170910</x:v>
      </x:c>
      <x:c r="O83" s="8" t="n">
        <x:v>35891.1</x:v>
      </x:c>
      <x:c r="P83" s="8" t="n">
        <x:v>37600.2</x:v>
      </x:c>
      <x:c r="Q83" s="8" t="n">
        <x:v>1709.1</x:v>
      </x:c>
      <x:c r="R83" s="2" t="str">
        <x:v>R3LMDW000322</x:v>
      </x:c>
      <x:c r="S83" s="2" t="str">
        <x:v>Oficina Pabel</x:v>
      </x:c>
      <x:c r="T83" s="11" t="str">
        <x:v>Comprados en Noviembre</x:v>
      </x:c>
      <x:c r="U83" s="10" t="d">
        <x:v>2024-12-31T00:00:00.000Z</x:v>
      </x:c>
    </x:row>
    <x:row r="84" ht="46" customHeight="1">
      <x:c r="A84" s="2" t="n">
        <x:v>72</x:v>
      </x:c>
      <x:c r="B84" s="2" t="str">
        <x:v>MSL-F0023</x:v>
      </x:c>
      <x:c r="C84" s="11" t="str">
        <x:v>HP Deskjet Ink Advantage 3775</x:v>
      </x:c>
      <x:c r="D84" s="10" t="d">
        <x:v>2024-12-31T00:00:00.000Z</x:v>
      </x:c>
      <x:c r="E84" s="8" t="n">
        <x:v>50</x:v>
      </x:c>
      <x:c r="F84" s="8" t="n">
        <x:v>512.73</x:v>
      </x:c>
      <x:c r="G84" s="8" t="n">
        <x:v>25636.5</x:v>
      </x:c>
      <x:c r="H84" s="8" t="n">
        <x:v>213.64</x:v>
      </x:c>
      <x:c r="I84" s="9" t="n">
        <x:v>120</x:v>
      </x:c>
      <x:c r="J84" s="8" t="n">
        <x:v>0</x:v>
      </x:c>
      <x:c r="K84" s="8" t="str">
        <x:v>ACTIVE</x:v>
      </x:c>
      <x:c r="L84" s="8" t="str">
        <x:v>Equipos de oficina</x:v>
      </x:c>
      <x:c r="M84" s="8" t="n">
        <x:v>4272.8</x:v>
      </x:c>
      <x:c r="N84" s="8" t="n">
        <x:v>21363.7</x:v>
      </x:c>
      <x:c r="O84" s="8" t="n">
        <x:v>4486.44</x:v>
      </x:c>
      <x:c r="P84" s="8" t="n">
        <x:v>4700.08</x:v>
      </x:c>
      <x:c r="Q84" s="8" t="n">
        <x:v>213.64</x:v>
      </x:c>
      <x:c r="R84" s="2" t="str">
        <x:v>CN8154D6K9</x:v>
      </x:c>
      <x:c r="S84" s="2" t="str">
        <x:v>Oficina Pabel</x:v>
      </x:c>
      <x:c r="T84" s="11" t="str">
        <x:v>Comprados en Noviembre</x:v>
      </x:c>
      <x:c r="U84" s="10" t="d">
        <x:v>2024-12-31T00:00:00.000Z</x:v>
      </x:c>
    </x:row>
    <x:row r="85" ht="46" customHeight="1">
      <x:c r="A85" s="2" t="n">
        <x:v>73</x:v>
      </x:c>
      <x:c r="B85" s="2" t="str">
        <x:v>MSL-F0024</x:v>
      </x:c>
      <x:c r="C85" s="11" t="str">
        <x:v>Estante mueble oficina Pabel</x:v>
      </x:c>
      <x:c r="D85" s="10" t="d">
        <x:v>2024-12-31T00:00:00.000Z</x:v>
      </x:c>
      <x:c r="E85" s="8" t="n">
        <x:v>100</x:v>
      </x:c>
      <x:c r="F85" s="8" t="n">
        <x:v>512.73</x:v>
      </x:c>
      <x:c r="G85" s="8" t="n">
        <x:v>51273</x:v>
      </x:c>
      <x:c r="H85" s="8" t="n">
        <x:v>427.28</x:v>
      </x:c>
      <x:c r="I85" s="9" t="n">
        <x:v>120</x:v>
      </x:c>
      <x:c r="J85" s="8" t="n">
        <x:v>0</x:v>
      </x:c>
      <x:c r="K85" s="8" t="str">
        <x:v>ACTIVE</x:v>
      </x:c>
      <x:c r="L85" s="8" t="str">
        <x:v>Muebles y enseres</x:v>
      </x:c>
      <x:c r="M85" s="8" t="n">
        <x:v>8545.6</x:v>
      </x:c>
      <x:c r="N85" s="8" t="n">
        <x:v>42727.4</x:v>
      </x:c>
      <x:c r="O85" s="8" t="n">
        <x:v>8972.88</x:v>
      </x:c>
      <x:c r="P85" s="8" t="n">
        <x:v>9400.16</x:v>
      </x:c>
      <x:c r="Q85" s="8" t="n">
        <x:v>427.28</x:v>
      </x:c>
      <x:c r="R85" s="2" t="str"/>
      <x:c r="S85" s="2" t="str">
        <x:v>Oficina Pabel</x:v>
      </x:c>
      <x:c r="T85" s="11" t="str">
        <x:v>Comprados en Noviembre</x:v>
      </x:c>
      <x:c r="U85" s="10" t="d">
        <x:v>2024-12-31T00:00:00.000Z</x:v>
      </x:c>
    </x:row>
    <x:row r="86" ht="46" customHeight="1">
      <x:c r="A86" s="2" t="n">
        <x:v>74</x:v>
      </x:c>
      <x:c r="B86" s="2" t="str">
        <x:v>MSL-F0025</x:v>
      </x:c>
      <x:c r="C86" s="11" t="str">
        <x:v>Monitor Samsung 27" C27F390FHL</x:v>
      </x:c>
      <x:c r="D86" s="10" t="d">
        <x:v>2024-12-31T00:00:00.000Z</x:v>
      </x:c>
      <x:c r="E86" s="8" t="n">
        <x:v>221.75</x:v>
      </x:c>
      <x:c r="F86" s="8" t="n">
        <x:v>512.73</x:v>
      </x:c>
      <x:c r="G86" s="8" t="n">
        <x:v>113697.88</x:v>
      </x:c>
      <x:c r="H86" s="8" t="n">
        <x:v>947.48</x:v>
      </x:c>
      <x:c r="I86" s="9" t="n">
        <x:v>120</x:v>
      </x:c>
      <x:c r="J86" s="8" t="n">
        <x:v>0</x:v>
      </x:c>
      <x:c r="K86" s="8" t="str">
        <x:v>ACTIVE</x:v>
      </x:c>
      <x:c r="L86" s="8" t="str">
        <x:v>Equipos de oficina</x:v>
      </x:c>
      <x:c r="M86" s="8" t="n">
        <x:v>18949.6</x:v>
      </x:c>
      <x:c r="N86" s="8" t="n">
        <x:v>94748.28</x:v>
      </x:c>
      <x:c r="O86" s="8" t="n">
        <x:v>19897.08</x:v>
      </x:c>
      <x:c r="P86" s="8" t="n">
        <x:v>20844.56</x:v>
      </x:c>
      <x:c r="Q86" s="8" t="n">
        <x:v>947.48</x:v>
      </x:c>
      <x:c r="R86" s="2" t="str">
        <x:v>BZT5H4ZN900623Y</x:v>
      </x:c>
      <x:c r="S86" s="2" t="str">
        <x:v>Oficina Aaron</x:v>
      </x:c>
      <x:c r="T86" s="11" t="str">
        <x:v>Comprados en Noviembre</x:v>
      </x:c>
      <x:c r="U86" s="10" t="d">
        <x:v>2024-12-31T00:00:00.000Z</x:v>
      </x:c>
    </x:row>
    <x:row r="87" ht="46" customHeight="1">
      <x:c r="A87" s="2" t="n">
        <x:v>75</x:v>
      </x:c>
      <x:c r="B87" s="2" t="str">
        <x:v>MSL-F0026</x:v>
      </x:c>
      <x:c r="C87" s="11" t="str">
        <x:v>Lampara 20x20 oficina Aaron</x:v>
      </x:c>
      <x:c r="D87" s="10" t="d">
        <x:v>2024-12-31T00:00:00.000Z</x:v>
      </x:c>
      <x:c r="E87" s="8" t="n">
        <x:v>240</x:v>
      </x:c>
      <x:c r="F87" s="8" t="n">
        <x:v>512.73</x:v>
      </x:c>
      <x:c r="G87" s="8" t="n">
        <x:v>123055.2</x:v>
      </x:c>
      <x:c r="H87" s="8" t="n">
        <x:v>1025.46</x:v>
      </x:c>
      <x:c r="I87" s="9" t="n">
        <x:v>120</x:v>
      </x:c>
      <x:c r="J87" s="8" t="n">
        <x:v>0</x:v>
      </x:c>
      <x:c r="K87" s="8" t="str">
        <x:v>ACTIVE</x:v>
      </x:c>
      <x:c r="L87" s="8" t="str">
        <x:v>Maquinaria y equipo</x:v>
      </x:c>
      <x:c r="M87" s="8" t="n">
        <x:v>20509.2</x:v>
      </x:c>
      <x:c r="N87" s="8" t="n">
        <x:v>102546</x:v>
      </x:c>
      <x:c r="O87" s="8" t="n">
        <x:v>21534.66</x:v>
      </x:c>
      <x:c r="P87" s="8" t="n">
        <x:v>22560.12</x:v>
      </x:c>
      <x:c r="Q87" s="8" t="n">
        <x:v>1025.46</x:v>
      </x:c>
      <x:c r="R87" s="2" t="str">
        <x:v>BZT5H4ZN900623Y</x:v>
      </x:c>
      <x:c r="S87" s="2" t="str">
        <x:v>Oficina Aaron</x:v>
      </x:c>
      <x:c r="T87" s="11" t="str">
        <x:v>Comprados en Noviembre</x:v>
      </x:c>
      <x:c r="U87" s="10" t="d">
        <x:v>2024-12-31T00:00:00.000Z</x:v>
      </x:c>
    </x:row>
    <x:row r="88" ht="46" customHeight="1">
      <x:c r="A88" s="2" t="n">
        <x:v>76</x:v>
      </x:c>
      <x:c r="B88" s="2" t="str">
        <x:v>MSL-F0027</x:v>
      </x:c>
      <x:c r="C88" s="11" t="str">
        <x:v>Lampara 20x20 oficina Pabel</x:v>
      </x:c>
      <x:c r="D88" s="10" t="d">
        <x:v>2024-12-31T00:00:00.000Z</x:v>
      </x:c>
      <x:c r="E88" s="8" t="n">
        <x:v>240</x:v>
      </x:c>
      <x:c r="F88" s="8" t="n">
        <x:v>512.73</x:v>
      </x:c>
      <x:c r="G88" s="8" t="n">
        <x:v>123055.2</x:v>
      </x:c>
      <x:c r="H88" s="8" t="n">
        <x:v>1025.46</x:v>
      </x:c>
      <x:c r="I88" s="9" t="n">
        <x:v>120</x:v>
      </x:c>
      <x:c r="J88" s="8" t="n">
        <x:v>0</x:v>
      </x:c>
      <x:c r="K88" s="8" t="str">
        <x:v>ACTIVE</x:v>
      </x:c>
      <x:c r="L88" s="8" t="str">
        <x:v>Maquinaria y equipo</x:v>
      </x:c>
      <x:c r="M88" s="8" t="n">
        <x:v>20509.2</x:v>
      </x:c>
      <x:c r="N88" s="8" t="n">
        <x:v>102546</x:v>
      </x:c>
      <x:c r="O88" s="8" t="n">
        <x:v>21534.66</x:v>
      </x:c>
      <x:c r="P88" s="8" t="n">
        <x:v>22560.12</x:v>
      </x:c>
      <x:c r="Q88" s="8" t="n">
        <x:v>1025.46</x:v>
      </x:c>
      <x:c r="R88" s="2" t="str"/>
      <x:c r="S88" s="2" t="str">
        <x:v>Oficina Pabel</x:v>
      </x:c>
      <x:c r="T88" s="11" t="str">
        <x:v>Comprados en Noviembre</x:v>
      </x:c>
      <x:c r="U88" s="10" t="d">
        <x:v>2024-12-31T00:00:00.000Z</x:v>
      </x:c>
    </x:row>
    <x:row r="89" ht="46" customHeight="1">
      <x:c r="A89" s="2" t="n">
        <x:v>77</x:v>
      </x:c>
      <x:c r="B89" s="2" t="str">
        <x:v>MSL-F0028</x:v>
      </x:c>
      <x:c r="C89" s="11" t="str">
        <x:v>Lampara 20x20 oficina Abogados</x:v>
      </x:c>
      <x:c r="D89" s="10" t="d">
        <x:v>2024-12-31T00:00:00.000Z</x:v>
      </x:c>
      <x:c r="E89" s="8" t="n">
        <x:v>240</x:v>
      </x:c>
      <x:c r="F89" s="8" t="n">
        <x:v>512.73</x:v>
      </x:c>
      <x:c r="G89" s="8" t="n">
        <x:v>123055.2</x:v>
      </x:c>
      <x:c r="H89" s="8" t="n">
        <x:v>1025.46</x:v>
      </x:c>
      <x:c r="I89" s="9" t="n">
        <x:v>120</x:v>
      </x:c>
      <x:c r="J89" s="8" t="n">
        <x:v>0</x:v>
      </x:c>
      <x:c r="K89" s="8" t="str">
        <x:v>ACTIVE</x:v>
      </x:c>
      <x:c r="L89" s="8" t="str">
        <x:v>Maquinaria y equipo</x:v>
      </x:c>
      <x:c r="M89" s="8" t="n">
        <x:v>20509.2</x:v>
      </x:c>
      <x:c r="N89" s="8" t="n">
        <x:v>102546</x:v>
      </x:c>
      <x:c r="O89" s="8" t="n">
        <x:v>21534.66</x:v>
      </x:c>
      <x:c r="P89" s="8" t="n">
        <x:v>22560.12</x:v>
      </x:c>
      <x:c r="Q89" s="8" t="n">
        <x:v>1025.46</x:v>
      </x:c>
      <x:c r="R89" s="2" t="str"/>
      <x:c r="S89" s="2" t="str">
        <x:v>Oficina Abogados</x:v>
      </x:c>
      <x:c r="T89" s="11" t="str">
        <x:v>Comprados en Noviembre</x:v>
      </x:c>
      <x:c r="U89" s="10" t="d">
        <x:v>2024-12-31T00:00:00.000Z</x:v>
      </x:c>
    </x:row>
    <x:row r="90" ht="46" customHeight="1">
      <x:c r="A90" s="2" t="n">
        <x:v>171</x:v>
      </x:c>
      <x:c r="B90" s="2" t="str">
        <x:v>MSL-F0028-DUP2</x:v>
      </x:c>
      <x:c r="C90" s="11" t="str">
        <x:v>Laptop HP 15ED1014A</x:v>
      </x:c>
      <x:c r="D90" s="10" t="d">
        <x:v>2024-12-31T00:00:00.000Z</x:v>
      </x:c>
      <x:c r="E90" s="8" t="n">
        <x:v>2200</x:v>
      </x:c>
      <x:c r="F90" s="8" t="n">
        <x:v>512.73</x:v>
      </x:c>
      <x:c r="G90" s="8" t="n">
        <x:v>1128006</x:v>
      </x:c>
      <x:c r="H90" s="8" t="n">
        <x:v>9400.05</x:v>
      </x:c>
      <x:c r="I90" s="9" t="n">
        <x:v>120</x:v>
      </x:c>
      <x:c r="J90" s="8" t="n">
        <x:v>0</x:v>
      </x:c>
      <x:c r="K90" s="8" t="str">
        <x:v>ACTIVE</x:v>
      </x:c>
      <x:c r="L90" s="8" t="str">
        <x:v>Equipos de oficina</x:v>
      </x:c>
      <x:c r="M90" s="8" t="n">
        <x:v>188001</x:v>
      </x:c>
      <x:c r="N90" s="8" t="n">
        <x:v>940005</x:v>
      </x:c>
      <x:c r="O90" s="8" t="n">
        <x:v>197401.05</x:v>
      </x:c>
      <x:c r="P90" s="8" t="n">
        <x:v>206801.1</x:v>
      </x:c>
      <x:c r="Q90" s="8" t="n">
        <x:v>9400.05</x:v>
      </x:c>
      <x:c r="R90" s="2" t="str">
        <x:v>CLND204021B</x:v>
      </x:c>
      <x:c r="S90" s="2" t="str">
        <x:v>Oficina Pabel</x:v>
      </x:c>
      <x:c r="T90" s="11" t="str">
        <x:v>Comprados en Noviembre</x:v>
      </x:c>
      <x:c r="U90" s="10" t="d">
        <x:v>2024-12-31T00:00:00.000Z</x:v>
      </x:c>
    </x:row>
    <x:row r="91" ht="46" customHeight="1">
      <x:c r="A91" s="2" t="n">
        <x:v>86</x:v>
      </x:c>
      <x:c r="B91" s="2" t="str">
        <x:v>MSL-F0029</x:v>
      </x:c>
      <x:c r="C91" s="11" t="str">
        <x:v>Laptop DELL</x:v>
      </x:c>
      <x:c r="D91" s="10" t="d">
        <x:v>2024-12-31T00:00:00.000Z</x:v>
      </x:c>
      <x:c r="E91" s="8" t="n">
        <x:v>1100</x:v>
      </x:c>
      <x:c r="F91" s="8" t="n">
        <x:v>512.73</x:v>
      </x:c>
      <x:c r="G91" s="8" t="n">
        <x:v>564003</x:v>
      </x:c>
      <x:c r="H91" s="8" t="n">
        <x:v>4700.03</x:v>
      </x:c>
      <x:c r="I91" s="9" t="n">
        <x:v>120</x:v>
      </x:c>
      <x:c r="J91" s="8" t="n">
        <x:v>0</x:v>
      </x:c>
      <x:c r="K91" s="8" t="str">
        <x:v>ACTIVE</x:v>
      </x:c>
      <x:c r="L91" s="8" t="str">
        <x:v>Equipos de oficina</x:v>
      </x:c>
      <x:c r="M91" s="8" t="n">
        <x:v>94000.6</x:v>
      </x:c>
      <x:c r="N91" s="8" t="n">
        <x:v>470002.4</x:v>
      </x:c>
      <x:c r="O91" s="8" t="n">
        <x:v>98700.63</x:v>
      </x:c>
      <x:c r="P91" s="8" t="n">
        <x:v>103400.66</x:v>
      </x:c>
      <x:c r="Q91" s="8" t="n">
        <x:v>4700.03</x:v>
      </x:c>
      <x:c r="R91" s="2" t="str">
        <x:v>643840454</x:v>
      </x:c>
      <x:c r="S91" s="2" t="str">
        <x:v>Oficina Diana</x:v>
      </x:c>
      <x:c r="T91" s="11" t="str">
        <x:v>Comprados en Noviembre</x:v>
      </x:c>
      <x:c r="U91" s="10" t="d">
        <x:v>2024-12-31T00:00:00.000Z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cefc23da46dc418b"/>
  </x:tableParts>
</x:worksheet>
</file>