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1.xml" ContentType="application/vnd.openxmlformats-officedocument.spreadsheetml.comments+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PC\Desktop\"/>
    </mc:Choice>
  </mc:AlternateContent>
  <xr:revisionPtr revIDLastSave="0" documentId="13_ncr:1_{11090552-984F-451F-9236-9F55E6ADF5F9}" xr6:coauthVersionLast="47" xr6:coauthVersionMax="47" xr10:uidLastSave="{00000000-0000-0000-0000-000000000000}"/>
  <bookViews>
    <workbookView xWindow="-120" yWindow="-120" windowWidth="20730" windowHeight="11160" firstSheet="3" activeTab="4" xr2:uid="{D9A1195F-C361-4BB9-A5DA-036619D50819}"/>
  </bookViews>
  <sheets>
    <sheet name="A" sheetId="1" state="hidden" r:id="rId1"/>
    <sheet name="B" sheetId="2" state="hidden" r:id="rId2"/>
    <sheet name="C" sheetId="3" state="hidden" r:id="rId3"/>
    <sheet name="General" sheetId="10" r:id="rId4"/>
    <sheet name="Draft" sheetId="8" r:id="rId5"/>
    <sheet name="E" sheetId="7" r:id="rId6"/>
    <sheet name="D1" sheetId="4" r:id="rId7"/>
    <sheet name="D2" sheetId="5" r:id="rId8"/>
    <sheet name="Hoja1" sheetId="13" r:id="rId9"/>
    <sheet name="D3" sheetId="6" state="hidden" r:id="rId10"/>
    <sheet name="Deductions" sheetId="9" r:id="rId11"/>
    <sheet name="Note of Protest SHORE SCALE " sheetId="11" r:id="rId12"/>
    <sheet name="Note of Protest DRAFT" sheetId="12" r:id="rId13"/>
  </sheets>
  <externalReferences>
    <externalReference r:id="rId14"/>
    <externalReference r:id="rId15"/>
    <externalReference r:id="rId16"/>
    <externalReference r:id="rId17"/>
    <externalReference r:id="rId18"/>
  </externalReferences>
  <definedNames>
    <definedName name="AENTRADA" localSheetId="12">#REF!</definedName>
    <definedName name="AENTRADA" localSheetId="11">#REF!</definedName>
    <definedName name="AENTRADA">#REF!</definedName>
    <definedName name="AMOCO" localSheetId="12">#REF!</definedName>
    <definedName name="AMOCO" localSheetId="11">#REF!</definedName>
    <definedName name="AMOCO">#REF!</definedName>
    <definedName name="_xlnm.Print_Area" localSheetId="0">A!$A$1:$AO$58</definedName>
    <definedName name="_xlnm.Print_Area" localSheetId="1">B!$A$1:$AO$59</definedName>
    <definedName name="_xlnm.Print_Area" localSheetId="2">'C'!$A$1:$AO$58</definedName>
    <definedName name="_xlnm.Print_Area" localSheetId="6">'D1'!$A$1:$AO$58</definedName>
    <definedName name="_xlnm.Print_Area" localSheetId="7">'D2'!$A$1:$AO$58</definedName>
    <definedName name="_xlnm.Print_Area" localSheetId="9">'D3'!$A$1:$AO$58</definedName>
    <definedName name="_xlnm.Print_Area" localSheetId="10">Deductions!$A$1:$AK$54</definedName>
    <definedName name="_xlnm.Print_Area" localSheetId="4">Draft!$A$1:$AW$38</definedName>
    <definedName name="_xlnm.Print_Area" localSheetId="5">E!$A$1:$AO$58</definedName>
    <definedName name="_xlnm.Print_Area" localSheetId="3">General!$A$1:$AL$39</definedName>
    <definedName name="_xlnm.Print_Area" localSheetId="12">'Note of Protest DRAFT'!$A$1:$Z$40</definedName>
    <definedName name="_xlnm.Print_Area" localSheetId="11">'Note of Protest SHORE SCALE '!$A$1:$Z$40</definedName>
    <definedName name="CERQUAN10" localSheetId="12">#REF!</definedName>
    <definedName name="CERQUAN10" localSheetId="11">#REF!</definedName>
    <definedName name="CERQUAN10">#REF!</definedName>
    <definedName name="CERQUAN4" localSheetId="12">#REF!</definedName>
    <definedName name="CERQUAN4" localSheetId="11">#REF!</definedName>
    <definedName name="CERQUAN4">#REF!</definedName>
    <definedName name="CERQUAN5" localSheetId="12">#REF!</definedName>
    <definedName name="CERQUAN5" localSheetId="11">#REF!</definedName>
    <definedName name="CERQUAN5">#REF!</definedName>
    <definedName name="CERQUAN6" localSheetId="12">#REF!</definedName>
    <definedName name="CERQUAN6" localSheetId="11">#REF!</definedName>
    <definedName name="CERQUAN6">#REF!</definedName>
    <definedName name="CERQUAN7" localSheetId="12">#REF!</definedName>
    <definedName name="CERQUAN7" localSheetId="11">#REF!</definedName>
    <definedName name="CERQUAN7">#REF!</definedName>
    <definedName name="cerquan8" localSheetId="12">#REF!</definedName>
    <definedName name="cerquan8" localSheetId="11">#REF!</definedName>
    <definedName name="cerquan8">#REF!</definedName>
    <definedName name="CERQUAN9" localSheetId="12">#REF!</definedName>
    <definedName name="CERQUAN9" localSheetId="11">#REF!</definedName>
    <definedName name="CERQUAN9">#REF!</definedName>
    <definedName name="COMPAR">[1]QVEF!$A$1:$W$41</definedName>
    <definedName name="CUAL" localSheetId="12">#REF!</definedName>
    <definedName name="CUAL" localSheetId="11">#REF!</definedName>
    <definedName name="CUAL">#REF!</definedName>
    <definedName name="EXXON" localSheetId="12">#REF!</definedName>
    <definedName name="EXXON" localSheetId="11">#REF!</definedName>
    <definedName name="EXXON">#REF!</definedName>
    <definedName name="EXXONMOBIL" localSheetId="12">#REF!</definedName>
    <definedName name="EXXONMOBIL" localSheetId="11">#REF!</definedName>
    <definedName name="EXXONMOBIL">#REF!</definedName>
    <definedName name="FOS_5299_01" localSheetId="12">#REF!</definedName>
    <definedName name="FOS_5299_01" localSheetId="11">#REF!</definedName>
    <definedName name="FOS_5299_01">#REF!</definedName>
    <definedName name="KOCH" localSheetId="12">#REF!</definedName>
    <definedName name="KOCH" localSheetId="11">#REF!</definedName>
    <definedName name="KOCH">#REF!</definedName>
    <definedName name="LOADSCALE" localSheetId="12">#REF!</definedName>
    <definedName name="LOADSCALE" localSheetId="11">#REF!</definedName>
    <definedName name="LOADSCALE">#REF!</definedName>
    <definedName name="LONG_MC_RAD" localSheetId="12">'[2]HYDROSTATIC TABLE'!#REF!</definedName>
    <definedName name="LONG_MC_RAD" localSheetId="11">'[2]HYDROSTATIC TABLE'!#REF!</definedName>
    <definedName name="LONG_MC_RAD">'[2]HYDROSTATIC TABLE'!#REF!</definedName>
    <definedName name="LYONDELL" localSheetId="12">#REF!</definedName>
    <definedName name="LYONDELL" localSheetId="11">#REF!</definedName>
    <definedName name="LYONDELL">#REF!</definedName>
    <definedName name="MARATHOS" localSheetId="12">#REF!</definedName>
    <definedName name="MARATHOS" localSheetId="11">#REF!</definedName>
    <definedName name="MARATHOS">#REF!</definedName>
    <definedName name="MOBIL" localSheetId="12">#REF!</definedName>
    <definedName name="MOBIL" localSheetId="11">#REF!</definedName>
    <definedName name="MOBIL">#REF!</definedName>
    <definedName name="OCENSA" localSheetId="12">#REF!</definedName>
    <definedName name="OCENSA" localSheetId="11">#REF!</definedName>
    <definedName name="OCENSA">#REF!</definedName>
    <definedName name="PARCELA1" localSheetId="12">#REF!</definedName>
    <definedName name="PARCELA1" localSheetId="11">#REF!</definedName>
    <definedName name="PARCELA1">#REF!</definedName>
    <definedName name="PARCELA2" localSheetId="12">#REF!</definedName>
    <definedName name="PARCELA2" localSheetId="11">#REF!</definedName>
    <definedName name="PARCELA2">#REF!</definedName>
    <definedName name="PARCELA3" localSheetId="12">#REF!</definedName>
    <definedName name="PARCELA3" localSheetId="11">#REF!</definedName>
    <definedName name="PARCELA3">#REF!</definedName>
    <definedName name="PARCELA4" localSheetId="12">#REF!</definedName>
    <definedName name="PARCELA4" localSheetId="11">#REF!</definedName>
    <definedName name="PARCELA4">#REF!</definedName>
    <definedName name="PARCELA5" localSheetId="12">#REF!</definedName>
    <definedName name="PARCELA5" localSheetId="11">#REF!</definedName>
    <definedName name="PARCELA5">#REF!</definedName>
    <definedName name="PARCELA6" localSheetId="12">#REF!</definedName>
    <definedName name="PARCELA6" localSheetId="11">#REF!</definedName>
    <definedName name="PARCELA6">#REF!</definedName>
    <definedName name="PARCELA9" localSheetId="12">#REF!</definedName>
    <definedName name="PARCELA9" localSheetId="11">#REF!</definedName>
    <definedName name="PARCELA9">#REF!</definedName>
    <definedName name="PROVER" localSheetId="12">#REF!</definedName>
    <definedName name="PROVER" localSheetId="11">#REF!</definedName>
    <definedName name="PROVER">#REF!</definedName>
    <definedName name="PROVERS" localSheetId="12">#REF!</definedName>
    <definedName name="PROVERS" localSheetId="11">#REF!</definedName>
    <definedName name="PROVERS">#REF!</definedName>
    <definedName name="QCKLST" localSheetId="12">#REF!</definedName>
    <definedName name="QCKLST" localSheetId="11">#REF!</definedName>
    <definedName name="QCKLST">#REF!</definedName>
    <definedName name="QCOMP">'[3]TELEX OCENSA'!$A$1:$J$259</definedName>
    <definedName name="QCOVER" localSheetId="12">#REF!</definedName>
    <definedName name="QCOVER" localSheetId="11">#REF!</definedName>
    <definedName name="QCOVER">#REF!</definedName>
    <definedName name="QDISCRP" localSheetId="12">#REF!</definedName>
    <definedName name="QDISCRP" localSheetId="11">#REF!</definedName>
    <definedName name="QDISCRP">#REF!</definedName>
    <definedName name="QSAPER" localSheetId="12">#REF!</definedName>
    <definedName name="QSAPER" localSheetId="11">#REF!</definedName>
    <definedName name="QSAPER">#REF!</definedName>
    <definedName name="QSHOMET" localSheetId="12">#REF!</definedName>
    <definedName name="QSHOMET" localSheetId="11">#REF!</definedName>
    <definedName name="QSHOMET">#REF!</definedName>
    <definedName name="SHICARGO" localSheetId="12">#REF!</definedName>
    <definedName name="SHICARGO" localSheetId="11">#REF!</definedName>
    <definedName name="SHICARGO">#REF!</definedName>
    <definedName name="SUMA" localSheetId="12">#REF!</definedName>
    <definedName name="SUMA" localSheetId="11">#REF!</definedName>
    <definedName name="SUMA">#REF!</definedName>
    <definedName name="TABLAS">Draft!$BA$2:$BD$20</definedName>
    <definedName name="TANULOD2">[4]TANULOD!$A$1:$L$36</definedName>
    <definedName name="TELEX" localSheetId="12">#REF!</definedName>
    <definedName name="TELEX" localSheetId="11">#REF!</definedName>
    <definedName name="TELEX">#REF!</definedName>
    <definedName name="TLXCOVE" localSheetId="12">#REF!</definedName>
    <definedName name="TLXCOVE" localSheetId="11">#REF!</definedName>
    <definedName name="TLXCOVE">#REF!</definedName>
    <definedName name="Vessel">[5]Data!$B$3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S18" i="8" l="1"/>
  <c r="P24" i="9"/>
  <c r="P23" i="9"/>
  <c r="P22" i="9"/>
  <c r="AU9" i="8"/>
  <c r="AB1" i="8"/>
  <c r="AN35" i="8"/>
  <c r="F13" i="12"/>
  <c r="J8" i="8"/>
  <c r="A23" i="11"/>
  <c r="F12" i="12" s="1"/>
  <c r="AI48" i="9"/>
  <c r="A23" i="12"/>
  <c r="B15" i="12"/>
  <c r="BG42" i="8" l="1"/>
  <c r="BG40" i="8"/>
  <c r="AU8" i="8"/>
  <c r="BD18" i="8"/>
  <c r="BB18" i="8"/>
  <c r="F9" i="12"/>
  <c r="F8" i="12"/>
  <c r="BK27" i="8"/>
  <c r="AU19" i="9" l="1"/>
  <c r="AU16" i="9"/>
  <c r="AQ39" i="9"/>
  <c r="AO39" i="9"/>
  <c r="AP39" i="9" s="1"/>
  <c r="AQ34" i="9"/>
  <c r="AO33" i="9"/>
  <c r="AQ32" i="9"/>
  <c r="AQ33" i="9" s="1"/>
  <c r="AQ28" i="9"/>
  <c r="AQ26" i="9"/>
  <c r="AQ21" i="9"/>
  <c r="AO21" i="9"/>
  <c r="AQ15" i="9"/>
  <c r="AO15" i="9"/>
  <c r="BK28" i="8"/>
  <c r="BK30" i="8" s="1"/>
  <c r="A6" i="7"/>
  <c r="F9" i="11"/>
  <c r="F8" i="11"/>
  <c r="J24" i="12" l="1"/>
  <c r="AP33" i="9"/>
  <c r="AN29" i="8"/>
  <c r="AN32" i="8"/>
  <c r="BG31" i="8"/>
  <c r="BI31" i="8" s="1"/>
  <c r="BG33" i="8"/>
  <c r="BI33" i="8" s="1"/>
  <c r="AG21" i="10"/>
  <c r="AE36" i="2" s="1"/>
  <c r="AG20" i="10"/>
  <c r="AE35" i="2" s="1"/>
  <c r="AG19" i="10"/>
  <c r="AE34" i="2" s="1"/>
  <c r="AK54" i="9"/>
  <c r="R54" i="9"/>
  <c r="AI53" i="9"/>
  <c r="W53" i="9"/>
  <c r="T53" i="9"/>
  <c r="P53" i="9"/>
  <c r="AI52" i="9"/>
  <c r="W52" i="9"/>
  <c r="T52" i="9"/>
  <c r="P52" i="9"/>
  <c r="AI51" i="9"/>
  <c r="AJ52" i="5" s="1"/>
  <c r="W51" i="9"/>
  <c r="T51" i="9"/>
  <c r="P51" i="9"/>
  <c r="AJ52" i="4" s="1"/>
  <c r="AI50" i="9"/>
  <c r="AJ51" i="5" s="1"/>
  <c r="W50" i="9"/>
  <c r="T50" i="9"/>
  <c r="P50" i="9"/>
  <c r="AJ51" i="4" s="1"/>
  <c r="AI49" i="9"/>
  <c r="AJ50" i="5" s="1"/>
  <c r="W49" i="9"/>
  <c r="T49" i="9"/>
  <c r="P49" i="9"/>
  <c r="AJ50" i="4" s="1"/>
  <c r="AJ49" i="5"/>
  <c r="W48" i="9"/>
  <c r="T48" i="9"/>
  <c r="P48" i="9"/>
  <c r="AJ49" i="4" s="1"/>
  <c r="AI47" i="9"/>
  <c r="AJ48" i="5" s="1"/>
  <c r="W47" i="9"/>
  <c r="T47" i="9"/>
  <c r="P47" i="9"/>
  <c r="AI41" i="9"/>
  <c r="W41" i="9"/>
  <c r="T41" i="9"/>
  <c r="AI40" i="9"/>
  <c r="W40" i="9"/>
  <c r="T40" i="9"/>
  <c r="AI39" i="9"/>
  <c r="W39" i="9"/>
  <c r="T39" i="9"/>
  <c r="AI38" i="9"/>
  <c r="W38" i="9"/>
  <c r="T38" i="9"/>
  <c r="AI37" i="9"/>
  <c r="AJ44" i="5" s="1"/>
  <c r="W37" i="9"/>
  <c r="T37" i="9"/>
  <c r="AI36" i="9"/>
  <c r="AJ43" i="5" s="1"/>
  <c r="W36" i="9"/>
  <c r="T36" i="9"/>
  <c r="AI35" i="9"/>
  <c r="W35" i="9"/>
  <c r="T35" i="9"/>
  <c r="AI34" i="9"/>
  <c r="AJ41" i="5" s="1"/>
  <c r="W34" i="9"/>
  <c r="T34" i="9"/>
  <c r="AI33" i="9"/>
  <c r="AJ40" i="5" s="1"/>
  <c r="W33" i="9"/>
  <c r="T33" i="9"/>
  <c r="P33" i="9"/>
  <c r="AJ40" i="4" s="1"/>
  <c r="AI32" i="9"/>
  <c r="AJ39" i="5" s="1"/>
  <c r="W32" i="9"/>
  <c r="T32" i="9"/>
  <c r="P32" i="9"/>
  <c r="AJ39" i="4" s="1"/>
  <c r="AI31" i="9"/>
  <c r="W31" i="9"/>
  <c r="T31" i="9"/>
  <c r="P31" i="9"/>
  <c r="AJ38" i="4" s="1"/>
  <c r="AI30" i="9"/>
  <c r="AJ37" i="5" s="1"/>
  <c r="W30" i="9"/>
  <c r="T30" i="9"/>
  <c r="P30" i="9"/>
  <c r="AJ37" i="4" s="1"/>
  <c r="AI29" i="9"/>
  <c r="AJ36" i="5" s="1"/>
  <c r="W29" i="9"/>
  <c r="T29" i="9"/>
  <c r="AJ36" i="4"/>
  <c r="AI28" i="9"/>
  <c r="AJ35" i="5" s="1"/>
  <c r="W28" i="9"/>
  <c r="T28" i="9"/>
  <c r="AJ35" i="4"/>
  <c r="AI27" i="9"/>
  <c r="AJ34" i="5" s="1"/>
  <c r="W27" i="9"/>
  <c r="T27" i="9"/>
  <c r="AJ34" i="4"/>
  <c r="AI26" i="9"/>
  <c r="AJ33" i="5" s="1"/>
  <c r="W26" i="9"/>
  <c r="T26" i="9"/>
  <c r="AJ33" i="4"/>
  <c r="AI25" i="9"/>
  <c r="AJ32" i="5" s="1"/>
  <c r="W25" i="9"/>
  <c r="T25" i="9"/>
  <c r="AJ32" i="4"/>
  <c r="AI24" i="9"/>
  <c r="AJ31" i="5" s="1"/>
  <c r="T24" i="9"/>
  <c r="AJ31" i="4"/>
  <c r="AI23" i="9"/>
  <c r="AJ30" i="5" s="1"/>
  <c r="T23" i="9"/>
  <c r="AJ30" i="4"/>
  <c r="AI22" i="9"/>
  <c r="AJ29" i="5" s="1"/>
  <c r="T22" i="9"/>
  <c r="AJ29" i="4"/>
  <c r="AI21" i="9"/>
  <c r="AJ28" i="5" s="1"/>
  <c r="T21" i="9"/>
  <c r="P21" i="9"/>
  <c r="AJ28" i="4" s="1"/>
  <c r="AI20" i="9"/>
  <c r="AJ27" i="5" s="1"/>
  <c r="T20" i="9"/>
  <c r="P20" i="9"/>
  <c r="AJ27" i="4" s="1"/>
  <c r="AI19" i="9"/>
  <c r="AJ26" i="5" s="1"/>
  <c r="T19" i="9"/>
  <c r="P19" i="9"/>
  <c r="AJ26" i="4" s="1"/>
  <c r="AI18" i="9"/>
  <c r="AJ25" i="5" s="1"/>
  <c r="T18" i="9"/>
  <c r="P18" i="9"/>
  <c r="AJ25" i="4" s="1"/>
  <c r="AI17" i="9"/>
  <c r="AJ24" i="5" s="1"/>
  <c r="T17" i="9"/>
  <c r="P17" i="9"/>
  <c r="AJ24" i="4" s="1"/>
  <c r="AI16" i="9"/>
  <c r="AJ23" i="5" s="1"/>
  <c r="T16" i="9"/>
  <c r="P16" i="9"/>
  <c r="AJ23" i="4" s="1"/>
  <c r="AI15" i="9"/>
  <c r="AJ22" i="5" s="1"/>
  <c r="T15" i="9"/>
  <c r="P15" i="9"/>
  <c r="AJ22" i="4" s="1"/>
  <c r="AI14" i="9"/>
  <c r="AJ21" i="5" s="1"/>
  <c r="T14" i="9"/>
  <c r="P14" i="9"/>
  <c r="AJ21" i="4" s="1"/>
  <c r="AI13" i="9"/>
  <c r="AJ20" i="5" s="1"/>
  <c r="T13" i="9"/>
  <c r="P13" i="9"/>
  <c r="AJ20" i="4" s="1"/>
  <c r="AI12" i="9"/>
  <c r="AJ19" i="5" s="1"/>
  <c r="T12" i="9"/>
  <c r="P12" i="9"/>
  <c r="AI11" i="9"/>
  <c r="T11" i="9"/>
  <c r="P11" i="9"/>
  <c r="AJ18" i="4" s="1"/>
  <c r="AI2" i="9"/>
  <c r="AD2" i="9"/>
  <c r="W2" i="9"/>
  <c r="P2" i="9"/>
  <c r="K2" i="9"/>
  <c r="D2" i="9"/>
  <c r="BC52" i="8"/>
  <c r="BC51" i="8"/>
  <c r="BA51" i="8"/>
  <c r="BC50" i="8"/>
  <c r="BA48" i="8"/>
  <c r="BC47" i="8"/>
  <c r="BA47" i="8"/>
  <c r="BA46" i="8"/>
  <c r="BI42" i="8"/>
  <c r="BC41" i="8"/>
  <c r="BI40" i="8"/>
  <c r="BC40" i="8"/>
  <c r="BA40" i="8"/>
  <c r="BC39" i="8"/>
  <c r="BA37" i="8"/>
  <c r="BC36" i="8"/>
  <c r="BB36" i="8"/>
  <c r="BB37" i="8" s="1"/>
  <c r="BA36" i="8"/>
  <c r="BA35" i="8"/>
  <c r="AG24" i="8"/>
  <c r="M24" i="8"/>
  <c r="AL13" i="8"/>
  <c r="AC46" i="2"/>
  <c r="AI10" i="8"/>
  <c r="AE21" i="3" s="1"/>
  <c r="J10" i="8"/>
  <c r="S21" i="3" s="1"/>
  <c r="AC47" i="2"/>
  <c r="AI9" i="8"/>
  <c r="AE27" i="3" s="1"/>
  <c r="J9" i="8"/>
  <c r="S27" i="3" s="1"/>
  <c r="AC45" i="2"/>
  <c r="AI8" i="8"/>
  <c r="S16" i="3"/>
  <c r="BE7" i="8"/>
  <c r="BE8" i="8" s="1"/>
  <c r="BE9" i="8" s="1"/>
  <c r="BE10" i="8" s="1"/>
  <c r="BE11" i="8" s="1"/>
  <c r="BE12" i="8" s="1"/>
  <c r="BE13" i="8" s="1"/>
  <c r="BE14" i="8" s="1"/>
  <c r="BE15" i="8" s="1"/>
  <c r="BE16" i="8" s="1"/>
  <c r="BE17" i="8" s="1"/>
  <c r="BE18" i="8" s="1"/>
  <c r="BE19" i="8" s="1"/>
  <c r="BE20" i="8" s="1"/>
  <c r="BD19" i="8"/>
  <c r="BD20" i="8" s="1"/>
  <c r="BB19" i="8"/>
  <c r="BB20" i="8" s="1"/>
  <c r="BE4" i="8"/>
  <c r="BE3" i="8" s="1"/>
  <c r="AB56" i="7"/>
  <c r="AB54" i="7"/>
  <c r="AB47" i="7"/>
  <c r="AA52" i="6"/>
  <c r="O52" i="6"/>
  <c r="AA51" i="6"/>
  <c r="O51" i="6"/>
  <c r="AA50" i="6"/>
  <c r="O50" i="6"/>
  <c r="AA49" i="6"/>
  <c r="O49" i="6"/>
  <c r="AA48" i="6"/>
  <c r="O48" i="6"/>
  <c r="AA47" i="6"/>
  <c r="O47" i="6"/>
  <c r="AL39" i="6"/>
  <c r="V39" i="6"/>
  <c r="AL38" i="6"/>
  <c r="V38" i="6"/>
  <c r="AL37" i="6"/>
  <c r="V37" i="6"/>
  <c r="AL36" i="6"/>
  <c r="V36" i="6"/>
  <c r="AL35" i="6"/>
  <c r="V35" i="6"/>
  <c r="AL34" i="6"/>
  <c r="AL40" i="6" s="1"/>
  <c r="V34" i="6"/>
  <c r="V40" i="6" s="1"/>
  <c r="AL30" i="6"/>
  <c r="V30" i="6"/>
  <c r="AL29" i="6"/>
  <c r="V29" i="6"/>
  <c r="AL28" i="6"/>
  <c r="V28" i="6"/>
  <c r="AL27" i="6"/>
  <c r="AL31" i="6" s="1"/>
  <c r="V27" i="6"/>
  <c r="AL26" i="6"/>
  <c r="V26" i="6"/>
  <c r="AL25" i="6"/>
  <c r="V25" i="6"/>
  <c r="AL24" i="6"/>
  <c r="V24" i="6"/>
  <c r="AL23" i="6"/>
  <c r="V23" i="6"/>
  <c r="AL22" i="6"/>
  <c r="V22" i="6"/>
  <c r="AL21" i="6"/>
  <c r="V21" i="6"/>
  <c r="AL20" i="6"/>
  <c r="V20" i="6"/>
  <c r="AL19" i="6"/>
  <c r="V19" i="6"/>
  <c r="AL18" i="6"/>
  <c r="V18" i="6"/>
  <c r="AL17" i="6"/>
  <c r="V17" i="6"/>
  <c r="V31" i="6" s="1"/>
  <c r="A6" i="6"/>
  <c r="C56" i="5"/>
  <c r="AO54" i="5"/>
  <c r="AJ53" i="5"/>
  <c r="AD53" i="5"/>
  <c r="X53" i="5"/>
  <c r="N53" i="5"/>
  <c r="AD52" i="5"/>
  <c r="X52" i="5"/>
  <c r="N52" i="5"/>
  <c r="I52" i="5"/>
  <c r="AD51" i="5"/>
  <c r="X51" i="5"/>
  <c r="N51" i="5"/>
  <c r="AD50" i="5"/>
  <c r="X50" i="5"/>
  <c r="N50" i="5"/>
  <c r="AD49" i="5"/>
  <c r="X49" i="5"/>
  <c r="N49" i="5"/>
  <c r="AD48" i="5"/>
  <c r="X48" i="5"/>
  <c r="N48" i="5"/>
  <c r="I48" i="5"/>
  <c r="AD44" i="5"/>
  <c r="X44" i="5"/>
  <c r="N44" i="5"/>
  <c r="B44" i="5"/>
  <c r="AD43" i="5"/>
  <c r="X43" i="5"/>
  <c r="N43" i="5"/>
  <c r="AJ42" i="5"/>
  <c r="AD42" i="5"/>
  <c r="X42" i="5"/>
  <c r="N42" i="5"/>
  <c r="AD41" i="5"/>
  <c r="X41" i="5"/>
  <c r="N41" i="5"/>
  <c r="AD40" i="5"/>
  <c r="X40" i="5"/>
  <c r="N40" i="5"/>
  <c r="I40" i="5"/>
  <c r="B40" i="5"/>
  <c r="AD39" i="5"/>
  <c r="X39" i="5"/>
  <c r="N39" i="5"/>
  <c r="AJ38" i="5"/>
  <c r="AD38" i="5"/>
  <c r="X38" i="5"/>
  <c r="N38" i="5"/>
  <c r="AD37" i="5"/>
  <c r="X37" i="5"/>
  <c r="N37" i="5"/>
  <c r="AD36" i="5"/>
  <c r="X36" i="5"/>
  <c r="N36" i="5"/>
  <c r="AD35" i="5"/>
  <c r="X35" i="5"/>
  <c r="N35" i="5"/>
  <c r="AD34" i="5"/>
  <c r="X34" i="5"/>
  <c r="N34" i="5"/>
  <c r="AD33" i="5"/>
  <c r="X33" i="5"/>
  <c r="N33" i="5"/>
  <c r="AD32" i="5"/>
  <c r="X32" i="5"/>
  <c r="N32" i="5"/>
  <c r="AD31" i="5"/>
  <c r="X31" i="5"/>
  <c r="N31" i="5"/>
  <c r="AD30" i="5"/>
  <c r="X30" i="5"/>
  <c r="N30" i="5"/>
  <c r="AD29" i="5"/>
  <c r="X29" i="5"/>
  <c r="N29" i="5"/>
  <c r="AD28" i="5"/>
  <c r="X28" i="5"/>
  <c r="N28" i="5"/>
  <c r="B28" i="5"/>
  <c r="AD27" i="5"/>
  <c r="X27" i="5"/>
  <c r="N27" i="5"/>
  <c r="AD26" i="5"/>
  <c r="X26" i="5"/>
  <c r="N26" i="5"/>
  <c r="AD25" i="5"/>
  <c r="X25" i="5"/>
  <c r="N25" i="5"/>
  <c r="AD24" i="5"/>
  <c r="X24" i="5"/>
  <c r="N24" i="5"/>
  <c r="I24" i="5"/>
  <c r="B24" i="5"/>
  <c r="AD23" i="5"/>
  <c r="X23" i="5"/>
  <c r="N23" i="5"/>
  <c r="AD22" i="5"/>
  <c r="X22" i="5"/>
  <c r="N22" i="5"/>
  <c r="AD21" i="5"/>
  <c r="X21" i="5"/>
  <c r="N21" i="5"/>
  <c r="AD20" i="5"/>
  <c r="X20" i="5"/>
  <c r="N20" i="5"/>
  <c r="B20" i="5"/>
  <c r="AD19" i="5"/>
  <c r="X19" i="5"/>
  <c r="N19" i="5"/>
  <c r="AD18" i="5"/>
  <c r="X18" i="5"/>
  <c r="N18" i="5"/>
  <c r="AB10" i="5"/>
  <c r="S10" i="5"/>
  <c r="K10" i="5"/>
  <c r="A6" i="5"/>
  <c r="C56" i="4"/>
  <c r="AO54" i="4"/>
  <c r="AJ53" i="4"/>
  <c r="AD53" i="4"/>
  <c r="X53" i="4"/>
  <c r="N53" i="4"/>
  <c r="I53" i="4"/>
  <c r="I53" i="5" s="1"/>
  <c r="B53" i="4"/>
  <c r="B53" i="5" s="1"/>
  <c r="AD52" i="4"/>
  <c r="X52" i="4"/>
  <c r="N52" i="4"/>
  <c r="I52" i="4"/>
  <c r="B52" i="4"/>
  <c r="B52" i="5" s="1"/>
  <c r="AD51" i="4"/>
  <c r="X51" i="4"/>
  <c r="N51" i="4"/>
  <c r="I51" i="4"/>
  <c r="I51" i="5" s="1"/>
  <c r="B51" i="4"/>
  <c r="B51" i="5" s="1"/>
  <c r="AD50" i="4"/>
  <c r="X50" i="4"/>
  <c r="N50" i="4"/>
  <c r="I50" i="4"/>
  <c r="I50" i="5" s="1"/>
  <c r="B50" i="4"/>
  <c r="B50" i="5" s="1"/>
  <c r="AD49" i="4"/>
  <c r="X49" i="4"/>
  <c r="N49" i="4"/>
  <c r="I49" i="4"/>
  <c r="I49" i="5" s="1"/>
  <c r="B49" i="4"/>
  <c r="B49" i="5" s="1"/>
  <c r="AD48" i="4"/>
  <c r="X48" i="4"/>
  <c r="N48" i="4"/>
  <c r="I48" i="4"/>
  <c r="B48" i="4"/>
  <c r="B48" i="5" s="1"/>
  <c r="X44" i="4"/>
  <c r="N44" i="4"/>
  <c r="I44" i="4"/>
  <c r="I44" i="5" s="1"/>
  <c r="B44" i="4"/>
  <c r="X43" i="4"/>
  <c r="N43" i="4"/>
  <c r="I43" i="4"/>
  <c r="I43" i="5" s="1"/>
  <c r="B43" i="4"/>
  <c r="B43" i="5" s="1"/>
  <c r="X42" i="4"/>
  <c r="N42" i="4"/>
  <c r="I42" i="4"/>
  <c r="I42" i="5" s="1"/>
  <c r="B42" i="4"/>
  <c r="B42" i="5" s="1"/>
  <c r="X41" i="4"/>
  <c r="N41" i="4"/>
  <c r="I41" i="4"/>
  <c r="I41" i="5" s="1"/>
  <c r="B41" i="4"/>
  <c r="B41" i="5" s="1"/>
  <c r="AD40" i="4"/>
  <c r="X40" i="4"/>
  <c r="N40" i="4"/>
  <c r="I40" i="4"/>
  <c r="B40" i="4"/>
  <c r="AD39" i="4"/>
  <c r="X39" i="4"/>
  <c r="N39" i="4"/>
  <c r="I39" i="4"/>
  <c r="I39" i="5" s="1"/>
  <c r="B39" i="4"/>
  <c r="B39" i="5" s="1"/>
  <c r="AD38" i="4"/>
  <c r="X38" i="4"/>
  <c r="N38" i="4"/>
  <c r="I38" i="4"/>
  <c r="I38" i="5" s="1"/>
  <c r="B38" i="4"/>
  <c r="B38" i="5" s="1"/>
  <c r="AD37" i="4"/>
  <c r="X37" i="4"/>
  <c r="N37" i="4"/>
  <c r="I37" i="4"/>
  <c r="I37" i="5" s="1"/>
  <c r="B37" i="4"/>
  <c r="B37" i="5" s="1"/>
  <c r="AD36" i="4"/>
  <c r="X36" i="4"/>
  <c r="N36" i="4"/>
  <c r="I36" i="4"/>
  <c r="I36" i="5" s="1"/>
  <c r="B36" i="4"/>
  <c r="B36" i="5" s="1"/>
  <c r="AD35" i="4"/>
  <c r="X35" i="4"/>
  <c r="N35" i="4"/>
  <c r="I35" i="4"/>
  <c r="I35" i="5" s="1"/>
  <c r="B35" i="4"/>
  <c r="B35" i="5" s="1"/>
  <c r="AD34" i="4"/>
  <c r="X34" i="4"/>
  <c r="N34" i="4"/>
  <c r="I34" i="4"/>
  <c r="I34" i="5" s="1"/>
  <c r="B34" i="4"/>
  <c r="B34" i="5" s="1"/>
  <c r="AD33" i="4"/>
  <c r="X33" i="4"/>
  <c r="N33" i="4"/>
  <c r="I33" i="4"/>
  <c r="I33" i="5" s="1"/>
  <c r="B33" i="4"/>
  <c r="B33" i="5" s="1"/>
  <c r="AD32" i="4"/>
  <c r="X32" i="4"/>
  <c r="N32" i="4"/>
  <c r="I32" i="4"/>
  <c r="I32" i="5" s="1"/>
  <c r="B32" i="4"/>
  <c r="B32" i="5" s="1"/>
  <c r="AD31" i="4"/>
  <c r="X31" i="4"/>
  <c r="N31" i="4"/>
  <c r="I31" i="4"/>
  <c r="I31" i="5" s="1"/>
  <c r="B31" i="4"/>
  <c r="B31" i="5" s="1"/>
  <c r="AD30" i="4"/>
  <c r="X30" i="4"/>
  <c r="N30" i="4"/>
  <c r="I30" i="4"/>
  <c r="I30" i="5" s="1"/>
  <c r="B30" i="4"/>
  <c r="B30" i="5" s="1"/>
  <c r="AD29" i="4"/>
  <c r="X29" i="4"/>
  <c r="N29" i="4"/>
  <c r="I29" i="4"/>
  <c r="I29" i="5" s="1"/>
  <c r="B29" i="4"/>
  <c r="B29" i="5" s="1"/>
  <c r="AD28" i="4"/>
  <c r="X28" i="4"/>
  <c r="N28" i="4"/>
  <c r="I28" i="4"/>
  <c r="I28" i="5" s="1"/>
  <c r="B28" i="4"/>
  <c r="AD27" i="4"/>
  <c r="X27" i="4"/>
  <c r="N27" i="4"/>
  <c r="I27" i="4"/>
  <c r="I27" i="5" s="1"/>
  <c r="B27" i="4"/>
  <c r="B27" i="5" s="1"/>
  <c r="AD26" i="4"/>
  <c r="X26" i="4"/>
  <c r="N26" i="4"/>
  <c r="I26" i="4"/>
  <c r="I26" i="5" s="1"/>
  <c r="B26" i="4"/>
  <c r="B26" i="5" s="1"/>
  <c r="AD25" i="4"/>
  <c r="X25" i="4"/>
  <c r="N25" i="4"/>
  <c r="I25" i="4"/>
  <c r="I25" i="5" s="1"/>
  <c r="B25" i="4"/>
  <c r="B25" i="5" s="1"/>
  <c r="AD24" i="4"/>
  <c r="X24" i="4"/>
  <c r="N24" i="4"/>
  <c r="I24" i="4"/>
  <c r="B24" i="4"/>
  <c r="AD23" i="4"/>
  <c r="X23" i="4"/>
  <c r="N23" i="4"/>
  <c r="I23" i="4"/>
  <c r="I23" i="5" s="1"/>
  <c r="B23" i="4"/>
  <c r="B23" i="5" s="1"/>
  <c r="AD22" i="4"/>
  <c r="X22" i="4"/>
  <c r="N22" i="4"/>
  <c r="I22" i="4"/>
  <c r="I22" i="5" s="1"/>
  <c r="B22" i="4"/>
  <c r="B22" i="5" s="1"/>
  <c r="AD21" i="4"/>
  <c r="X21" i="4"/>
  <c r="N21" i="4"/>
  <c r="I21" i="4"/>
  <c r="I21" i="5" s="1"/>
  <c r="B21" i="4"/>
  <c r="B21" i="5" s="1"/>
  <c r="AD20" i="4"/>
  <c r="X20" i="4"/>
  <c r="N20" i="4"/>
  <c r="I20" i="4"/>
  <c r="I20" i="5" s="1"/>
  <c r="B20" i="4"/>
  <c r="AD19" i="4"/>
  <c r="X19" i="4"/>
  <c r="N19" i="4"/>
  <c r="I19" i="4"/>
  <c r="I19" i="5" s="1"/>
  <c r="B19" i="4"/>
  <c r="B19" i="5" s="1"/>
  <c r="AD18" i="4"/>
  <c r="X18" i="4"/>
  <c r="N18" i="4"/>
  <c r="I18" i="4"/>
  <c r="I18" i="5" s="1"/>
  <c r="B18" i="4"/>
  <c r="B18" i="5" s="1"/>
  <c r="AB10" i="4"/>
  <c r="S10" i="4"/>
  <c r="K10" i="4"/>
  <c r="A6" i="4"/>
  <c r="AL52" i="3"/>
  <c r="AK52" i="3"/>
  <c r="AJ52" i="3"/>
  <c r="AI52" i="3"/>
  <c r="AH52" i="3"/>
  <c r="AG52" i="3"/>
  <c r="AF52" i="3"/>
  <c r="Z52" i="3"/>
  <c r="Y52" i="3"/>
  <c r="X52" i="3"/>
  <c r="W52" i="3"/>
  <c r="V52" i="3"/>
  <c r="U52" i="3"/>
  <c r="T52" i="3"/>
  <c r="AL46" i="3"/>
  <c r="AK46" i="3"/>
  <c r="AJ46" i="3"/>
  <c r="AI46" i="3"/>
  <c r="AH46" i="3"/>
  <c r="AG46" i="3"/>
  <c r="AF46" i="3"/>
  <c r="Z46" i="3"/>
  <c r="Y46" i="3"/>
  <c r="X46" i="3"/>
  <c r="W46" i="3"/>
  <c r="V46" i="3"/>
  <c r="U46" i="3"/>
  <c r="T46" i="3"/>
  <c r="M40" i="3"/>
  <c r="AE38" i="3"/>
  <c r="S38" i="3"/>
  <c r="AE33" i="3"/>
  <c r="AE34" i="3" s="1"/>
  <c r="AE35" i="3" s="1"/>
  <c r="S33" i="3"/>
  <c r="S34" i="3" s="1"/>
  <c r="S35" i="3" s="1"/>
  <c r="AL30" i="3"/>
  <c r="AK30" i="3"/>
  <c r="AJ30" i="3"/>
  <c r="AI30" i="3"/>
  <c r="AH30" i="3"/>
  <c r="AG30" i="3"/>
  <c r="AF30" i="3"/>
  <c r="Z30" i="3"/>
  <c r="Y30" i="3"/>
  <c r="X30" i="3"/>
  <c r="W30" i="3"/>
  <c r="V30" i="3"/>
  <c r="U30" i="3"/>
  <c r="T30" i="3"/>
  <c r="AE26" i="3"/>
  <c r="S26" i="3"/>
  <c r="AE25" i="3"/>
  <c r="S25" i="3"/>
  <c r="AE20" i="3"/>
  <c r="S20" i="3"/>
  <c r="AE19" i="3"/>
  <c r="S19" i="3"/>
  <c r="AE15" i="3"/>
  <c r="S15" i="3"/>
  <c r="AE14" i="3"/>
  <c r="S14" i="3"/>
  <c r="AK12" i="3"/>
  <c r="AG12" i="3"/>
  <c r="Y12" i="3"/>
  <c r="U12" i="3"/>
  <c r="A6" i="3"/>
  <c r="AC53" i="2"/>
  <c r="S53" i="2"/>
  <c r="AC52" i="2"/>
  <c r="S52" i="2"/>
  <c r="AC51" i="2"/>
  <c r="S51" i="2"/>
  <c r="AC50" i="2"/>
  <c r="S50" i="2"/>
  <c r="S47" i="2"/>
  <c r="S46" i="2"/>
  <c r="S45" i="2"/>
  <c r="AE40" i="2"/>
  <c r="N40" i="2"/>
  <c r="AE39" i="2"/>
  <c r="N39" i="2"/>
  <c r="AE38" i="2"/>
  <c r="N38" i="2"/>
  <c r="AE37" i="2"/>
  <c r="N37" i="2"/>
  <c r="N36" i="2"/>
  <c r="N35" i="2"/>
  <c r="N34" i="2"/>
  <c r="AE33" i="2"/>
  <c r="N33" i="2"/>
  <c r="B27" i="2"/>
  <c r="AA24" i="2"/>
  <c r="W24" i="2"/>
  <c r="B22" i="2"/>
  <c r="B20" i="2"/>
  <c r="B18" i="2"/>
  <c r="AF15" i="2"/>
  <c r="Y15" i="2"/>
  <c r="AF14" i="2"/>
  <c r="Y14" i="2"/>
  <c r="AF13" i="2"/>
  <c r="Y13" i="2"/>
  <c r="AF12" i="2"/>
  <c r="Y12" i="2"/>
  <c r="AF11" i="2"/>
  <c r="Y11" i="2"/>
  <c r="A6" i="2"/>
  <c r="AA46" i="1"/>
  <c r="J46" i="1"/>
  <c r="AA45" i="1"/>
  <c r="J45" i="1"/>
  <c r="AA42" i="1"/>
  <c r="J42" i="1"/>
  <c r="AA40" i="1"/>
  <c r="J40" i="1"/>
  <c r="AA39" i="1"/>
  <c r="J38" i="1"/>
  <c r="AA38" i="1" s="1"/>
  <c r="J37" i="1"/>
  <c r="AA37" i="1" s="1"/>
  <c r="J36" i="1"/>
  <c r="AA36" i="1" s="1"/>
  <c r="AA35" i="1"/>
  <c r="J34" i="1"/>
  <c r="AA34" i="1" s="1"/>
  <c r="AA33" i="1"/>
  <c r="J33" i="1"/>
  <c r="AK32" i="1"/>
  <c r="AE32" i="1"/>
  <c r="T32" i="1"/>
  <c r="N32" i="1"/>
  <c r="AE31" i="1"/>
  <c r="N31" i="1"/>
  <c r="H25" i="1"/>
  <c r="F19" i="1"/>
  <c r="K18" i="1"/>
  <c r="K17" i="1"/>
  <c r="AG16" i="1"/>
  <c r="K16" i="1"/>
  <c r="B16" i="1"/>
  <c r="AG14" i="1"/>
  <c r="B14" i="1"/>
  <c r="AG12" i="1"/>
  <c r="AC8" i="5" s="1"/>
  <c r="T12" i="1"/>
  <c r="G12" i="1"/>
  <c r="F8" i="5" s="1"/>
  <c r="AD10" i="1"/>
  <c r="Q10" i="1"/>
  <c r="B10" i="1"/>
  <c r="B8" i="1"/>
  <c r="Z4" i="1"/>
  <c r="Z4" i="6" s="1"/>
  <c r="Z3" i="1"/>
  <c r="Z3" i="4" s="1"/>
  <c r="Z4" i="4" l="1"/>
  <c r="AE16" i="3"/>
  <c r="AE30" i="3" s="1"/>
  <c r="Z13" i="8"/>
  <c r="BC16" i="8"/>
  <c r="BC15" i="8"/>
  <c r="BC17" i="8"/>
  <c r="BC9" i="8"/>
  <c r="BC4" i="8"/>
  <c r="BC10" i="8"/>
  <c r="BC7" i="8"/>
  <c r="BC14" i="8"/>
  <c r="BC5" i="8"/>
  <c r="BC11" i="8"/>
  <c r="BC13" i="8"/>
  <c r="BC6" i="8"/>
  <c r="BC12" i="8"/>
  <c r="BC3" i="8"/>
  <c r="BC8" i="8"/>
  <c r="AI42" i="9"/>
  <c r="BB47" i="8"/>
  <c r="BB51" i="8" s="1"/>
  <c r="BB50" i="8" s="1"/>
  <c r="BA50" i="8" s="1"/>
  <c r="BB40" i="8"/>
  <c r="BB39" i="8" s="1"/>
  <c r="BA39" i="8" s="1"/>
  <c r="BB38" i="8"/>
  <c r="H50" i="7"/>
  <c r="F8" i="6"/>
  <c r="F8" i="2"/>
  <c r="AI54" i="9"/>
  <c r="AJ18" i="5"/>
  <c r="P54" i="9"/>
  <c r="AJ48" i="4"/>
  <c r="S30" i="3"/>
  <c r="BC37" i="8"/>
  <c r="AC8" i="2"/>
  <c r="Z4" i="3"/>
  <c r="F8" i="4"/>
  <c r="AC8" i="6"/>
  <c r="Z4" i="7"/>
  <c r="BB35" i="8"/>
  <c r="BC35" i="8" s="1"/>
  <c r="P34" i="9"/>
  <c r="AJ41" i="4" s="1"/>
  <c r="Z3" i="7"/>
  <c r="AC8" i="4"/>
  <c r="AJ19" i="4"/>
  <c r="Z3" i="5"/>
  <c r="F8" i="7"/>
  <c r="F8" i="3"/>
  <c r="Z4" i="5"/>
  <c r="AC8" i="7"/>
  <c r="A13" i="8"/>
  <c r="AC8" i="3"/>
  <c r="Z3" i="3"/>
  <c r="Z3" i="2"/>
  <c r="Z3" i="6"/>
  <c r="Z4" i="2"/>
  <c r="AD42" i="4" l="1"/>
  <c r="P35" i="9"/>
  <c r="AJ42" i="4" s="1"/>
  <c r="AD41" i="4"/>
  <c r="AJ54" i="4"/>
  <c r="BC18" i="8"/>
  <c r="BC19" i="8" s="1"/>
  <c r="BC20" i="8" s="1"/>
  <c r="BB48" i="8"/>
  <c r="BC48" i="8" s="1"/>
  <c r="AJ54" i="5"/>
  <c r="N8" i="8"/>
  <c r="BB46" i="8"/>
  <c r="BC46" i="8" s="1"/>
  <c r="BB49" i="8"/>
  <c r="BB42" i="8"/>
  <c r="BB53" i="8"/>
  <c r="BB41" i="8"/>
  <c r="BA41" i="8" s="1"/>
  <c r="BB52" i="8"/>
  <c r="BA52" i="8" s="1"/>
  <c r="AA46" i="6"/>
  <c r="AM9" i="8"/>
  <c r="AM10" i="8"/>
  <c r="AM8" i="8"/>
  <c r="O46" i="6"/>
  <c r="N10" i="8"/>
  <c r="N9" i="8"/>
  <c r="P36" i="9"/>
  <c r="AD43" i="4"/>
  <c r="AP19" i="9" l="1"/>
  <c r="AP21" i="9" s="1"/>
  <c r="AR18" i="9" s="1"/>
  <c r="AP15" i="9"/>
  <c r="AR11" i="9" s="1"/>
  <c r="AE28" i="3"/>
  <c r="AQ9" i="8"/>
  <c r="AE22" i="3"/>
  <c r="AQ10" i="8"/>
  <c r="AQ8" i="8"/>
  <c r="AE18" i="3" s="1"/>
  <c r="AE17" i="3"/>
  <c r="S17" i="3"/>
  <c r="R8" i="8"/>
  <c r="S18" i="3" s="1"/>
  <c r="S22" i="3"/>
  <c r="R10" i="8"/>
  <c r="S28" i="3"/>
  <c r="R9" i="8"/>
  <c r="P37" i="9"/>
  <c r="AJ44" i="4" s="1"/>
  <c r="AD44" i="4"/>
  <c r="M38" i="9"/>
  <c r="AG19" i="8"/>
  <c r="AJ43" i="4"/>
  <c r="R13" i="8" l="1"/>
  <c r="AQ13" i="8"/>
  <c r="BG37" i="8" s="1"/>
  <c r="AR14" i="9"/>
  <c r="AR15" i="9"/>
  <c r="AR22" i="9"/>
  <c r="AR21" i="9"/>
  <c r="AE29" i="3"/>
  <c r="AD13" i="8"/>
  <c r="AE23" i="3"/>
  <c r="AE24" i="3" s="1"/>
  <c r="S29" i="3"/>
  <c r="S23" i="3"/>
  <c r="S24" i="3" s="1"/>
  <c r="E13" i="8"/>
  <c r="P38" i="9"/>
  <c r="AO27" i="9" l="1"/>
  <c r="AQ27" i="9"/>
  <c r="AE31" i="3"/>
  <c r="BG9" i="8"/>
  <c r="AJ10" i="5"/>
  <c r="AE36" i="3"/>
  <c r="AJ10" i="4"/>
  <c r="S36" i="3"/>
  <c r="BG4" i="8"/>
  <c r="BG28" i="8" s="1"/>
  <c r="BI28" i="8" s="1"/>
  <c r="E16" i="8" s="1"/>
  <c r="S31" i="3"/>
  <c r="P39" i="9"/>
  <c r="AP27" i="9" l="1"/>
  <c r="BJ37" i="8"/>
  <c r="Z16" i="8" s="1"/>
  <c r="BI37" i="8"/>
  <c r="AD16" i="8" s="1"/>
  <c r="BH37" i="8"/>
  <c r="AG18" i="8" s="1"/>
  <c r="BG41" i="8"/>
  <c r="BK20" i="8"/>
  <c r="BK21" i="8" s="1"/>
  <c r="BI9" i="8"/>
  <c r="BJ9" i="8"/>
  <c r="BJ20" i="8"/>
  <c r="BJ21" i="8" s="1"/>
  <c r="BJ8" i="8"/>
  <c r="BG20" i="8"/>
  <c r="BG21" i="8" s="1"/>
  <c r="BK10" i="8"/>
  <c r="BH9" i="8"/>
  <c r="BI20" i="8"/>
  <c r="BI21" i="8" s="1"/>
  <c r="BK9" i="8"/>
  <c r="BG10" i="8"/>
  <c r="BK8" i="8"/>
  <c r="BG8" i="8"/>
  <c r="BH20" i="8"/>
  <c r="BH21" i="8" s="1"/>
  <c r="BJ10" i="8"/>
  <c r="BJ3" i="8"/>
  <c r="BJ5" i="8"/>
  <c r="BG5" i="8"/>
  <c r="BK5" i="8"/>
  <c r="BI4" i="8"/>
  <c r="BH4" i="8"/>
  <c r="BK14" i="8"/>
  <c r="BK15" i="8" s="1"/>
  <c r="BJ4" i="8"/>
  <c r="BK4" i="8"/>
  <c r="BH14" i="8"/>
  <c r="BH15" i="8" s="1"/>
  <c r="BG3" i="8"/>
  <c r="BK3" i="8"/>
  <c r="BG14" i="8"/>
  <c r="BG15" i="8" s="1"/>
  <c r="BJ14" i="8"/>
  <c r="BJ15" i="8" s="1"/>
  <c r="BI14" i="8"/>
  <c r="BI15" i="8" s="1"/>
  <c r="P41" i="9"/>
  <c r="P40" i="9"/>
  <c r="P42" i="9" l="1"/>
  <c r="BK19" i="8"/>
  <c r="BK23" i="8" s="1"/>
  <c r="BD25" i="8" s="1"/>
  <c r="BI8" i="8" s="1"/>
  <c r="BH8" i="8"/>
  <c r="BI10" i="8"/>
  <c r="BH10" i="8"/>
  <c r="BH41" i="8"/>
  <c r="AH16" i="8" s="1"/>
  <c r="BI41" i="8"/>
  <c r="BJ41" i="8" s="1"/>
  <c r="AL16" i="8" s="1"/>
  <c r="BJ19" i="8"/>
  <c r="BJ23" i="8" s="1"/>
  <c r="BD24" i="8" s="1"/>
  <c r="BK13" i="8"/>
  <c r="BK17" i="8" s="1"/>
  <c r="BA25" i="8" s="1"/>
  <c r="BJ28" i="8"/>
  <c r="A16" i="8" s="1"/>
  <c r="BG32" i="8"/>
  <c r="BH28" i="8"/>
  <c r="M18" i="8" s="1"/>
  <c r="BI3" i="8"/>
  <c r="BH3" i="8"/>
  <c r="BJ13" i="8"/>
  <c r="BJ17" i="8" s="1"/>
  <c r="BA24" i="8" s="1"/>
  <c r="BI5" i="8"/>
  <c r="BH5" i="8"/>
  <c r="AJ45" i="4" l="1"/>
  <c r="AC48" i="2"/>
  <c r="AC49" i="2"/>
  <c r="BD28" i="8"/>
  <c r="BH19" i="8"/>
  <c r="BH22" i="8" s="1"/>
  <c r="BG19" i="8"/>
  <c r="BG23" i="8" s="1"/>
  <c r="BD26" i="8" s="1"/>
  <c r="BI19" i="8"/>
  <c r="BI23" i="8" s="1"/>
  <c r="BD22" i="8" s="1"/>
  <c r="M19" i="8"/>
  <c r="O45" i="6"/>
  <c r="G26" i="8"/>
  <c r="BI13" i="8"/>
  <c r="BI17" i="8" s="1"/>
  <c r="BA22" i="8" s="1"/>
  <c r="BA28" i="8"/>
  <c r="BI32" i="8"/>
  <c r="BH32" i="8"/>
  <c r="I16" i="8" s="1"/>
  <c r="BG13" i="8"/>
  <c r="BG17" i="8" s="1"/>
  <c r="BA26" i="8" s="1"/>
  <c r="BH13" i="8"/>
  <c r="BH16" i="8" s="1"/>
  <c r="S44" i="2" l="1"/>
  <c r="AC44" i="2"/>
  <c r="S48" i="2"/>
  <c r="BJ32" i="8"/>
  <c r="M20" i="8"/>
  <c r="S42" i="3" s="1"/>
  <c r="AG29" i="8"/>
  <c r="AG22" i="8"/>
  <c r="AE44" i="3" s="1"/>
  <c r="AG20" i="8"/>
  <c r="BH23" i="8"/>
  <c r="BD23" i="8" s="1"/>
  <c r="M28" i="8"/>
  <c r="M31" i="8" s="1"/>
  <c r="S51" i="3"/>
  <c r="O55" i="6"/>
  <c r="BH17" i="8"/>
  <c r="BA23" i="8" s="1"/>
  <c r="M16" i="8" l="1"/>
  <c r="S49" i="2" s="1"/>
  <c r="BA27" i="8"/>
  <c r="BA29" i="8" s="1"/>
  <c r="BA31" i="8" s="1"/>
  <c r="BD27" i="8"/>
  <c r="BD29" i="8" s="1"/>
  <c r="BD31" i="8" s="1"/>
  <c r="AE42" i="3"/>
  <c r="M22" i="8" l="1"/>
  <c r="S44" i="3" s="1"/>
  <c r="S43" i="2"/>
  <c r="M21" i="8"/>
  <c r="AC43" i="2"/>
  <c r="AG21" i="8"/>
  <c r="S43" i="3" l="1"/>
  <c r="S45" i="3" s="1"/>
  <c r="S46" i="3" s="1"/>
  <c r="S47" i="3" s="1"/>
  <c r="M23" i="8"/>
  <c r="M25" i="8" s="1"/>
  <c r="AE43" i="3"/>
  <c r="AG23" i="8"/>
  <c r="M26" i="8" l="1"/>
  <c r="S48" i="3" s="1"/>
  <c r="BA32" i="8"/>
  <c r="AE45" i="3"/>
  <c r="AE46" i="3" s="1"/>
  <c r="AE47" i="3" s="1"/>
  <c r="AG25" i="8"/>
  <c r="M27" i="8" l="1"/>
  <c r="AG26" i="8"/>
  <c r="AE48" i="3" s="1"/>
  <c r="BD32" i="8"/>
  <c r="M32" i="8" l="1"/>
  <c r="M34" i="8"/>
  <c r="M36" i="8" s="1"/>
  <c r="S49" i="3"/>
  <c r="AG27" i="8"/>
  <c r="Y14" i="7" l="1"/>
  <c r="S52" i="3"/>
  <c r="AG32" i="8"/>
  <c r="AE49" i="3"/>
  <c r="AS26" i="8"/>
  <c r="AJ45" i="5"/>
  <c r="AG28" i="8" l="1"/>
  <c r="AE51" i="3"/>
  <c r="AA45" i="6"/>
  <c r="AA55" i="6"/>
  <c r="AG31" i="8" l="1"/>
  <c r="AG33" i="8"/>
  <c r="AG34" i="8" s="1"/>
  <c r="J25" i="12" s="1"/>
  <c r="AE52" i="3" l="1"/>
  <c r="Y16" i="7"/>
  <c r="X28" i="7" s="1"/>
  <c r="X29" i="7" s="1"/>
  <c r="X30" i="7" s="1"/>
  <c r="X31" i="7" s="1"/>
  <c r="J26" i="12"/>
  <c r="J27" i="12" s="1"/>
  <c r="J26" i="11"/>
  <c r="J27" i="11" s="1"/>
  <c r="Y18" i="7"/>
  <c r="G26" i="1" s="1"/>
  <c r="AG36" i="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administrado</author>
    <author>Windows User</author>
  </authors>
  <commentList>
    <comment ref="T3" authorId="0" shapeId="0" xr:uid="{D2A0C9FC-6423-4A02-A433-76FA8DBB4F3A}">
      <text>
        <r>
          <rPr>
            <sz val="8"/>
            <color indexed="81"/>
            <rFont val="Tahoma"/>
            <family val="2"/>
          </rPr>
          <t xml:space="preserve">Insertar la hora como texto así: 12:35 LT
</t>
        </r>
      </text>
    </comment>
    <comment ref="BK27" authorId="1" shapeId="0" xr:uid="{F1160968-55A4-4F0A-AA52-84EDBA8A9AE7}">
      <text>
        <r>
          <rPr>
            <b/>
            <sz val="9"/>
            <color indexed="81"/>
            <rFont val="Tahoma"/>
            <family val="2"/>
          </rPr>
          <t>LBP</t>
        </r>
        <r>
          <rPr>
            <sz val="9"/>
            <color indexed="81"/>
            <rFont val="Tahoma"/>
            <family val="2"/>
          </rPr>
          <t xml:space="preserve">
</t>
        </r>
      </text>
    </comment>
    <comment ref="BK29" authorId="1" shapeId="0" xr:uid="{EBD5A2C8-9B86-4410-80E3-44EEB02A9569}">
      <text>
        <r>
          <rPr>
            <b/>
            <sz val="9"/>
            <color indexed="81"/>
            <rFont val="Tahoma"/>
            <family val="2"/>
          </rPr>
          <t>INGRESAR EL DATO DEL LCA DE A TABLA</t>
        </r>
        <r>
          <rPr>
            <sz val="9"/>
            <color indexed="81"/>
            <rFont val="Tahoma"/>
            <family val="2"/>
          </rPr>
          <t xml:space="preserve">
</t>
        </r>
      </text>
    </comment>
    <comment ref="BK30" authorId="1" shapeId="0" xr:uid="{45D16D2B-8369-4FFA-9C39-ABB3C53CE074}">
      <text>
        <r>
          <rPr>
            <b/>
            <sz val="9"/>
            <color indexed="81"/>
            <rFont val="Tahoma"/>
            <family val="2"/>
          </rPr>
          <t>INSERTAR EN LA TABAL DE INTERPOLACION LCF</t>
        </r>
      </text>
    </comment>
  </commentList>
</comments>
</file>

<file path=xl/sharedStrings.xml><?xml version="1.0" encoding="utf-8"?>
<sst xmlns="http://schemas.openxmlformats.org/spreadsheetml/2006/main" count="815" uniqueCount="433">
  <si>
    <t>U.N. , ECE - DRAUGHT SURVEY CODE</t>
  </si>
  <si>
    <t>FORM "A"</t>
  </si>
  <si>
    <t>DRAUGHT SURVEY REPORT OF CARGO IN BULK</t>
  </si>
  <si>
    <t>LOADED</t>
  </si>
  <si>
    <t>UNLOADED</t>
  </si>
  <si>
    <t>Corporate identification:</t>
  </si>
  <si>
    <t>MSL Marine Surveyors And Logistics</t>
  </si>
  <si>
    <t>Office of the surveyor at:</t>
  </si>
  <si>
    <t>Telephone no:</t>
  </si>
  <si>
    <t>Fax no:</t>
  </si>
  <si>
    <t>E-mail</t>
  </si>
  <si>
    <t>Vessel M/V :</t>
  </si>
  <si>
    <t>Call letters:</t>
  </si>
  <si>
    <t>Survey no:</t>
  </si>
  <si>
    <t>Vessel previous name/s:</t>
  </si>
  <si>
    <t>Registry:</t>
  </si>
  <si>
    <t>Built year:</t>
  </si>
  <si>
    <t>By:</t>
  </si>
  <si>
    <t>Flag:</t>
  </si>
  <si>
    <t>Survey requested by:</t>
  </si>
  <si>
    <t>On the account of:</t>
  </si>
  <si>
    <t>REMARKS</t>
  </si>
  <si>
    <t>This is to certify that the undersigned did, in Bona Fide, attend on board the subject vessel as she lay afloat</t>
  </si>
  <si>
    <t>at the port of:</t>
  </si>
  <si>
    <t>for the purpose of determining by draught computations the</t>
  </si>
  <si>
    <t>amount of</t>
  </si>
  <si>
    <t>loaded, unloaded (holds no.</t>
  </si>
  <si>
    <t xml:space="preserve">                       1 &amp; 3</t>
  </si>
  <si>
    <t>) and having followed the rules as set by the</t>
  </si>
  <si>
    <t>U.N. / ECE Uniform Code of Standards and Procedures for the Performance of Draught Surveys have the</t>
  </si>
  <si>
    <t>following to report:</t>
  </si>
  <si>
    <t>STARTING SURVEY</t>
  </si>
  <si>
    <t>FINISHING SURVEY</t>
  </si>
  <si>
    <t>Attending the surveys:</t>
  </si>
  <si>
    <t>date D/M/Y:</t>
  </si>
  <si>
    <t>hours:    from:</t>
  </si>
  <si>
    <t>to:</t>
  </si>
  <si>
    <t>Name of surveyor/s</t>
  </si>
  <si>
    <t>Master</t>
  </si>
  <si>
    <t>Chief Officer</t>
  </si>
  <si>
    <t>Chief Engineer</t>
  </si>
  <si>
    <t>Witness draughts</t>
  </si>
  <si>
    <t>Witness tank sounding</t>
  </si>
  <si>
    <t>Ship's location</t>
  </si>
  <si>
    <t>Weather temperature</t>
  </si>
  <si>
    <t>Sea condition</t>
  </si>
  <si>
    <t>Heading of ship</t>
  </si>
  <si>
    <t>Direction wind</t>
  </si>
  <si>
    <t>Stream speed Km /h</t>
  </si>
  <si>
    <t>Tide</t>
  </si>
  <si>
    <t>Ice</t>
  </si>
  <si>
    <t>Cargo handling equipment T, brought on board:</t>
  </si>
  <si>
    <t>Missing ship's equipment:</t>
  </si>
  <si>
    <t>FORM "B"</t>
  </si>
  <si>
    <t>General remarks by the surveyor/s</t>
  </si>
  <si>
    <t>Correction for stem and stern obtained by:</t>
  </si>
  <si>
    <t>calculation</t>
  </si>
  <si>
    <t>tables</t>
  </si>
  <si>
    <t>Correction for trim (1) obtained by:</t>
  </si>
  <si>
    <t>Correction for trim (2) obtained by:</t>
  </si>
  <si>
    <t>Correction due to trim for liquid applied at:</t>
  </si>
  <si>
    <t>soundings</t>
  </si>
  <si>
    <t>volumes</t>
  </si>
  <si>
    <t>Correction due to trim for liquid obtained by:</t>
  </si>
  <si>
    <t>Initial Draft Survey Remarks</t>
  </si>
  <si>
    <t>Final Draft Survey Remarks</t>
  </si>
  <si>
    <t>Ship's approved hydrostatic tables and lightship information issued by and dated:</t>
  </si>
  <si>
    <t>Degree of tank calibration complies with code:</t>
  </si>
  <si>
    <t>Yes</t>
  </si>
  <si>
    <t>No</t>
  </si>
  <si>
    <t>Range of trim correction tables available</t>
  </si>
  <si>
    <t>Shipyard no.</t>
  </si>
  <si>
    <t>Hull no :</t>
  </si>
  <si>
    <t>Dated at:</t>
  </si>
  <si>
    <t>Surveyor remarks on ship's documents</t>
  </si>
  <si>
    <t>metres</t>
  </si>
  <si>
    <t>metric tonnes</t>
  </si>
  <si>
    <t>Length overall</t>
  </si>
  <si>
    <t>Constant declared</t>
  </si>
  <si>
    <t>Length between p.p.</t>
  </si>
  <si>
    <t>Constant calculated</t>
  </si>
  <si>
    <t>Extreme breadth</t>
  </si>
  <si>
    <t>Light displacement</t>
  </si>
  <si>
    <t>Moulded breadth</t>
  </si>
  <si>
    <t>Light shipweight (plan)</t>
  </si>
  <si>
    <t>Depth overall incl.. keel plate</t>
  </si>
  <si>
    <t>Summer displacement</t>
  </si>
  <si>
    <t>Moulded depth</t>
  </si>
  <si>
    <t>Summer deadweight</t>
  </si>
  <si>
    <t>Summer draught</t>
  </si>
  <si>
    <t>Net register tons</t>
  </si>
  <si>
    <t>Summer freeboard</t>
  </si>
  <si>
    <t>Gross register Tons</t>
  </si>
  <si>
    <t>Tonnes per Centimetre Immersion</t>
  </si>
  <si>
    <t>Longitudinal Centre of Flotation</t>
  </si>
  <si>
    <t>Distance marks forward pp. (forward - aft+)</t>
  </si>
  <si>
    <t>Distance marks after pp. (forward - aft+)</t>
  </si>
  <si>
    <t>Distance marks midship pp. (forward - aft+)</t>
  </si>
  <si>
    <t>Moment to Trim One Centimetre +50</t>
  </si>
  <si>
    <t>Moment to Trim One Centimetre -50</t>
  </si>
  <si>
    <t>Vessel list</t>
  </si>
  <si>
    <t>Accessibility of sounding pipes</t>
  </si>
  <si>
    <t>Working order of gauges</t>
  </si>
  <si>
    <t>Legibility of draught marks</t>
  </si>
  <si>
    <t>This form should be filled with pertinent shipyard-registry data by the Master in advance of survey start to</t>
  </si>
  <si>
    <t>reduce time/inconvenience.</t>
  </si>
  <si>
    <t>FORM "C"</t>
  </si>
  <si>
    <t>DRAUGHT STATEMENT</t>
  </si>
  <si>
    <t>DRAUGHT READINGS HOURS:</t>
  </si>
  <si>
    <t>From</t>
  </si>
  <si>
    <t>To</t>
  </si>
  <si>
    <t>Draught forward port</t>
  </si>
  <si>
    <t>Draught forward starboard</t>
  </si>
  <si>
    <t>Draught forward mean</t>
  </si>
  <si>
    <t>Stem correction</t>
  </si>
  <si>
    <t>Draught forward (corrected to fore pp.)</t>
  </si>
  <si>
    <t>Draught after port</t>
  </si>
  <si>
    <t>Draught after starboard</t>
  </si>
  <si>
    <t>Draught after mean</t>
  </si>
  <si>
    <t>Draught after (corrected to after pp.)</t>
  </si>
  <si>
    <t>Drought fore &amp; after mean</t>
  </si>
  <si>
    <t>Draught midship port</t>
  </si>
  <si>
    <t>Drought midship starboard</t>
  </si>
  <si>
    <t>Draught midship mean</t>
  </si>
  <si>
    <t>miadship correction</t>
  </si>
  <si>
    <t>Draught midship (corrected to midship pp.)</t>
  </si>
  <si>
    <t>Sag (+) Hog (-)</t>
  </si>
  <si>
    <t xml:space="preserve">         Mean of means</t>
  </si>
  <si>
    <t>Draughl extreme corrected for hog/sag</t>
  </si>
  <si>
    <t>Nil</t>
  </si>
  <si>
    <t>Correction (-) for keel tickness it applicable</t>
  </si>
  <si>
    <t>Draught moulded corrected for hog/sag</t>
  </si>
  <si>
    <t>(Note: Utilize line 152 or line 154)</t>
  </si>
  <si>
    <t>Trim:         fwd(-)     aft(+)</t>
  </si>
  <si>
    <t>Kg/m3</t>
  </si>
  <si>
    <t>Observed density</t>
  </si>
  <si>
    <t>(Ship's tables density Kg/m3  1.025 )</t>
  </si>
  <si>
    <t>Hydrometer no</t>
  </si>
  <si>
    <t>Metric tonnes</t>
  </si>
  <si>
    <t>Displacement (at 1.025  Kg/m3 density)</t>
  </si>
  <si>
    <t>First trim correction</t>
  </si>
  <si>
    <t>Second trim correction</t>
  </si>
  <si>
    <t>Total trim correction</t>
  </si>
  <si>
    <t>Displacement corrected for trim</t>
  </si>
  <si>
    <t>Displacement corrected for List</t>
  </si>
  <si>
    <t>Correction for density average</t>
  </si>
  <si>
    <t>Displacement corrected for density</t>
  </si>
  <si>
    <t>Total deductibles</t>
  </si>
  <si>
    <t>Displacement corrected for deductibles</t>
  </si>
  <si>
    <t>Droughts, densities, fresh water and ballast soundings witnessed and agreed to by the Chief Officer.  Fuel oil</t>
  </si>
  <si>
    <t>soundings,witnessed and agreed to by the Chief Engineer unless otherwise stated in form 'A'</t>
  </si>
  <si>
    <t>FORM "D1"</t>
  </si>
  <si>
    <t>STARTING SOUNDING:</t>
  </si>
  <si>
    <t>From Hours:</t>
  </si>
  <si>
    <t>To Hours</t>
  </si>
  <si>
    <t>Date:</t>
  </si>
  <si>
    <t>Trim:</t>
  </si>
  <si>
    <t>M</t>
  </si>
  <si>
    <t>Sounding</t>
  </si>
  <si>
    <t xml:space="preserve"> </t>
  </si>
  <si>
    <t>Compartment Title.</t>
  </si>
  <si>
    <t>Maximun</t>
  </si>
  <si>
    <t xml:space="preserve"> / ullage</t>
  </si>
  <si>
    <t>Volume</t>
  </si>
  <si>
    <t>Density of</t>
  </si>
  <si>
    <t>Total</t>
  </si>
  <si>
    <t>* Tank no.</t>
  </si>
  <si>
    <t>height</t>
  </si>
  <si>
    <t>corrected for</t>
  </si>
  <si>
    <t>corrected</t>
  </si>
  <si>
    <t>Water</t>
  </si>
  <si>
    <t>weight</t>
  </si>
  <si>
    <t>* Bilges</t>
  </si>
  <si>
    <t>meausured (*)</t>
  </si>
  <si>
    <t>trim / list</t>
  </si>
  <si>
    <t>for trim / list</t>
  </si>
  <si>
    <t>in air</t>
  </si>
  <si>
    <t>Metric</t>
  </si>
  <si>
    <t>* Duct Keel</t>
  </si>
  <si>
    <t>m3</t>
  </si>
  <si>
    <t>tonnes</t>
  </si>
  <si>
    <t>A - BALLAST</t>
  </si>
  <si>
    <t>Total A</t>
  </si>
  <si>
    <t>B - FRESH WATER</t>
  </si>
  <si>
    <t>Total B</t>
  </si>
  <si>
    <t>(*) Statement of obstructions in sounding tube/s:</t>
  </si>
  <si>
    <t>FORM "D2"</t>
  </si>
  <si>
    <t>FINISHING SOUNDING:</t>
  </si>
  <si>
    <t>FORM "D3"</t>
  </si>
  <si>
    <t>SOUNDINGS</t>
  </si>
  <si>
    <t>Compartment</t>
  </si>
  <si>
    <t>Title,</t>
  </si>
  <si>
    <t>Temp</t>
  </si>
  <si>
    <t>Actual</t>
  </si>
  <si>
    <t>Weight</t>
  </si>
  <si>
    <t>Tank no.</t>
  </si>
  <si>
    <t>sounded</t>
  </si>
  <si>
    <t>Ullage</t>
  </si>
  <si>
    <t>Density</t>
  </si>
  <si>
    <t>Slop t.</t>
  </si>
  <si>
    <t>depth m.</t>
  </si>
  <si>
    <t>º C</t>
  </si>
  <si>
    <t>Tonnes</t>
  </si>
  <si>
    <t>C - FUEL OIL</t>
  </si>
  <si>
    <t>Total C</t>
  </si>
  <si>
    <t>D - DIESEL OIL</t>
  </si>
  <si>
    <t>Total D</t>
  </si>
  <si>
    <t>SUMMARY OF DEDUCTIBLES</t>
  </si>
  <si>
    <t xml:space="preserve">Ballast water </t>
  </si>
  <si>
    <t xml:space="preserve">Fresh water   </t>
  </si>
  <si>
    <t xml:space="preserve">Fuel oil   </t>
  </si>
  <si>
    <t xml:space="preserve">Diesel oil   </t>
  </si>
  <si>
    <t xml:space="preserve">Lubrificating oil   </t>
  </si>
  <si>
    <t xml:space="preserve">Slops   </t>
  </si>
  <si>
    <t xml:space="preserve">Swimming pool water   </t>
  </si>
  <si>
    <t xml:space="preserve">Anchor &amp; Chain   </t>
  </si>
  <si>
    <t xml:space="preserve">Others   </t>
  </si>
  <si>
    <t xml:space="preserve">Total Deductibles   </t>
  </si>
  <si>
    <t>FORM "E"</t>
  </si>
  <si>
    <t>CARGO STATEMENT</t>
  </si>
  <si>
    <t>Metric Tonnes</t>
  </si>
  <si>
    <t>Starting Displacement Corrected</t>
  </si>
  <si>
    <t>Finishing Displacement Corrected</t>
  </si>
  <si>
    <t xml:space="preserve">According Remark </t>
  </si>
  <si>
    <t xml:space="preserve">Difference in Displacement = TOTAL CARGO IN BULK IS: </t>
  </si>
  <si>
    <t>Form "A"</t>
  </si>
  <si>
    <t>OBSERVATIONS: Shore scale quantity (if available) M.T.</t>
  </si>
  <si>
    <t>Note on any unusual situatonts, exception/s from required Uniform Code standard, specific identification</t>
  </si>
  <si>
    <t>(source, drawing no., date, title. certifying authority) of each ships document used in translating recorded</t>
  </si>
  <si>
    <t>measurements lrvto weights and, when applicable, reasons for surveyors refusal or impossibility to perform</t>
  </si>
  <si>
    <t>the survey:</t>
  </si>
  <si>
    <t>Corrected light displacement =</t>
  </si>
  <si>
    <t>Deductables =</t>
  </si>
  <si>
    <t>Lightship =</t>
  </si>
  <si>
    <t>Constant =</t>
  </si>
  <si>
    <t>Mean of previous constants =</t>
  </si>
  <si>
    <t>I certify that the constant calculated from this draught survey has been entered into the ship's 'Constant Certificate'</t>
  </si>
  <si>
    <t>In my judgement the weather conditions, the sea conditions, and the conditions of the ship at the times the</t>
  </si>
  <si>
    <t>draught surveys were conducted, were within acceptable limits and did not adversely affect the accuracy of</t>
  </si>
  <si>
    <t>is issued without prejudice and is for the benefit of whom It may concern.</t>
  </si>
  <si>
    <t xml:space="preserve">Name at surveying firm </t>
  </si>
  <si>
    <t>(Signature of Surveyor/s)</t>
  </si>
  <si>
    <t>Name/s in print</t>
  </si>
  <si>
    <t>I have participated in all stages of this draught survey, and agree with the results obtained.  I acknowledge receipt of the ship's copy.</t>
  </si>
  <si>
    <t xml:space="preserve">Signed: </t>
  </si>
  <si>
    <t>Rank:</t>
  </si>
  <si>
    <t>Name in print:</t>
  </si>
  <si>
    <t>MASTER</t>
  </si>
  <si>
    <t>CHIEF OFFICER</t>
  </si>
  <si>
    <t>INITIAL SURVEY</t>
  </si>
  <si>
    <t>FINAL SURVEY</t>
  </si>
  <si>
    <t>DATE</t>
  </si>
  <si>
    <t>CARGO</t>
  </si>
  <si>
    <t>DISPL'S</t>
  </si>
  <si>
    <t>LCF</t>
  </si>
  <si>
    <t>MTC</t>
  </si>
  <si>
    <t>APF</t>
  </si>
  <si>
    <t>DRAFT</t>
  </si>
  <si>
    <t>DISP</t>
  </si>
  <si>
    <t>MTC-</t>
  </si>
  <si>
    <t>MTC+</t>
  </si>
  <si>
    <t>FROM</t>
  </si>
  <si>
    <t>LOADING</t>
  </si>
  <si>
    <t>TO</t>
  </si>
  <si>
    <t>UNLOADING</t>
  </si>
  <si>
    <t>X</t>
  </si>
  <si>
    <t>I N I T I A L     D R A F T     S U R V E Y</t>
  </si>
  <si>
    <t>F I N A L     D R A F T     S U R V E Y</t>
  </si>
  <si>
    <t>PORT</t>
  </si>
  <si>
    <t>STB</t>
  </si>
  <si>
    <t>MEAN</t>
  </si>
  <si>
    <t>Crrn.</t>
  </si>
  <si>
    <t>TRUE</t>
  </si>
  <si>
    <t>Marks</t>
  </si>
  <si>
    <t>A.Trim</t>
  </si>
  <si>
    <t xml:space="preserve">T.Trim </t>
  </si>
  <si>
    <t>S.G.</t>
  </si>
  <si>
    <t>LPP</t>
  </si>
  <si>
    <t>MMM</t>
  </si>
  <si>
    <t>TPC</t>
  </si>
  <si>
    <t>MTC+50</t>
  </si>
  <si>
    <t>MTC-50</t>
  </si>
  <si>
    <t>TPC - P</t>
  </si>
  <si>
    <t>TPC - S</t>
  </si>
  <si>
    <t>BALLAST</t>
  </si>
  <si>
    <t>DISPLACEMENT</t>
  </si>
  <si>
    <t>F.WATER</t>
  </si>
  <si>
    <t>DECIMAL CORRECTION</t>
  </si>
  <si>
    <t>FUEL OIL</t>
  </si>
  <si>
    <t>DRAFT DISPLACEMENT</t>
  </si>
  <si>
    <t>DIESEL OIL</t>
  </si>
  <si>
    <t>TRIM CORRECTION "A"</t>
  </si>
  <si>
    <t>LUB OIL</t>
  </si>
  <si>
    <t>TRIM CORRECTION "B"</t>
  </si>
  <si>
    <t>SLOP</t>
  </si>
  <si>
    <t>TOTAL TRIM CORRECTIONS</t>
  </si>
  <si>
    <t>S, POOL</t>
  </si>
  <si>
    <t>LIST CORRECTION</t>
  </si>
  <si>
    <t>CORRECTED DISPLACEMENT</t>
  </si>
  <si>
    <t>DEDUCTIONS</t>
  </si>
  <si>
    <t>DENSITY CORRECTION</t>
  </si>
  <si>
    <t xml:space="preserve">DRAFT </t>
  </si>
  <si>
    <t>CONDITIONS</t>
  </si>
  <si>
    <t>GOOD</t>
  </si>
  <si>
    <t>REG</t>
  </si>
  <si>
    <t>BAD</t>
  </si>
  <si>
    <t>TRUE DISPLACEMENT</t>
  </si>
  <si>
    <t>TOTAL DEDUCTIONS</t>
  </si>
  <si>
    <t>LIGHT SHIP</t>
  </si>
  <si>
    <t>SOUNDING PIPES</t>
  </si>
  <si>
    <t xml:space="preserve"> HISTORIC CONSTANT</t>
  </si>
  <si>
    <t>DRAFT +</t>
  </si>
  <si>
    <t>MTC +50</t>
  </si>
  <si>
    <t>DRAFT -</t>
  </si>
  <si>
    <t>MTC - 50</t>
  </si>
  <si>
    <t>DRAFT MARKS</t>
  </si>
  <si>
    <t>CONSTANT "K"</t>
  </si>
  <si>
    <t>CORRECTED DISP.</t>
  </si>
  <si>
    <t>SWELL INITIAL</t>
  </si>
  <si>
    <t>INITIAL NET LIGHT DISPLACEMENT</t>
  </si>
  <si>
    <t>DIFFERENCE</t>
  </si>
  <si>
    <t>SWELL FINAL</t>
  </si>
  <si>
    <t>FINAL NET LIGHT DISPLACEMENT</t>
  </si>
  <si>
    <t>HYDROSTATIC TB.</t>
  </si>
  <si>
    <t>INIT FIGURE</t>
  </si>
  <si>
    <t>SURVEY FIGURE</t>
  </si>
  <si>
    <t>INITIAL</t>
  </si>
  <si>
    <t>DISTANCE TO MARKS</t>
  </si>
  <si>
    <t>B/L FIGURE</t>
  </si>
  <si>
    <t>BALLAST TABLES</t>
  </si>
  <si>
    <t>MSL   SURVEYOR</t>
  </si>
  <si>
    <t>LIST =</t>
  </si>
  <si>
    <t>º</t>
  </si>
  <si>
    <t>FINAL</t>
  </si>
  <si>
    <t>SI HAY DIFERENCIAS ENTRE  LAS DISTANCIAS DE LAS SONDAS DE DOS TANQUES</t>
  </si>
  <si>
    <t>*** POSIBLY OBSTRUCTION</t>
  </si>
  <si>
    <t>GEMELOS (EJ. TST 2 P Y TST 2S) SE DEBE CLOCAR UN ASTERISCO EN EL</t>
  </si>
  <si>
    <t>NOMBRE DEL TANQUE, Y MARCAR CON "X" LA CASILLA DE POSIBLE OBSTRUCCION</t>
  </si>
  <si>
    <t>Tank</t>
  </si>
  <si>
    <t>Height</t>
  </si>
  <si>
    <t>INITIAL BALLAST</t>
  </si>
  <si>
    <t>FINAL BALLAST</t>
  </si>
  <si>
    <t>INITIAL FRESH WATER</t>
  </si>
  <si>
    <t>FINAL FRESH WATER</t>
  </si>
  <si>
    <t>C6WC3</t>
  </si>
  <si>
    <t>Initial Surveyor/s</t>
  </si>
  <si>
    <t>Final Surveyor/s</t>
  </si>
  <si>
    <t>Witness sounding</t>
  </si>
  <si>
    <t>Attended also by:</t>
  </si>
  <si>
    <t>MSLOGISTICS</t>
  </si>
  <si>
    <t>Init Ship's location</t>
  </si>
  <si>
    <t>Final Ship's location</t>
  </si>
  <si>
    <t>ABS  JAN 12 /2001</t>
  </si>
  <si>
    <t>YES</t>
  </si>
  <si>
    <t>NO</t>
  </si>
  <si>
    <t>ARRIVAL TRIM CORRECTIONS FOR TANKS IS NOT COVERED BY VESSEL´S  TABLES</t>
  </si>
  <si>
    <t xml:space="preserve">The vessel should arrive with a  trim out of the limits of trim covered by the trim corrections of the sounding tables and ballast tanks  in slack conditions, and the Aft draft was not visible and properly referenced; due to previous fails at arrival, THE INITIAL OBTAINED FIGURE IS NOT RELIABLE. In addition, for the Final Draft, some ballast tanks were partially ballasted. THE ABNORMAL ARRIVAL CONDITION CAUSE THAT DRAFT SURVEY FIGURE ARE NOT RELIABLE, AND CAN´T BE USED AS LOADED/DISCHARGED CARGO FIGURE </t>
  </si>
  <si>
    <t>Remarks regarding reliability of calculations</t>
  </si>
  <si>
    <t>Villa Bonita, Centro Comercial Villa Plaza Local N 6, Alajuela - Costa Rica</t>
  </si>
  <si>
    <t>506- 2441 6408 Mobile: 506- 8814 0784</t>
  </si>
  <si>
    <t>506 - 2441 6408 / 506- 2441 6408</t>
  </si>
  <si>
    <t>pabel.mslogistics@yahoo.com</t>
  </si>
  <si>
    <t>N</t>
  </si>
  <si>
    <r>
      <t xml:space="preserve">this survey.  This Bona Fide report consisting of   </t>
    </r>
    <r>
      <rPr>
        <u/>
        <sz val="9"/>
        <rFont val="Arial"/>
        <family val="2"/>
      </rPr>
      <t xml:space="preserve">          4       </t>
    </r>
    <r>
      <rPr>
        <sz val="9"/>
        <rFont val="Arial"/>
        <family val="2"/>
      </rPr>
      <t xml:space="preserve"> pages, including this page, all duly initialled or signed</t>
    </r>
  </si>
  <si>
    <t>LETTER OF APPARENT DISCREPANCY</t>
  </si>
  <si>
    <t>VESSEL</t>
  </si>
  <si>
    <t>:</t>
  </si>
  <si>
    <t>BERTH</t>
  </si>
  <si>
    <t>PRODUCT</t>
  </si>
  <si>
    <t>PRINCIPALS</t>
  </si>
  <si>
    <t xml:space="preserve">We have been appointed as surveyors on the above named vessel by our principals and acting for and on their </t>
  </si>
  <si>
    <t>behalf, we do hereby note of protest with you concerning:</t>
  </si>
  <si>
    <t>BILL OF LADING</t>
  </si>
  <si>
    <t>MT</t>
  </si>
  <si>
    <t xml:space="preserve">DIFFERENCE </t>
  </si>
  <si>
    <t>PERCENTAGE %</t>
  </si>
  <si>
    <t>We hereby reserve the right to this matter at letter of protest date and to take such actions as may be deemed necessary.</t>
  </si>
  <si>
    <t>Your´s faithfully</t>
  </si>
  <si>
    <t>RECEIVED by (Signature / Stamp)</t>
  </si>
  <si>
    <t>MSL Surveyor</t>
  </si>
  <si>
    <t>Cargo Receivers Representative</t>
  </si>
  <si>
    <t>Vessel Representative</t>
  </si>
  <si>
    <r>
      <t xml:space="preserve">REMARK: </t>
    </r>
    <r>
      <rPr>
        <b/>
        <sz val="6"/>
        <rFont val="Umbra BT"/>
      </rPr>
      <t>Swell Condition, Initial ( 0,10 to 0.20 Mtr) /  Final Draft ( 0,10 to 0,20 Mtr)</t>
    </r>
  </si>
  <si>
    <t>LCB</t>
  </si>
  <si>
    <t>SOUNDING</t>
  </si>
  <si>
    <t>TRIM</t>
  </si>
  <si>
    <t>CORRECCION SONDA M.M</t>
  </si>
  <si>
    <t>+</t>
  </si>
  <si>
    <t>-</t>
  </si>
  <si>
    <t>HEEL</t>
  </si>
  <si>
    <t>TO: FERTICA S.A.</t>
  </si>
  <si>
    <t>Mrss:</t>
  </si>
  <si>
    <t>CARGO DISCHARGED BY DRAFT SURVEY</t>
  </si>
  <si>
    <t>CARGO DISCHARGED BY SHORE SCALE</t>
  </si>
  <si>
    <t>GAUGE</t>
  </si>
  <si>
    <t>PUERTO MOIN - COSTA RICA</t>
  </si>
  <si>
    <t>MMSL</t>
  </si>
  <si>
    <t>Agent - Marinsa</t>
  </si>
  <si>
    <t>ZHEJIANG OUHUA SHIPBUILDING CO. LTD</t>
  </si>
  <si>
    <t>FPT</t>
  </si>
  <si>
    <t>WBT 1P</t>
  </si>
  <si>
    <t>WBT 1S</t>
  </si>
  <si>
    <t>WBT 2P</t>
  </si>
  <si>
    <t>WBT 2S</t>
  </si>
  <si>
    <t>WBT 3P</t>
  </si>
  <si>
    <t>WBT 3S</t>
  </si>
  <si>
    <t>WBT 4P</t>
  </si>
  <si>
    <t>WBT 4S</t>
  </si>
  <si>
    <t>WBT 5P</t>
  </si>
  <si>
    <t>WBT 5S</t>
  </si>
  <si>
    <t>FWT P</t>
  </si>
  <si>
    <t>5/3</t>
  </si>
  <si>
    <t>,</t>
  </si>
  <si>
    <t>YELLOW CORN</t>
  </si>
  <si>
    <t>NOMBRE EL OWNER</t>
  </si>
  <si>
    <t>CARGUILL</t>
  </si>
  <si>
    <t xml:space="preserve">MANFRED BOLAÑOS </t>
  </si>
  <si>
    <t>XXXXX</t>
  </si>
  <si>
    <t>XXXX</t>
  </si>
  <si>
    <t>PUERTO CALDERA</t>
  </si>
  <si>
    <t>OTHERS</t>
  </si>
  <si>
    <t>APT</t>
  </si>
  <si>
    <t>PUERTO CALDERA - COSTA RICA</t>
  </si>
  <si>
    <t>Velez Rene Boy Enriquez</t>
  </si>
  <si>
    <t>MV SANTA CAROLINA</t>
  </si>
  <si>
    <t>GRAY WT P</t>
  </si>
  <si>
    <t xml:space="preserve">GRAYWT S </t>
  </si>
  <si>
    <t>EMPTY</t>
  </si>
  <si>
    <t>DDGS-SOYABEANS-YELLOW CORN</t>
  </si>
  <si>
    <t xml:space="preserve">NEW ORLEANS,  LA, EUA </t>
  </si>
  <si>
    <t>2207-1407-2026</t>
  </si>
  <si>
    <t>DW</t>
  </si>
  <si>
    <t>Sunday Val m. Sobremonte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</si>
</sst>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164" formatCode="#,##0.000"/>
    <numFmt numFmtId="165" formatCode="0.0000"/>
    <numFmt numFmtId="166" formatCode="#,##0.000\ _$;\-#,##0.000\ _$"/>
    <numFmt numFmtId="167" formatCode="0.000000"/>
    <numFmt numFmtId="168" formatCode="#,##0.0000\ _$;\-#,##0.0000\ _$"/>
    <numFmt numFmtId="169" formatCode="_(* #,##0.00_);_(* \(#,##0.00\);_(* &quot;-&quot;??_);_(@_)"/>
    <numFmt numFmtId="170" formatCode="0.000"/>
    <numFmt numFmtId="171" formatCode="_(* #,##0.0000_);_(* \(#,##0.0000\);_(* &quot;-&quot;??_);_(@_)"/>
    <numFmt numFmtId="172" formatCode="0.0000000"/>
    <numFmt numFmtId="173" formatCode="#,##0.0000"/>
    <numFmt numFmtId="174" formatCode="#,##0.000000"/>
    <numFmt numFmtId="175" formatCode="_(* #,##0.000_);_(* \(#,##0.000\);_(* &quot;-&quot;??_);_(@_)"/>
    <numFmt numFmtId="176" formatCode="[$-409]dd\-mmm\-yy;@"/>
    <numFmt numFmtId="177" formatCode="_ &quot;$&quot;\ * #,##0.00_ ;_ &quot;$&quot;\ * \-#,##0.00_ ;_ &quot;$&quot;\ * &quot;-&quot;??_ ;_ @_ "/>
    <numFmt numFmtId="178" formatCode="0.00000"/>
  </numFmts>
  <fonts count="65" x14ac:knownFonts="1">
    <font>
      <sz val="10"/>
      <name val="Arial"/>
    </font>
    <font>
      <sz val="10"/>
      <name val="Arial"/>
      <family val="2"/>
    </font>
    <font>
      <b/>
      <sz val="11"/>
      <name val="Arial"/>
      <family val="2"/>
    </font>
    <font>
      <sz val="8"/>
      <name val="Arial"/>
      <family val="2"/>
    </font>
    <font>
      <sz val="12"/>
      <name val="Arial"/>
      <family val="2"/>
    </font>
    <font>
      <b/>
      <sz val="10"/>
      <name val="Arial"/>
      <family val="2"/>
    </font>
    <font>
      <b/>
      <sz val="9"/>
      <name val="Arial"/>
      <family val="2"/>
    </font>
    <font>
      <b/>
      <sz val="12"/>
      <name val="Arial"/>
      <family val="2"/>
    </font>
    <font>
      <sz val="9"/>
      <name val="Arial"/>
      <family val="2"/>
    </font>
    <font>
      <b/>
      <sz val="10"/>
      <name val="Arial"/>
      <family val="2"/>
    </font>
    <font>
      <sz val="10"/>
      <name val="Arial"/>
      <family val="2"/>
    </font>
    <font>
      <b/>
      <sz val="8"/>
      <name val="Arial"/>
      <family val="2"/>
    </font>
    <font>
      <b/>
      <sz val="8"/>
      <color indexed="16"/>
      <name val="Arial"/>
      <family val="2"/>
    </font>
    <font>
      <sz val="9"/>
      <name val="Times New Roman"/>
      <family val="1"/>
    </font>
    <font>
      <b/>
      <sz val="12"/>
      <name val="Arial"/>
      <family val="2"/>
    </font>
    <font>
      <b/>
      <sz val="12"/>
      <color indexed="10"/>
      <name val="Arial"/>
      <family val="2"/>
    </font>
    <font>
      <b/>
      <sz val="9"/>
      <color indexed="10"/>
      <name val="Arial"/>
      <family val="2"/>
    </font>
    <font>
      <u/>
      <sz val="9"/>
      <name val="Arial"/>
      <family val="2"/>
    </font>
    <font>
      <b/>
      <sz val="10"/>
      <color indexed="56"/>
      <name val="Arial"/>
      <family val="2"/>
    </font>
    <font>
      <b/>
      <sz val="9"/>
      <color indexed="8"/>
      <name val="Arial"/>
      <family val="2"/>
    </font>
    <font>
      <sz val="8"/>
      <name val="Arial"/>
      <family val="2"/>
    </font>
    <font>
      <b/>
      <sz val="10"/>
      <color indexed="9"/>
      <name val="Arial"/>
      <family val="2"/>
    </font>
    <font>
      <sz val="10"/>
      <color indexed="8"/>
      <name val="Arial"/>
      <family val="2"/>
    </font>
    <font>
      <sz val="9"/>
      <color indexed="8"/>
      <name val="Arial"/>
      <family val="2"/>
    </font>
    <font>
      <b/>
      <sz val="10"/>
      <color indexed="8"/>
      <name val="Arial"/>
      <family val="2"/>
    </font>
    <font>
      <b/>
      <sz val="8"/>
      <name val="Times New Roman"/>
      <family val="1"/>
    </font>
    <font>
      <b/>
      <sz val="8"/>
      <color indexed="12"/>
      <name val="Arial"/>
      <family val="2"/>
    </font>
    <font>
      <b/>
      <sz val="8"/>
      <color theme="0"/>
      <name val="Arial"/>
      <family val="2"/>
    </font>
    <font>
      <b/>
      <sz val="10"/>
      <color theme="0"/>
      <name val="Arial"/>
      <family val="2"/>
    </font>
    <font>
      <b/>
      <sz val="10"/>
      <color indexed="60"/>
      <name val="Arial"/>
      <family val="2"/>
    </font>
    <font>
      <b/>
      <sz val="6"/>
      <color indexed="10"/>
      <name val="Umbra BT"/>
    </font>
    <font>
      <b/>
      <sz val="8"/>
      <color theme="4" tint="0.79998168889431442"/>
      <name val="Arial"/>
      <family val="2"/>
    </font>
    <font>
      <b/>
      <sz val="6"/>
      <color indexed="18"/>
      <name val="Umbra BT"/>
    </font>
    <font>
      <sz val="8"/>
      <color indexed="81"/>
      <name val="Tahoma"/>
      <family val="2"/>
    </font>
    <font>
      <b/>
      <sz val="14"/>
      <name val="Arial"/>
      <family val="2"/>
    </font>
    <font>
      <b/>
      <sz val="6"/>
      <color indexed="10"/>
      <name val="Arial"/>
      <family val="2"/>
    </font>
    <font>
      <b/>
      <sz val="9"/>
      <color indexed="9"/>
      <name val="Arial"/>
      <family val="2"/>
    </font>
    <font>
      <b/>
      <sz val="7"/>
      <name val="Arial"/>
      <family val="2"/>
    </font>
    <font>
      <u/>
      <sz val="10"/>
      <color theme="10"/>
      <name val="Arial"/>
      <family val="2"/>
    </font>
    <font>
      <sz val="10"/>
      <color indexed="18"/>
      <name val="Arial"/>
      <family val="2"/>
    </font>
    <font>
      <b/>
      <sz val="10"/>
      <color indexed="18"/>
      <name val="Arial"/>
      <family val="2"/>
    </font>
    <font>
      <b/>
      <sz val="8"/>
      <color indexed="18"/>
      <name val="Arial"/>
      <family val="2"/>
    </font>
    <font>
      <sz val="10"/>
      <color indexed="18"/>
      <name val="Arial"/>
      <family val="2"/>
    </font>
    <font>
      <b/>
      <sz val="9"/>
      <color indexed="18"/>
      <name val="Arial"/>
      <family val="2"/>
    </font>
    <font>
      <b/>
      <u/>
      <sz val="14"/>
      <name val="Arial"/>
      <family val="2"/>
    </font>
    <font>
      <b/>
      <sz val="6"/>
      <name val="Umbra BT"/>
    </font>
    <font>
      <b/>
      <sz val="9"/>
      <color indexed="81"/>
      <name val="Tahoma"/>
      <family val="2"/>
    </font>
    <font>
      <sz val="9"/>
      <color indexed="81"/>
      <name val="Tahoma"/>
      <family val="2"/>
    </font>
    <font>
      <b/>
      <sz val="10"/>
      <color indexed="12"/>
      <name val="Arial"/>
      <family val="2"/>
    </font>
    <font>
      <b/>
      <sz val="8"/>
      <color indexed="62"/>
      <name val="Arial"/>
      <family val="2"/>
      <charset val="204"/>
    </font>
    <font>
      <b/>
      <sz val="10"/>
      <name val="Arial"/>
      <family val="2"/>
      <charset val="204"/>
    </font>
    <font>
      <b/>
      <sz val="8"/>
      <name val="Palatino Linotype"/>
      <family val="1"/>
    </font>
    <font>
      <b/>
      <sz val="10"/>
      <color indexed="60"/>
      <name val="Arial Cyr"/>
      <family val="2"/>
      <charset val="204"/>
    </font>
    <font>
      <b/>
      <sz val="10"/>
      <color indexed="36"/>
      <name val="Palatino Linotype"/>
      <family val="1"/>
    </font>
    <font>
      <b/>
      <sz val="10"/>
      <color indexed="60"/>
      <name val="Arial"/>
      <family val="2"/>
      <charset val="204"/>
    </font>
    <font>
      <b/>
      <sz val="10"/>
      <color indexed="62"/>
      <name val="Arial Cyr"/>
      <family val="2"/>
      <charset val="204"/>
    </font>
    <font>
      <b/>
      <sz val="10"/>
      <color indexed="10"/>
      <name val="Palatino Linotype"/>
      <family val="1"/>
    </font>
    <font>
      <b/>
      <sz val="10"/>
      <color indexed="10"/>
      <name val="Arial"/>
      <family val="2"/>
    </font>
    <font>
      <b/>
      <sz val="10"/>
      <color indexed="22"/>
      <name val="Arial"/>
      <family val="2"/>
      <charset val="204"/>
    </font>
    <font>
      <b/>
      <sz val="10"/>
      <color indexed="12"/>
      <name val="Palatino Linotype"/>
      <family val="1"/>
    </font>
    <font>
      <sz val="7"/>
      <name val="Arial"/>
      <family val="2"/>
    </font>
    <font>
      <sz val="8"/>
      <color indexed="18"/>
      <name val="Arial"/>
      <family val="2"/>
    </font>
    <font>
      <sz val="6.5"/>
      <name val="Arial"/>
      <family val="2"/>
    </font>
    <font>
      <sz val="6"/>
      <name val="Arial"/>
      <family val="2"/>
    </font>
    <font>
      <sz val="6"/>
      <color theme="0"/>
      <name val="Arial"/>
      <family val="2"/>
    </font>
  </fonts>
  <fills count="25">
    <fill>
      <patternFill patternType="none"/>
    </fill>
    <fill>
      <patternFill patternType="gray125"/>
    </fill>
    <fill>
      <patternFill patternType="solid">
        <fgColor indexed="9"/>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rgb="FF3333FF"/>
        <bgColor indexed="64"/>
      </patternFill>
    </fill>
    <fill>
      <patternFill patternType="solid">
        <fgColor theme="0" tint="-4.9989318521683403E-2"/>
        <bgColor indexed="64"/>
      </patternFill>
    </fill>
    <fill>
      <patternFill patternType="solid">
        <fgColor indexed="15"/>
        <bgColor indexed="0"/>
      </patternFill>
    </fill>
    <fill>
      <patternFill patternType="solid">
        <fgColor indexed="22"/>
        <bgColor indexed="0"/>
      </patternFill>
    </fill>
    <fill>
      <patternFill patternType="solid">
        <fgColor theme="2" tint="-9.9978637043366805E-2"/>
        <bgColor indexed="64"/>
      </patternFill>
    </fill>
    <fill>
      <patternFill patternType="solid">
        <fgColor indexed="44"/>
        <bgColor indexed="0"/>
      </patternFill>
    </fill>
    <fill>
      <patternFill patternType="solid">
        <fgColor indexed="43"/>
        <bgColor indexed="0"/>
      </patternFill>
    </fill>
    <fill>
      <patternFill patternType="solid">
        <fgColor indexed="22"/>
        <bgColor indexed="64"/>
      </patternFill>
    </fill>
    <fill>
      <patternFill patternType="solid">
        <fgColor indexed="45"/>
        <bgColor indexed="64"/>
      </patternFill>
    </fill>
    <fill>
      <patternFill patternType="solid">
        <fgColor indexed="42"/>
        <bgColor indexed="0"/>
      </patternFill>
    </fill>
    <fill>
      <patternFill patternType="solid">
        <fgColor indexed="43"/>
        <bgColor indexed="64"/>
      </patternFill>
    </fill>
    <fill>
      <patternFill patternType="solid">
        <fgColor indexed="8"/>
        <bgColor indexed="64"/>
      </patternFill>
    </fill>
    <fill>
      <patternFill patternType="solid">
        <fgColor theme="0" tint="-0.249977111117893"/>
        <bgColor indexed="64"/>
      </patternFill>
    </fill>
    <fill>
      <patternFill patternType="solid">
        <fgColor theme="0"/>
        <bgColor indexed="64"/>
      </patternFill>
    </fill>
    <fill>
      <patternFill patternType="solid">
        <fgColor theme="3" tint="0.749992370372631"/>
        <bgColor indexed="64"/>
      </patternFill>
    </fill>
    <fill>
      <patternFill patternType="solid">
        <fgColor theme="3" tint="0.89999084444715716"/>
        <bgColor indexed="64"/>
      </patternFill>
    </fill>
    <fill>
      <patternFill patternType="solid">
        <fgColor indexed="55"/>
        <bgColor indexed="64"/>
      </patternFill>
    </fill>
    <fill>
      <patternFill patternType="solid">
        <fgColor theme="2"/>
        <bgColor indexed="64"/>
      </patternFill>
    </fill>
    <fill>
      <patternFill patternType="solid">
        <fgColor rgb="FFFFFF00"/>
        <bgColor indexed="0"/>
      </patternFill>
    </fill>
    <fill>
      <patternFill patternType="solid">
        <fgColor rgb="FF0000FF"/>
        <bgColor indexed="64"/>
      </patternFill>
    </fill>
  </fills>
  <borders count="73">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hair">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medium">
        <color indexed="64"/>
      </bottom>
      <diagonal/>
    </border>
    <border>
      <left/>
      <right/>
      <top style="medium">
        <color indexed="64"/>
      </top>
      <bottom style="dashed">
        <color indexed="64"/>
      </bottom>
      <diagonal/>
    </border>
    <border>
      <left style="thin">
        <color indexed="64"/>
      </left>
      <right style="thin">
        <color indexed="64"/>
      </right>
      <top style="thin">
        <color indexed="64"/>
      </top>
      <bottom/>
      <diagonal/>
    </border>
    <border>
      <left/>
      <right/>
      <top style="dashed">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style="medium">
        <color indexed="64"/>
      </top>
      <bottom/>
      <diagonal/>
    </border>
    <border>
      <left style="thin">
        <color indexed="64"/>
      </left>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right/>
      <top style="medium">
        <color indexed="64"/>
      </top>
      <bottom style="dotted">
        <color indexed="64"/>
      </bottom>
      <diagonal/>
    </border>
    <border>
      <left/>
      <right style="medium">
        <color indexed="64"/>
      </right>
      <top style="medium">
        <color indexed="64"/>
      </top>
      <bottom style="dotted">
        <color indexed="64"/>
      </bottom>
      <diagonal/>
    </border>
    <border>
      <left style="medium">
        <color indexed="64"/>
      </left>
      <right/>
      <top style="medium">
        <color indexed="64"/>
      </top>
      <bottom style="dotted">
        <color indexed="64"/>
      </bottom>
      <diagonal/>
    </border>
    <border>
      <left style="medium">
        <color indexed="64"/>
      </left>
      <right/>
      <top/>
      <bottom/>
      <diagonal/>
    </border>
    <border>
      <left/>
      <right/>
      <top style="dotted">
        <color indexed="64"/>
      </top>
      <bottom style="dotted">
        <color indexed="64"/>
      </bottom>
      <diagonal/>
    </border>
    <border>
      <left/>
      <right style="medium">
        <color indexed="64"/>
      </right>
      <top style="dotted">
        <color indexed="64"/>
      </top>
      <bottom style="dotted">
        <color indexed="64"/>
      </bottom>
      <diagonal/>
    </border>
    <border>
      <left style="medium">
        <color indexed="64"/>
      </left>
      <right/>
      <top style="dotted">
        <color indexed="64"/>
      </top>
      <bottom style="dotted">
        <color indexed="64"/>
      </bottom>
      <diagonal/>
    </border>
    <border>
      <left style="medium">
        <color indexed="64"/>
      </left>
      <right style="thin">
        <color indexed="64"/>
      </right>
      <top style="thin">
        <color indexed="64"/>
      </top>
      <bottom style="thin">
        <color indexed="64"/>
      </bottom>
      <diagonal/>
    </border>
    <border>
      <left/>
      <right style="medium">
        <color indexed="64"/>
      </right>
      <top/>
      <bottom/>
      <diagonal/>
    </border>
    <border>
      <left/>
      <right/>
      <top style="dotted">
        <color indexed="64"/>
      </top>
      <bottom style="medium">
        <color indexed="64"/>
      </bottom>
      <diagonal/>
    </border>
    <border>
      <left/>
      <right style="medium">
        <color indexed="64"/>
      </right>
      <top style="dotted">
        <color indexed="64"/>
      </top>
      <bottom style="medium">
        <color indexed="64"/>
      </bottom>
      <diagonal/>
    </border>
    <border>
      <left/>
      <right/>
      <top/>
      <bottom style="dashed">
        <color indexed="64"/>
      </bottom>
      <diagonal/>
    </border>
    <border>
      <left/>
      <right style="medium">
        <color indexed="64"/>
      </right>
      <top/>
      <bottom style="dashed">
        <color indexed="64"/>
      </bottom>
      <diagonal/>
    </border>
    <border>
      <left/>
      <right style="dashed">
        <color indexed="64"/>
      </right>
      <top/>
      <bottom/>
      <diagonal/>
    </border>
    <border>
      <left style="dashed">
        <color indexed="64"/>
      </left>
      <right style="dashed">
        <color indexed="64"/>
      </right>
      <top style="dashed">
        <color indexed="64"/>
      </top>
      <bottom style="dashed">
        <color indexed="64"/>
      </bottom>
      <diagonal/>
    </border>
    <border>
      <left style="dashed">
        <color indexed="64"/>
      </left>
      <right style="medium">
        <color indexed="64"/>
      </right>
      <top style="dashed">
        <color indexed="64"/>
      </top>
      <bottom style="dashed">
        <color indexed="64"/>
      </bottom>
      <diagonal/>
    </border>
    <border>
      <left style="dashed">
        <color indexed="64"/>
      </left>
      <right style="dashed">
        <color indexed="64"/>
      </right>
      <top style="dashed">
        <color indexed="64"/>
      </top>
      <bottom/>
      <diagonal/>
    </border>
    <border>
      <left style="dashed">
        <color indexed="64"/>
      </left>
      <right style="medium">
        <color indexed="64"/>
      </right>
      <top style="dashed">
        <color indexed="64"/>
      </top>
      <bottom/>
      <diagonal/>
    </border>
    <border>
      <left/>
      <right/>
      <top style="dotted">
        <color indexed="64"/>
      </top>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dotted">
        <color indexed="64"/>
      </top>
      <bottom/>
      <diagonal/>
    </border>
    <border>
      <left style="medium">
        <color indexed="64"/>
      </left>
      <right/>
      <top style="dotted">
        <color indexed="64"/>
      </top>
      <bottom/>
      <diagonal/>
    </border>
    <border>
      <left style="medium">
        <color indexed="64"/>
      </left>
      <right style="thin">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medium">
        <color indexed="64"/>
      </right>
      <top/>
      <bottom/>
      <diagonal/>
    </border>
    <border>
      <left style="medium">
        <color indexed="64"/>
      </left>
      <right style="thin">
        <color indexed="64"/>
      </right>
      <top style="thin">
        <color indexed="64"/>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s>
  <cellStyleXfs count="5">
    <xf numFmtId="0" fontId="0" fillId="0" borderId="0"/>
    <xf numFmtId="169" fontId="1" fillId="0" borderId="0" applyFont="0" applyFill="0" applyBorder="0" applyAlignment="0" applyProtection="0"/>
    <xf numFmtId="0" fontId="38" fillId="0" borderId="0" applyNumberFormat="0" applyFill="0" applyBorder="0" applyAlignment="0" applyProtection="0">
      <alignment vertical="top"/>
      <protection locked="0"/>
    </xf>
    <xf numFmtId="177" fontId="10" fillId="0" borderId="0" applyFont="0" applyFill="0" applyBorder="0" applyAlignment="0" applyProtection="0"/>
    <xf numFmtId="0" fontId="10" fillId="0" borderId="0"/>
  </cellStyleXfs>
  <cellXfs count="970">
    <xf numFmtId="0" fontId="0" fillId="0" borderId="0" xfId="0"/>
    <xf numFmtId="0" fontId="3" fillId="0" borderId="2" xfId="0" applyFont="1" applyBorder="1" applyAlignment="1">
      <alignment horizontal="center"/>
    </xf>
    <xf numFmtId="0" fontId="7" fillId="0" borderId="6" xfId="0" applyFont="1" applyBorder="1" applyAlignment="1">
      <alignment horizontal="center" vertical="center"/>
    </xf>
    <xf numFmtId="0" fontId="8" fillId="0" borderId="0" xfId="0" applyFont="1" applyAlignment="1">
      <alignment horizontal="left"/>
    </xf>
    <xf numFmtId="0" fontId="8" fillId="0" borderId="7" xfId="0" applyFont="1" applyBorder="1" applyAlignment="1">
      <alignment horizontal="center"/>
    </xf>
    <xf numFmtId="0" fontId="8" fillId="0" borderId="8" xfId="0" applyFont="1" applyBorder="1" applyAlignment="1">
      <alignment horizontal="left"/>
    </xf>
    <xf numFmtId="0" fontId="8" fillId="0" borderId="1" xfId="0" applyFont="1" applyBorder="1"/>
    <xf numFmtId="0" fontId="3" fillId="0" borderId="2" xfId="0" applyFont="1" applyBorder="1" applyAlignment="1">
      <alignment horizontal="left"/>
    </xf>
    <xf numFmtId="0" fontId="8" fillId="0" borderId="7" xfId="0" applyFont="1" applyBorder="1"/>
    <xf numFmtId="0" fontId="10" fillId="0" borderId="8" xfId="0" applyFont="1" applyBorder="1" applyAlignment="1">
      <alignment horizontal="left"/>
    </xf>
    <xf numFmtId="0" fontId="10" fillId="0" borderId="9" xfId="0" applyFont="1" applyBorder="1" applyAlignment="1">
      <alignment horizontal="left"/>
    </xf>
    <xf numFmtId="0" fontId="8" fillId="0" borderId="2" xfId="0" applyFont="1" applyBorder="1"/>
    <xf numFmtId="0" fontId="3" fillId="0" borderId="2" xfId="0" applyFont="1" applyBorder="1"/>
    <xf numFmtId="0" fontId="0" fillId="0" borderId="2" xfId="0" applyBorder="1"/>
    <xf numFmtId="0" fontId="3" fillId="0" borderId="3" xfId="0" applyFont="1" applyBorder="1"/>
    <xf numFmtId="0" fontId="8" fillId="0" borderId="8" xfId="0" applyFont="1" applyBorder="1"/>
    <xf numFmtId="0" fontId="3" fillId="0" borderId="8" xfId="0" applyFont="1" applyBorder="1"/>
    <xf numFmtId="0" fontId="0" fillId="0" borderId="8" xfId="0" applyBorder="1"/>
    <xf numFmtId="0" fontId="10" fillId="0" borderId="8" xfId="0" quotePrefix="1" applyFont="1" applyBorder="1" applyAlignment="1">
      <alignment horizontal="left"/>
    </xf>
    <xf numFmtId="0" fontId="11" fillId="0" borderId="8" xfId="0" applyFont="1" applyBorder="1"/>
    <xf numFmtId="0" fontId="3" fillId="0" borderId="9" xfId="0" applyFont="1" applyBorder="1"/>
    <xf numFmtId="0" fontId="10" fillId="0" borderId="8" xfId="0" applyFont="1" applyBorder="1"/>
    <xf numFmtId="0" fontId="10" fillId="0" borderId="2" xfId="0" applyFont="1" applyBorder="1" applyAlignment="1">
      <alignment horizontal="left"/>
    </xf>
    <xf numFmtId="0" fontId="8" fillId="0" borderId="4" xfId="0" applyFont="1" applyBorder="1"/>
    <xf numFmtId="0" fontId="8" fillId="0" borderId="0" xfId="0" applyFont="1"/>
    <xf numFmtId="0" fontId="3" fillId="0" borderId="0" xfId="0" applyFont="1"/>
    <xf numFmtId="0" fontId="10" fillId="0" borderId="0" xfId="0" quotePrefix="1" applyFont="1" applyAlignment="1">
      <alignment horizontal="left"/>
    </xf>
    <xf numFmtId="0" fontId="3" fillId="0" borderId="5" xfId="0" applyFont="1" applyBorder="1"/>
    <xf numFmtId="0" fontId="6" fillId="0" borderId="0" xfId="0" applyFont="1"/>
    <xf numFmtId="0" fontId="8" fillId="0" borderId="0" xfId="0" quotePrefix="1" applyFont="1" applyAlignment="1">
      <alignment horizontal="left"/>
    </xf>
    <xf numFmtId="0" fontId="0" fillId="0" borderId="5" xfId="0" applyBorder="1"/>
    <xf numFmtId="4" fontId="10" fillId="0" borderId="8" xfId="0" applyNumberFormat="1" applyFont="1" applyBorder="1" applyAlignment="1">
      <alignment horizontal="centerContinuous"/>
    </xf>
    <xf numFmtId="0" fontId="3" fillId="0" borderId="8" xfId="0" applyFont="1" applyBorder="1" applyAlignment="1">
      <alignment horizontal="centerContinuous"/>
    </xf>
    <xf numFmtId="0" fontId="8" fillId="0" borderId="0" xfId="0" quotePrefix="1" applyFont="1" applyAlignment="1">
      <alignment horizontal="right"/>
    </xf>
    <xf numFmtId="0" fontId="8" fillId="0" borderId="0" xfId="0" applyFont="1" applyAlignment="1">
      <alignment horizontal="right"/>
    </xf>
    <xf numFmtId="0" fontId="8" fillId="0" borderId="10" xfId="0" applyFont="1" applyBorder="1"/>
    <xf numFmtId="0" fontId="3" fillId="0" borderId="0" xfId="0" applyFont="1" applyAlignment="1">
      <alignment horizontal="right"/>
    </xf>
    <xf numFmtId="0" fontId="13" fillId="0" borderId="0" xfId="0" applyFont="1"/>
    <xf numFmtId="0" fontId="3" fillId="0" borderId="8" xfId="0" applyFont="1" applyBorder="1" applyAlignment="1">
      <alignment horizontal="right"/>
    </xf>
    <xf numFmtId="0" fontId="3" fillId="0" borderId="2" xfId="0" quotePrefix="1" applyFont="1" applyBorder="1" applyAlignment="1">
      <alignment horizontal="left"/>
    </xf>
    <xf numFmtId="0" fontId="3" fillId="0" borderId="0" xfId="0" applyFont="1" applyAlignment="1">
      <alignment horizontal="center"/>
    </xf>
    <xf numFmtId="0" fontId="8" fillId="0" borderId="0" xfId="0" applyFont="1" applyAlignment="1">
      <alignment horizontal="center"/>
    </xf>
    <xf numFmtId="0" fontId="5" fillId="0" borderId="6" xfId="0" applyFont="1" applyBorder="1" applyAlignment="1">
      <alignment horizontal="center"/>
    </xf>
    <xf numFmtId="0" fontId="0" fillId="0" borderId="1" xfId="0" applyBorder="1"/>
    <xf numFmtId="0" fontId="3" fillId="0" borderId="3" xfId="0" quotePrefix="1" applyFont="1" applyBorder="1" applyAlignment="1">
      <alignment horizontal="left"/>
    </xf>
    <xf numFmtId="0" fontId="0" fillId="0" borderId="4" xfId="0" applyBorder="1"/>
    <xf numFmtId="0" fontId="12" fillId="0" borderId="0" xfId="0" applyFont="1"/>
    <xf numFmtId="0" fontId="0" fillId="0" borderId="9" xfId="0" applyBorder="1"/>
    <xf numFmtId="0" fontId="3" fillId="0" borderId="0" xfId="0" applyFont="1" applyAlignment="1">
      <alignment horizontal="left"/>
    </xf>
    <xf numFmtId="0" fontId="14" fillId="0" borderId="6" xfId="0" applyFont="1" applyBorder="1" applyAlignment="1">
      <alignment horizontal="center"/>
    </xf>
    <xf numFmtId="0" fontId="15" fillId="0" borderId="6" xfId="0" applyFont="1" applyBorder="1" applyAlignment="1">
      <alignment horizontal="center"/>
    </xf>
    <xf numFmtId="0" fontId="16" fillId="0" borderId="7" xfId="0" quotePrefix="1" applyFont="1" applyBorder="1" applyAlignment="1">
      <alignment horizontal="left"/>
    </xf>
    <xf numFmtId="0" fontId="11" fillId="0" borderId="8" xfId="0" applyFont="1" applyBorder="1" applyAlignment="1">
      <alignment horizontal="left"/>
    </xf>
    <xf numFmtId="4" fontId="3" fillId="0" borderId="5" xfId="0" applyNumberFormat="1" applyFont="1" applyBorder="1" applyAlignment="1">
      <alignment horizontal="centerContinuous"/>
    </xf>
    <xf numFmtId="0" fontId="0" fillId="0" borderId="0" xfId="0" applyAlignment="1">
      <alignment horizontal="center"/>
    </xf>
    <xf numFmtId="4" fontId="3" fillId="0" borderId="9" xfId="0" applyNumberFormat="1" applyFont="1" applyBorder="1" applyAlignment="1">
      <alignment horizontal="centerContinuous"/>
    </xf>
    <xf numFmtId="4" fontId="3" fillId="0" borderId="3" xfId="0" applyNumberFormat="1" applyFont="1" applyBorder="1" applyAlignment="1">
      <alignment horizontal="centerContinuous"/>
    </xf>
    <xf numFmtId="0" fontId="8" fillId="0" borderId="8" xfId="0" applyFont="1" applyBorder="1" applyAlignment="1">
      <alignment horizontal="right"/>
    </xf>
    <xf numFmtId="4" fontId="3" fillId="0" borderId="7" xfId="0" applyNumberFormat="1" applyFont="1" applyBorder="1" applyAlignment="1">
      <alignment horizontal="centerContinuous"/>
    </xf>
    <xf numFmtId="4" fontId="3" fillId="0" borderId="8" xfId="0" applyNumberFormat="1" applyFont="1" applyBorder="1" applyAlignment="1">
      <alignment horizontal="centerContinuous"/>
    </xf>
    <xf numFmtId="0" fontId="0" fillId="0" borderId="8" xfId="0" applyBorder="1" applyAlignment="1">
      <alignment horizontal="center"/>
    </xf>
    <xf numFmtId="0" fontId="3" fillId="0" borderId="0" xfId="0" applyFont="1" applyAlignment="1">
      <alignment horizontal="centerContinuous"/>
    </xf>
    <xf numFmtId="166" fontId="3" fillId="0" borderId="12" xfId="0" applyNumberFormat="1" applyFont="1" applyBorder="1"/>
    <xf numFmtId="168" fontId="3" fillId="0" borderId="12" xfId="0" applyNumberFormat="1" applyFont="1" applyBorder="1"/>
    <xf numFmtId="39" fontId="3" fillId="0" borderId="12" xfId="0" applyNumberFormat="1" applyFont="1" applyBorder="1"/>
    <xf numFmtId="0" fontId="3" fillId="0" borderId="4" xfId="0" applyFont="1" applyBorder="1"/>
    <xf numFmtId="0" fontId="3" fillId="0" borderId="7" xfId="0" applyFont="1" applyBorder="1"/>
    <xf numFmtId="0" fontId="3" fillId="0" borderId="13" xfId="0" applyFont="1" applyBorder="1"/>
    <xf numFmtId="0" fontId="3" fillId="0" borderId="1" xfId="0" applyFont="1" applyBorder="1"/>
    <xf numFmtId="4" fontId="3" fillId="0" borderId="0" xfId="0" applyNumberFormat="1" applyFont="1"/>
    <xf numFmtId="164" fontId="3" fillId="0" borderId="0" xfId="0" applyNumberFormat="1" applyFont="1"/>
    <xf numFmtId="4" fontId="3" fillId="0" borderId="5" xfId="0" applyNumberFormat="1" applyFont="1" applyBorder="1"/>
    <xf numFmtId="4" fontId="3" fillId="0" borderId="8" xfId="0" applyNumberFormat="1" applyFont="1" applyBorder="1"/>
    <xf numFmtId="164" fontId="3" fillId="0" borderId="8" xfId="0" applyNumberFormat="1" applyFont="1" applyBorder="1"/>
    <xf numFmtId="4" fontId="3" fillId="0" borderId="9" xfId="0" applyNumberFormat="1" applyFont="1" applyBorder="1"/>
    <xf numFmtId="0" fontId="16" fillId="0" borderId="8" xfId="0" quotePrefix="1" applyFont="1" applyBorder="1" applyAlignment="1">
      <alignment horizontal="left"/>
    </xf>
    <xf numFmtId="0" fontId="18" fillId="0" borderId="8" xfId="0" applyFont="1" applyBorder="1"/>
    <xf numFmtId="0" fontId="8" fillId="0" borderId="1" xfId="0" quotePrefix="1" applyFont="1" applyBorder="1" applyAlignment="1">
      <alignment horizontal="centerContinuous" vertical="center"/>
    </xf>
    <xf numFmtId="0" fontId="8" fillId="0" borderId="2" xfId="0" applyFont="1" applyBorder="1" applyAlignment="1">
      <alignment horizontal="centerContinuous" vertical="center"/>
    </xf>
    <xf numFmtId="0" fontId="8" fillId="0" borderId="3" xfId="0" applyFont="1" applyBorder="1" applyAlignment="1">
      <alignment horizontal="centerContinuous" vertical="center"/>
    </xf>
    <xf numFmtId="2" fontId="0" fillId="0" borderId="0" xfId="0" applyNumberFormat="1" applyAlignment="1">
      <alignment horizontal="center"/>
    </xf>
    <xf numFmtId="0" fontId="0" fillId="0" borderId="11" xfId="0" applyBorder="1" applyAlignment="1">
      <alignment horizontal="center"/>
    </xf>
    <xf numFmtId="0" fontId="3" fillId="0" borderId="12" xfId="0" applyFont="1" applyBorder="1"/>
    <xf numFmtId="0" fontId="3" fillId="0" borderId="9" xfId="0" applyFont="1" applyBorder="1" applyAlignment="1">
      <alignment horizontal="centerContinuous"/>
    </xf>
    <xf numFmtId="0" fontId="3" fillId="0" borderId="0" xfId="0" quotePrefix="1" applyFont="1" applyAlignment="1">
      <alignment horizontal="right"/>
    </xf>
    <xf numFmtId="0" fontId="3" fillId="0" borderId="4" xfId="0" applyFont="1" applyBorder="1" applyAlignment="1">
      <alignment horizontal="centerContinuous"/>
    </xf>
    <xf numFmtId="0" fontId="11" fillId="0" borderId="0" xfId="0" applyFont="1" applyAlignment="1">
      <alignment horizontal="center"/>
    </xf>
    <xf numFmtId="0" fontId="20" fillId="0" borderId="0" xfId="0" applyFont="1"/>
    <xf numFmtId="0" fontId="11" fillId="0" borderId="0" xfId="0" applyFont="1" applyAlignment="1">
      <alignment horizontal="left"/>
    </xf>
    <xf numFmtId="0" fontId="20" fillId="0" borderId="1" xfId="0" applyFont="1" applyBorder="1"/>
    <xf numFmtId="0" fontId="20" fillId="0" borderId="2" xfId="0" applyFont="1" applyBorder="1"/>
    <xf numFmtId="0" fontId="20" fillId="0" borderId="3" xfId="0" applyFont="1" applyBorder="1"/>
    <xf numFmtId="0" fontId="20" fillId="0" borderId="18" xfId="0" applyFont="1" applyBorder="1"/>
    <xf numFmtId="0" fontId="9" fillId="0" borderId="0" xfId="0" applyFont="1" applyAlignment="1" applyProtection="1">
      <alignment horizontal="center" vertical="center"/>
      <protection locked="0"/>
    </xf>
    <xf numFmtId="0" fontId="20" fillId="0" borderId="4" xfId="0" applyFont="1" applyBorder="1" applyProtection="1">
      <protection locked="0"/>
    </xf>
    <xf numFmtId="4" fontId="20" fillId="3" borderId="0" xfId="0" applyNumberFormat="1" applyFont="1" applyFill="1" applyProtection="1">
      <protection locked="0"/>
    </xf>
    <xf numFmtId="4" fontId="20" fillId="3" borderId="5" xfId="0" applyNumberFormat="1" applyFont="1" applyFill="1" applyBorder="1" applyProtection="1">
      <protection locked="0"/>
    </xf>
    <xf numFmtId="4" fontId="20" fillId="3" borderId="14" xfId="0" applyNumberFormat="1" applyFont="1" applyFill="1" applyBorder="1" applyProtection="1">
      <protection locked="0"/>
    </xf>
    <xf numFmtId="0" fontId="20" fillId="0" borderId="4" xfId="0" applyFont="1" applyBorder="1"/>
    <xf numFmtId="2" fontId="20" fillId="0" borderId="0" xfId="0" applyNumberFormat="1" applyFont="1"/>
    <xf numFmtId="172" fontId="20" fillId="0" borderId="0" xfId="0" applyNumberFormat="1" applyFont="1"/>
    <xf numFmtId="4" fontId="20" fillId="4" borderId="0" xfId="0" applyNumberFormat="1" applyFont="1" applyFill="1" applyProtection="1">
      <protection locked="0"/>
    </xf>
    <xf numFmtId="4" fontId="20" fillId="4" borderId="5" xfId="0" applyNumberFormat="1" applyFont="1" applyFill="1" applyBorder="1" applyProtection="1">
      <protection locked="0"/>
    </xf>
    <xf numFmtId="4" fontId="20" fillId="4" borderId="14" xfId="0" applyNumberFormat="1" applyFont="1" applyFill="1" applyBorder="1" applyProtection="1">
      <protection locked="0"/>
    </xf>
    <xf numFmtId="0" fontId="20" fillId="0" borderId="7" xfId="0" applyFont="1" applyBorder="1"/>
    <xf numFmtId="0" fontId="20" fillId="0" borderId="8" xfId="0" applyFont="1" applyBorder="1"/>
    <xf numFmtId="2" fontId="20" fillId="0" borderId="8" xfId="0" applyNumberFormat="1" applyFont="1" applyBorder="1"/>
    <xf numFmtId="0" fontId="11" fillId="0" borderId="16" xfId="0" applyFont="1" applyBorder="1"/>
    <xf numFmtId="0" fontId="11" fillId="7" borderId="6" xfId="0" applyFont="1" applyFill="1" applyBorder="1" applyAlignment="1">
      <alignment horizontal="left"/>
    </xf>
    <xf numFmtId="0" fontId="11" fillId="8" borderId="11" xfId="0" applyFont="1" applyFill="1" applyBorder="1" applyAlignment="1">
      <alignment horizontal="left"/>
    </xf>
    <xf numFmtId="0" fontId="11" fillId="7" borderId="11" xfId="0" applyFont="1" applyFill="1" applyBorder="1" applyAlignment="1">
      <alignment horizontal="center"/>
    </xf>
    <xf numFmtId="0" fontId="11" fillId="8" borderId="11" xfId="0" quotePrefix="1" applyFont="1" applyFill="1" applyBorder="1" applyAlignment="1">
      <alignment horizontal="left"/>
    </xf>
    <xf numFmtId="0" fontId="11" fillId="7" borderId="12" xfId="0" quotePrefix="1" applyFont="1" applyFill="1" applyBorder="1" applyAlignment="1">
      <alignment horizontal="left"/>
    </xf>
    <xf numFmtId="2" fontId="22" fillId="0" borderId="0" xfId="0" applyNumberFormat="1" applyFont="1" applyAlignment="1">
      <alignment horizontal="center"/>
    </xf>
    <xf numFmtId="0" fontId="22" fillId="0" borderId="0" xfId="0" applyFont="1"/>
    <xf numFmtId="167" fontId="20" fillId="7" borderId="14" xfId="0" applyNumberFormat="1" applyFont="1" applyFill="1" applyBorder="1"/>
    <xf numFmtId="167" fontId="20" fillId="8" borderId="0" xfId="0" applyNumberFormat="1" applyFont="1" applyFill="1"/>
    <xf numFmtId="167" fontId="20" fillId="7" borderId="0" xfId="0" applyNumberFormat="1" applyFont="1" applyFill="1"/>
    <xf numFmtId="0" fontId="20" fillId="7" borderId="14" xfId="0" applyFont="1" applyFill="1" applyBorder="1"/>
    <xf numFmtId="0" fontId="20" fillId="8" borderId="0" xfId="0" applyFont="1" applyFill="1"/>
    <xf numFmtId="0" fontId="20" fillId="7" borderId="0" xfId="0" applyFont="1" applyFill="1"/>
    <xf numFmtId="4" fontId="25" fillId="8" borderId="0" xfId="0" quotePrefix="1" applyNumberFormat="1" applyFont="1" applyFill="1" applyAlignment="1">
      <alignment horizontal="right"/>
    </xf>
    <xf numFmtId="4" fontId="25" fillId="7" borderId="14" xfId="0" quotePrefix="1" applyNumberFormat="1" applyFont="1" applyFill="1" applyBorder="1" applyAlignment="1">
      <alignment horizontal="right"/>
    </xf>
    <xf numFmtId="4" fontId="11" fillId="8" borderId="0" xfId="0" applyNumberFormat="1" applyFont="1" applyFill="1"/>
    <xf numFmtId="4" fontId="25" fillId="7" borderId="0" xfId="0" quotePrefix="1" applyNumberFormat="1" applyFont="1" applyFill="1" applyAlignment="1">
      <alignment horizontal="right"/>
    </xf>
    <xf numFmtId="0" fontId="0" fillId="0" borderId="42" xfId="0" applyBorder="1"/>
    <xf numFmtId="0" fontId="3" fillId="0" borderId="44" xfId="0" applyFont="1" applyBorder="1" applyAlignment="1">
      <alignment horizontal="left"/>
    </xf>
    <xf numFmtId="0" fontId="0" fillId="0" borderId="46" xfId="0" applyBorder="1"/>
    <xf numFmtId="0" fontId="26" fillId="0" borderId="48" xfId="0" applyFont="1" applyBorder="1" applyAlignment="1" applyProtection="1">
      <alignment horizontal="center"/>
      <protection locked="0"/>
    </xf>
    <xf numFmtId="0" fontId="20" fillId="0" borderId="7" xfId="0" applyFont="1" applyBorder="1" applyProtection="1">
      <protection locked="0"/>
    </xf>
    <xf numFmtId="4" fontId="20" fillId="3" borderId="8" xfId="0" applyNumberFormat="1" applyFont="1" applyFill="1" applyBorder="1" applyProtection="1">
      <protection locked="0"/>
    </xf>
    <xf numFmtId="4" fontId="20" fillId="3" borderId="9" xfId="0" applyNumberFormat="1" applyFont="1" applyFill="1" applyBorder="1" applyProtection="1">
      <protection locked="0"/>
    </xf>
    <xf numFmtId="4" fontId="20" fillId="3" borderId="15" xfId="0" applyNumberFormat="1" applyFont="1" applyFill="1" applyBorder="1" applyProtection="1">
      <protection locked="0"/>
    </xf>
    <xf numFmtId="4" fontId="3" fillId="0" borderId="6" xfId="0" applyNumberFormat="1" applyFont="1" applyBorder="1"/>
    <xf numFmtId="0" fontId="3" fillId="0" borderId="10" xfId="0" applyFont="1" applyBorder="1" applyAlignment="1">
      <alignment horizontal="centerContinuous"/>
    </xf>
    <xf numFmtId="0" fontId="3" fillId="0" borderId="12" xfId="0" applyFont="1" applyBorder="1" applyAlignment="1">
      <alignment horizontal="centerContinuous"/>
    </xf>
    <xf numFmtId="4" fontId="25" fillId="7" borderId="15" xfId="0" quotePrefix="1" applyNumberFormat="1" applyFont="1" applyFill="1" applyBorder="1" applyAlignment="1">
      <alignment horizontal="right"/>
    </xf>
    <xf numFmtId="0" fontId="9" fillId="0" borderId="46" xfId="0" applyFont="1" applyBorder="1"/>
    <xf numFmtId="0" fontId="11" fillId="10" borderId="6" xfId="0" applyFont="1" applyFill="1" applyBorder="1" applyAlignment="1">
      <alignment horizontal="center"/>
    </xf>
    <xf numFmtId="0" fontId="3" fillId="0" borderId="20" xfId="0" applyFont="1" applyBorder="1"/>
    <xf numFmtId="0" fontId="3" fillId="0" borderId="21" xfId="0" applyFont="1" applyBorder="1"/>
    <xf numFmtId="0" fontId="3" fillId="0" borderId="22" xfId="0" applyFont="1" applyBorder="1"/>
    <xf numFmtId="173" fontId="3" fillId="0" borderId="6" xfId="0" applyNumberFormat="1" applyFont="1" applyBorder="1"/>
    <xf numFmtId="164" fontId="3" fillId="0" borderId="6" xfId="0" applyNumberFormat="1" applyFont="1" applyBorder="1"/>
    <xf numFmtId="0" fontId="3" fillId="0" borderId="44" xfId="0" applyFont="1" applyBorder="1"/>
    <xf numFmtId="0" fontId="3" fillId="0" borderId="49" xfId="0" applyFont="1" applyBorder="1"/>
    <xf numFmtId="174" fontId="3" fillId="8" borderId="6" xfId="0" applyNumberFormat="1" applyFont="1" applyFill="1" applyBorder="1"/>
    <xf numFmtId="4" fontId="11" fillId="8" borderId="6" xfId="0" applyNumberFormat="1" applyFont="1" applyFill="1" applyBorder="1"/>
    <xf numFmtId="173" fontId="11" fillId="8" borderId="6" xfId="0" applyNumberFormat="1" applyFont="1" applyFill="1" applyBorder="1"/>
    <xf numFmtId="164" fontId="11" fillId="8" borderId="6" xfId="0" applyNumberFormat="1" applyFont="1" applyFill="1" applyBorder="1"/>
    <xf numFmtId="4" fontId="3" fillId="0" borderId="18" xfId="0" applyNumberFormat="1" applyFont="1" applyBorder="1"/>
    <xf numFmtId="173" fontId="3" fillId="0" borderId="18" xfId="0" applyNumberFormat="1" applyFont="1" applyBorder="1"/>
    <xf numFmtId="164" fontId="3" fillId="0" borderId="18" xfId="0" applyNumberFormat="1" applyFont="1" applyBorder="1"/>
    <xf numFmtId="0" fontId="3" fillId="0" borderId="54" xfId="0" applyFont="1" applyBorder="1" applyAlignment="1">
      <alignment horizontal="left"/>
    </xf>
    <xf numFmtId="0" fontId="9" fillId="0" borderId="55" xfId="0" applyFont="1" applyBorder="1" applyAlignment="1" applyProtection="1">
      <alignment horizontal="center" vertical="center"/>
      <protection locked="0"/>
    </xf>
    <xf numFmtId="0" fontId="9" fillId="0" borderId="56" xfId="0" applyFont="1" applyBorder="1" applyAlignment="1" applyProtection="1">
      <alignment horizontal="center" vertical="center"/>
      <protection locked="0"/>
    </xf>
    <xf numFmtId="4" fontId="3" fillId="11" borderId="6" xfId="0" applyNumberFormat="1" applyFont="1" applyFill="1" applyBorder="1"/>
    <xf numFmtId="174" fontId="11" fillId="8" borderId="6" xfId="0" applyNumberFormat="1" applyFont="1" applyFill="1" applyBorder="1"/>
    <xf numFmtId="174" fontId="11" fillId="7" borderId="6" xfId="0" applyNumberFormat="1" applyFont="1" applyFill="1" applyBorder="1"/>
    <xf numFmtId="4" fontId="11" fillId="7" borderId="6" xfId="0" applyNumberFormat="1" applyFont="1" applyFill="1" applyBorder="1"/>
    <xf numFmtId="0" fontId="9" fillId="0" borderId="57" xfId="0" applyFont="1" applyBorder="1" applyAlignment="1" applyProtection="1">
      <alignment horizontal="center" vertical="center"/>
      <protection locked="0"/>
    </xf>
    <xf numFmtId="0" fontId="9" fillId="0" borderId="58" xfId="0" applyFont="1" applyBorder="1" applyAlignment="1" applyProtection="1">
      <alignment horizontal="center" vertical="center"/>
      <protection locked="0"/>
    </xf>
    <xf numFmtId="0" fontId="0" fillId="0" borderId="59" xfId="0" applyBorder="1"/>
    <xf numFmtId="0" fontId="9" fillId="0" borderId="0" xfId="0" applyFont="1" applyAlignment="1">
      <alignment horizontal="center"/>
    </xf>
    <xf numFmtId="0" fontId="0" fillId="0" borderId="63" xfId="0" applyBorder="1"/>
    <xf numFmtId="170" fontId="3" fillId="0" borderId="65" xfId="0" applyNumberFormat="1" applyFont="1" applyBorder="1"/>
    <xf numFmtId="2" fontId="3" fillId="12" borderId="29" xfId="0" applyNumberFormat="1" applyFont="1" applyFill="1" applyBorder="1"/>
    <xf numFmtId="170" fontId="11" fillId="13" borderId="66" xfId="0" applyNumberFormat="1" applyFont="1" applyFill="1" applyBorder="1"/>
    <xf numFmtId="0" fontId="11" fillId="14" borderId="6" xfId="0" applyFont="1" applyFill="1" applyBorder="1" applyAlignment="1">
      <alignment horizontal="center"/>
    </xf>
    <xf numFmtId="0" fontId="3" fillId="0" borderId="44" xfId="0" quotePrefix="1" applyFont="1" applyBorder="1"/>
    <xf numFmtId="170" fontId="3" fillId="0" borderId="48" xfId="0" applyNumberFormat="1" applyFont="1" applyBorder="1"/>
    <xf numFmtId="2" fontId="3" fillId="12" borderId="6" xfId="0" applyNumberFormat="1" applyFont="1" applyFill="1" applyBorder="1"/>
    <xf numFmtId="170" fontId="11" fillId="0" borderId="67" xfId="0" applyNumberFormat="1" applyFont="1" applyBorder="1"/>
    <xf numFmtId="170" fontId="3" fillId="0" borderId="68" xfId="0" applyNumberFormat="1" applyFont="1" applyBorder="1"/>
    <xf numFmtId="2" fontId="3" fillId="12" borderId="36" xfId="0" applyNumberFormat="1" applyFont="1" applyFill="1" applyBorder="1"/>
    <xf numFmtId="0" fontId="9" fillId="0" borderId="62" xfId="0" applyFont="1" applyBorder="1"/>
    <xf numFmtId="0" fontId="9" fillId="0" borderId="60" xfId="0" applyFont="1" applyBorder="1"/>
    <xf numFmtId="0" fontId="9" fillId="0" borderId="61" xfId="0" applyFont="1" applyBorder="1"/>
    <xf numFmtId="170" fontId="11" fillId="15" borderId="66" xfId="0" applyNumberFormat="1" applyFont="1" applyFill="1" applyBorder="1"/>
    <xf numFmtId="14" fontId="3" fillId="0" borderId="0" xfId="0" applyNumberFormat="1" applyFont="1" applyAlignment="1">
      <alignment horizontal="center"/>
    </xf>
    <xf numFmtId="14" fontId="11" fillId="0" borderId="0" xfId="0" applyNumberFormat="1" applyFont="1" applyAlignment="1">
      <alignment horizontal="center"/>
    </xf>
    <xf numFmtId="0" fontId="11" fillId="0" borderId="0" xfId="0" applyFont="1"/>
    <xf numFmtId="0" fontId="8" fillId="0" borderId="6" xfId="0" applyFont="1" applyBorder="1" applyAlignment="1">
      <alignment horizontal="center"/>
    </xf>
    <xf numFmtId="0" fontId="35" fillId="0" borderId="0" xfId="0" applyFont="1" applyAlignment="1">
      <alignment horizontal="left"/>
    </xf>
    <xf numFmtId="0" fontId="11" fillId="0" borderId="0" xfId="0" quotePrefix="1" applyFont="1" applyAlignment="1">
      <alignment horizontal="left"/>
    </xf>
    <xf numFmtId="0" fontId="8" fillId="0" borderId="32" xfId="0" applyFont="1" applyBorder="1"/>
    <xf numFmtId="169" fontId="37" fillId="0" borderId="0" xfId="1" applyFont="1" applyBorder="1" applyAlignment="1" applyProtection="1">
      <alignment horizontal="center"/>
    </xf>
    <xf numFmtId="169" fontId="37" fillId="0" borderId="0" xfId="1" applyFont="1" applyBorder="1" applyAlignment="1">
      <alignment horizontal="center"/>
    </xf>
    <xf numFmtId="0" fontId="0" fillId="0" borderId="0" xfId="0" applyAlignment="1">
      <alignment horizontal="left"/>
    </xf>
    <xf numFmtId="0" fontId="0" fillId="0" borderId="0" xfId="0" quotePrefix="1" applyAlignment="1">
      <alignment horizontal="left"/>
    </xf>
    <xf numFmtId="0" fontId="0" fillId="0" borderId="3" xfId="0" applyBorder="1"/>
    <xf numFmtId="0" fontId="10" fillId="0" borderId="6" xfId="0" applyFont="1" applyBorder="1" applyAlignment="1">
      <alignment horizontal="center"/>
    </xf>
    <xf numFmtId="0" fontId="19" fillId="0" borderId="8" xfId="0" applyFont="1" applyBorder="1" applyAlignment="1">
      <alignment horizontal="left"/>
    </xf>
    <xf numFmtId="0" fontId="0" fillId="0" borderId="0" xfId="0" applyProtection="1">
      <protection locked="0"/>
    </xf>
    <xf numFmtId="0" fontId="43" fillId="19" borderId="8" xfId="0" applyFont="1" applyFill="1" applyBorder="1" applyAlignment="1" applyProtection="1">
      <alignment horizontal="left"/>
      <protection locked="0"/>
    </xf>
    <xf numFmtId="0" fontId="0" fillId="19" borderId="8" xfId="0" applyFill="1" applyBorder="1" applyAlignment="1">
      <alignment horizontal="left"/>
    </xf>
    <xf numFmtId="0" fontId="39" fillId="19" borderId="6" xfId="0" applyFont="1" applyFill="1" applyBorder="1" applyProtection="1">
      <protection locked="0"/>
    </xf>
    <xf numFmtId="0" fontId="42" fillId="19" borderId="6" xfId="0" applyFont="1" applyFill="1" applyBorder="1" applyProtection="1">
      <protection locked="0"/>
    </xf>
    <xf numFmtId="0" fontId="43" fillId="19" borderId="6" xfId="0" applyFont="1" applyFill="1" applyBorder="1" applyAlignment="1">
      <alignment horizontal="center"/>
    </xf>
    <xf numFmtId="0" fontId="8" fillId="0" borderId="10" xfId="0" quotePrefix="1" applyFont="1" applyBorder="1" applyAlignment="1">
      <alignment horizontal="left"/>
    </xf>
    <xf numFmtId="0" fontId="0" fillId="0" borderId="16" xfId="0" applyBorder="1" applyAlignment="1">
      <alignment horizontal="center"/>
    </xf>
    <xf numFmtId="0" fontId="9" fillId="0" borderId="0" xfId="0" applyFont="1"/>
    <xf numFmtId="49" fontId="9" fillId="0" borderId="0" xfId="0" applyNumberFormat="1" applyFont="1"/>
    <xf numFmtId="0" fontId="0" fillId="0" borderId="16" xfId="0" applyBorder="1"/>
    <xf numFmtId="0" fontId="0" fillId="0" borderId="60" xfId="0" applyBorder="1"/>
    <xf numFmtId="0" fontId="10" fillId="0" borderId="0" xfId="0" applyFont="1"/>
    <xf numFmtId="49" fontId="10" fillId="0" borderId="0" xfId="0" applyNumberFormat="1" applyFont="1"/>
    <xf numFmtId="177" fontId="9" fillId="0" borderId="0" xfId="3" applyFont="1" applyBorder="1" applyAlignment="1">
      <alignment vertical="center"/>
    </xf>
    <xf numFmtId="177" fontId="9" fillId="0" borderId="0" xfId="3" applyFont="1" applyBorder="1" applyAlignment="1">
      <alignment horizontal="left" vertical="center"/>
    </xf>
    <xf numFmtId="0" fontId="0" fillId="0" borderId="11" xfId="0" applyBorder="1"/>
    <xf numFmtId="0" fontId="10" fillId="0" borderId="3" xfId="0" applyFont="1" applyBorder="1"/>
    <xf numFmtId="0" fontId="8" fillId="0" borderId="11" xfId="0" applyFont="1" applyBorder="1"/>
    <xf numFmtId="0" fontId="10" fillId="0" borderId="12" xfId="0" applyFont="1" applyBorder="1"/>
    <xf numFmtId="0" fontId="8" fillId="0" borderId="16" xfId="0" applyFont="1" applyBorder="1"/>
    <xf numFmtId="49" fontId="0" fillId="0" borderId="16" xfId="0" applyNumberFormat="1" applyBorder="1" applyAlignment="1">
      <alignment horizontal="center"/>
    </xf>
    <xf numFmtId="0" fontId="0" fillId="18" borderId="0" xfId="0" applyFill="1"/>
    <xf numFmtId="0" fontId="3" fillId="18" borderId="0" xfId="0" applyFont="1" applyFill="1" applyAlignment="1" applyProtection="1">
      <alignment horizontal="left"/>
      <protection locked="0"/>
    </xf>
    <xf numFmtId="0" fontId="49" fillId="21" borderId="20" xfId="0" applyFont="1" applyFill="1" applyBorder="1"/>
    <xf numFmtId="0" fontId="50" fillId="21" borderId="21" xfId="0" applyFont="1" applyFill="1" applyBorder="1"/>
    <xf numFmtId="0" fontId="50" fillId="21" borderId="21" xfId="0" applyFont="1" applyFill="1" applyBorder="1" applyAlignment="1">
      <alignment horizontal="center"/>
    </xf>
    <xf numFmtId="0" fontId="50" fillId="21" borderId="22" xfId="0" applyFont="1" applyFill="1" applyBorder="1"/>
    <xf numFmtId="0" fontId="0" fillId="21" borderId="44" xfId="0" applyFill="1" applyBorder="1" applyAlignment="1">
      <alignment horizontal="center"/>
    </xf>
    <xf numFmtId="170" fontId="52" fillId="21" borderId="0" xfId="0" applyNumberFormat="1" applyFont="1" applyFill="1" applyAlignment="1">
      <alignment horizontal="center"/>
    </xf>
    <xf numFmtId="170" fontId="52" fillId="21" borderId="49" xfId="0" applyNumberFormat="1" applyFont="1" applyFill="1" applyBorder="1" applyAlignment="1">
      <alignment horizontal="center"/>
    </xf>
    <xf numFmtId="1" fontId="53" fillId="0" borderId="60" xfId="4" applyNumberFormat="1" applyFont="1" applyBorder="1" applyAlignment="1">
      <alignment horizontal="center" vertical="center"/>
    </xf>
    <xf numFmtId="170" fontId="54" fillId="21" borderId="44" xfId="0" applyNumberFormat="1" applyFont="1" applyFill="1" applyBorder="1" applyAlignment="1">
      <alignment horizontal="center"/>
    </xf>
    <xf numFmtId="170" fontId="54" fillId="21" borderId="0" xfId="0" applyNumberFormat="1" applyFont="1" applyFill="1" applyAlignment="1">
      <alignment horizontal="center"/>
    </xf>
    <xf numFmtId="170" fontId="55" fillId="21" borderId="0" xfId="0" applyNumberFormat="1" applyFont="1" applyFill="1" applyAlignment="1">
      <alignment horizontal="center"/>
    </xf>
    <xf numFmtId="170" fontId="54" fillId="21" borderId="49" xfId="0" applyNumberFormat="1" applyFont="1" applyFill="1" applyBorder="1" applyAlignment="1">
      <alignment horizontal="center"/>
    </xf>
    <xf numFmtId="178" fontId="56" fillId="0" borderId="60" xfId="4" applyNumberFormat="1" applyFont="1" applyBorder="1" applyAlignment="1">
      <alignment horizontal="center" vertical="center"/>
    </xf>
    <xf numFmtId="0" fontId="57" fillId="0" borderId="61" xfId="4" applyFont="1" applyBorder="1" applyAlignment="1">
      <alignment horizontal="center"/>
    </xf>
    <xf numFmtId="170" fontId="58" fillId="21" borderId="0" xfId="0" applyNumberFormat="1" applyFont="1" applyFill="1" applyAlignment="1">
      <alignment horizontal="center"/>
    </xf>
    <xf numFmtId="170" fontId="58" fillId="21" borderId="49" xfId="0" applyNumberFormat="1" applyFont="1" applyFill="1" applyBorder="1" applyAlignment="1">
      <alignment horizontal="center"/>
    </xf>
    <xf numFmtId="0" fontId="48" fillId="0" borderId="61" xfId="4" applyFont="1" applyBorder="1" applyAlignment="1">
      <alignment horizontal="center"/>
    </xf>
    <xf numFmtId="170" fontId="54" fillId="21" borderId="23" xfId="0" applyNumberFormat="1" applyFont="1" applyFill="1" applyBorder="1" applyAlignment="1">
      <alignment horizontal="center"/>
    </xf>
    <xf numFmtId="170" fontId="54" fillId="21" borderId="16" xfId="0" applyNumberFormat="1" applyFont="1" applyFill="1" applyBorder="1" applyAlignment="1">
      <alignment horizontal="center"/>
    </xf>
    <xf numFmtId="170" fontId="55" fillId="21" borderId="16" xfId="0" applyNumberFormat="1" applyFont="1" applyFill="1" applyBorder="1" applyAlignment="1">
      <alignment horizontal="center"/>
    </xf>
    <xf numFmtId="170" fontId="54" fillId="21" borderId="24" xfId="0" applyNumberFormat="1" applyFont="1" applyFill="1" applyBorder="1" applyAlignment="1">
      <alignment horizontal="center"/>
    </xf>
    <xf numFmtId="178" fontId="59" fillId="0" borderId="60" xfId="4" applyNumberFormat="1" applyFont="1" applyBorder="1" applyAlignment="1">
      <alignment horizontal="center" vertical="center"/>
    </xf>
    <xf numFmtId="0" fontId="49" fillId="22" borderId="20" xfId="0" applyFont="1" applyFill="1" applyBorder="1"/>
    <xf numFmtId="0" fontId="50" fillId="22" borderId="21" xfId="0" applyFont="1" applyFill="1" applyBorder="1"/>
    <xf numFmtId="0" fontId="50" fillId="22" borderId="21" xfId="0" applyFont="1" applyFill="1" applyBorder="1" applyAlignment="1">
      <alignment horizontal="center"/>
    </xf>
    <xf numFmtId="0" fontId="50" fillId="22" borderId="22" xfId="0" applyFont="1" applyFill="1" applyBorder="1"/>
    <xf numFmtId="0" fontId="0" fillId="22" borderId="44" xfId="0" applyFill="1" applyBorder="1" applyAlignment="1">
      <alignment horizontal="center"/>
    </xf>
    <xf numFmtId="170" fontId="52" fillId="22" borderId="0" xfId="0" applyNumberFormat="1" applyFont="1" applyFill="1" applyAlignment="1">
      <alignment horizontal="center"/>
    </xf>
    <xf numFmtId="170" fontId="52" fillId="22" borderId="49" xfId="0" applyNumberFormat="1" applyFont="1" applyFill="1" applyBorder="1" applyAlignment="1">
      <alignment horizontal="center"/>
    </xf>
    <xf numFmtId="170" fontId="54" fillId="22" borderId="44" xfId="0" applyNumberFormat="1" applyFont="1" applyFill="1" applyBorder="1" applyAlignment="1">
      <alignment horizontal="center"/>
    </xf>
    <xf numFmtId="170" fontId="54" fillId="22" borderId="0" xfId="0" applyNumberFormat="1" applyFont="1" applyFill="1" applyAlignment="1">
      <alignment horizontal="center"/>
    </xf>
    <xf numFmtId="170" fontId="55" fillId="22" borderId="0" xfId="0" applyNumberFormat="1" applyFont="1" applyFill="1" applyAlignment="1">
      <alignment horizontal="center"/>
    </xf>
    <xf numFmtId="170" fontId="54" fillId="22" borderId="49" xfId="0" applyNumberFormat="1" applyFont="1" applyFill="1" applyBorder="1" applyAlignment="1">
      <alignment horizontal="center"/>
    </xf>
    <xf numFmtId="170" fontId="58" fillId="22" borderId="0" xfId="0" applyNumberFormat="1" applyFont="1" applyFill="1" applyAlignment="1">
      <alignment horizontal="center"/>
    </xf>
    <xf numFmtId="170" fontId="58" fillId="22" borderId="49" xfId="0" applyNumberFormat="1" applyFont="1" applyFill="1" applyBorder="1" applyAlignment="1">
      <alignment horizontal="center"/>
    </xf>
    <xf numFmtId="170" fontId="54" fillId="22" borderId="23" xfId="0" applyNumberFormat="1" applyFont="1" applyFill="1" applyBorder="1" applyAlignment="1">
      <alignment horizontal="center"/>
    </xf>
    <xf numFmtId="170" fontId="54" fillId="22" borderId="16" xfId="0" applyNumberFormat="1" applyFont="1" applyFill="1" applyBorder="1" applyAlignment="1">
      <alignment horizontal="center"/>
    </xf>
    <xf numFmtId="170" fontId="55" fillId="22" borderId="16" xfId="0" applyNumberFormat="1" applyFont="1" applyFill="1" applyBorder="1" applyAlignment="1">
      <alignment horizontal="center"/>
    </xf>
    <xf numFmtId="170" fontId="54" fillId="22" borderId="24" xfId="0" applyNumberFormat="1" applyFont="1" applyFill="1" applyBorder="1" applyAlignment="1">
      <alignment horizontal="center"/>
    </xf>
    <xf numFmtId="170" fontId="52" fillId="21" borderId="24" xfId="0" applyNumberFormat="1" applyFont="1" applyFill="1" applyBorder="1" applyAlignment="1">
      <alignment horizontal="center"/>
    </xf>
    <xf numFmtId="170" fontId="0" fillId="0" borderId="0" xfId="0" applyNumberFormat="1"/>
    <xf numFmtId="0" fontId="11" fillId="23" borderId="6" xfId="0" applyFont="1" applyFill="1" applyBorder="1" applyAlignment="1">
      <alignment horizontal="center"/>
    </xf>
    <xf numFmtId="164" fontId="11" fillId="17" borderId="6" xfId="0" applyNumberFormat="1" applyFont="1" applyFill="1" applyBorder="1"/>
    <xf numFmtId="0" fontId="5" fillId="0" borderId="0" xfId="0" applyFont="1"/>
    <xf numFmtId="2" fontId="1" fillId="18" borderId="0" xfId="0" applyNumberFormat="1" applyFont="1" applyFill="1" applyAlignment="1">
      <alignment horizontal="center"/>
    </xf>
    <xf numFmtId="0" fontId="1" fillId="0" borderId="43" xfId="0" applyFont="1" applyBorder="1"/>
    <xf numFmtId="0" fontId="1" fillId="0" borderId="47" xfId="0" applyFont="1" applyBorder="1"/>
    <xf numFmtId="0" fontId="5" fillId="0" borderId="47" xfId="0" applyFont="1" applyBorder="1"/>
    <xf numFmtId="0" fontId="1" fillId="0" borderId="64" xfId="0" applyFont="1" applyBorder="1"/>
    <xf numFmtId="0" fontId="5" fillId="0" borderId="60" xfId="0" applyFont="1" applyBorder="1" applyAlignment="1">
      <alignment horizontal="left"/>
    </xf>
    <xf numFmtId="0" fontId="1" fillId="0" borderId="59" xfId="0" applyFont="1" applyBorder="1"/>
    <xf numFmtId="0" fontId="5" fillId="0" borderId="0" xfId="0" applyFont="1" applyAlignment="1" applyProtection="1">
      <alignment horizontal="center" vertical="center"/>
      <protection locked="0"/>
    </xf>
    <xf numFmtId="0" fontId="39" fillId="19" borderId="10" xfId="0" applyFont="1" applyFill="1" applyBorder="1" applyAlignment="1" applyProtection="1">
      <alignment horizontal="center"/>
      <protection locked="0"/>
    </xf>
    <xf numFmtId="0" fontId="39" fillId="19" borderId="11" xfId="0" applyFont="1" applyFill="1" applyBorder="1" applyAlignment="1" applyProtection="1">
      <alignment horizontal="center"/>
      <protection locked="0"/>
    </xf>
    <xf numFmtId="0" fontId="39" fillId="19" borderId="12" xfId="0" applyFont="1" applyFill="1" applyBorder="1" applyAlignment="1" applyProtection="1">
      <alignment horizontal="center"/>
      <protection locked="0"/>
    </xf>
    <xf numFmtId="0" fontId="0" fillId="0" borderId="0" xfId="0" applyAlignment="1">
      <alignment horizontal="center"/>
    </xf>
    <xf numFmtId="0" fontId="5" fillId="0" borderId="8" xfId="0" applyFont="1" applyBorder="1" applyAlignment="1">
      <alignment horizontal="center"/>
    </xf>
    <xf numFmtId="0" fontId="9" fillId="0" borderId="8" xfId="0" applyFont="1" applyBorder="1" applyAlignment="1">
      <alignment horizontal="center"/>
    </xf>
    <xf numFmtId="0" fontId="0" fillId="0" borderId="0" xfId="0" applyAlignment="1">
      <alignment horizontal="left"/>
    </xf>
    <xf numFmtId="0" fontId="0" fillId="0" borderId="5" xfId="0" applyBorder="1" applyAlignment="1">
      <alignment horizontal="left"/>
    </xf>
    <xf numFmtId="0" fontId="39" fillId="19" borderId="10" xfId="0" applyFont="1" applyFill="1" applyBorder="1" applyAlignment="1" applyProtection="1">
      <alignment horizontal="left"/>
      <protection locked="0"/>
    </xf>
    <xf numFmtId="0" fontId="39" fillId="19" borderId="11" xfId="0" applyFont="1" applyFill="1" applyBorder="1" applyAlignment="1" applyProtection="1">
      <alignment horizontal="left"/>
      <protection locked="0"/>
    </xf>
    <xf numFmtId="0" fontId="39" fillId="19" borderId="12" xfId="0" applyFont="1" applyFill="1" applyBorder="1" applyAlignment="1" applyProtection="1">
      <alignment horizontal="left"/>
      <protection locked="0"/>
    </xf>
    <xf numFmtId="0" fontId="39" fillId="0" borderId="10" xfId="0" applyFont="1" applyBorder="1" applyAlignment="1" applyProtection="1">
      <alignment horizontal="left"/>
      <protection locked="0"/>
    </xf>
    <xf numFmtId="0" fontId="39" fillId="0" borderId="11" xfId="0" applyFont="1" applyBorder="1" applyAlignment="1" applyProtection="1">
      <alignment horizontal="left"/>
      <protection locked="0"/>
    </xf>
    <xf numFmtId="0" fontId="39" fillId="0" borderId="12" xfId="0" applyFont="1" applyBorder="1" applyAlignment="1" applyProtection="1">
      <alignment horizontal="left"/>
      <protection locked="0"/>
    </xf>
    <xf numFmtId="0" fontId="40" fillId="18" borderId="10" xfId="0" applyFont="1" applyFill="1" applyBorder="1" applyAlignment="1" applyProtection="1">
      <alignment horizontal="center"/>
      <protection locked="0"/>
    </xf>
    <xf numFmtId="0" fontId="40" fillId="18" borderId="11" xfId="0" applyFont="1" applyFill="1" applyBorder="1" applyAlignment="1" applyProtection="1">
      <alignment horizontal="center"/>
      <protection locked="0"/>
    </xf>
    <xf numFmtId="0" fontId="40" fillId="18" borderId="12" xfId="0" applyFont="1" applyFill="1" applyBorder="1" applyAlignment="1" applyProtection="1">
      <alignment horizontal="center"/>
      <protection locked="0"/>
    </xf>
    <xf numFmtId="0" fontId="0" fillId="0" borderId="4" xfId="0" applyBorder="1" applyAlignment="1">
      <alignment horizontal="center"/>
    </xf>
    <xf numFmtId="0" fontId="0" fillId="0" borderId="5" xfId="0" applyBorder="1" applyAlignment="1">
      <alignment horizontal="center"/>
    </xf>
    <xf numFmtId="0" fontId="40" fillId="18" borderId="7" xfId="0" applyFont="1" applyFill="1" applyBorder="1" applyAlignment="1" applyProtection="1">
      <alignment horizontal="center"/>
      <protection locked="0"/>
    </xf>
    <xf numFmtId="0" fontId="40" fillId="18" borderId="8" xfId="0" applyFont="1" applyFill="1" applyBorder="1" applyAlignment="1" applyProtection="1">
      <alignment horizontal="center"/>
      <protection locked="0"/>
    </xf>
    <xf numFmtId="0" fontId="40" fillId="18" borderId="9" xfId="0" applyFont="1" applyFill="1" applyBorder="1" applyAlignment="1" applyProtection="1">
      <alignment horizontal="center"/>
      <protection locked="0"/>
    </xf>
    <xf numFmtId="0" fontId="41" fillId="19" borderId="7" xfId="0" applyFont="1" applyFill="1" applyBorder="1" applyAlignment="1" applyProtection="1">
      <alignment horizontal="center"/>
      <protection locked="0"/>
    </xf>
    <xf numFmtId="0" fontId="41" fillId="19" borderId="9" xfId="0" applyFont="1" applyFill="1" applyBorder="1" applyAlignment="1" applyProtection="1">
      <alignment horizontal="center"/>
      <protection locked="0"/>
    </xf>
    <xf numFmtId="0" fontId="61" fillId="19" borderId="10" xfId="0" applyFont="1" applyFill="1" applyBorder="1" applyAlignment="1" applyProtection="1">
      <alignment horizontal="center"/>
      <protection locked="0"/>
    </xf>
    <xf numFmtId="0" fontId="61" fillId="19" borderId="11" xfId="0" applyFont="1" applyFill="1" applyBorder="1" applyAlignment="1" applyProtection="1">
      <alignment horizontal="center"/>
      <protection locked="0"/>
    </xf>
    <xf numFmtId="0" fontId="61" fillId="19" borderId="12" xfId="0" applyFont="1" applyFill="1" applyBorder="1" applyAlignment="1" applyProtection="1">
      <alignment horizontal="center"/>
      <protection locked="0"/>
    </xf>
    <xf numFmtId="0" fontId="42" fillId="19" borderId="10" xfId="0" applyFont="1" applyFill="1" applyBorder="1" applyAlignment="1" applyProtection="1">
      <alignment horizontal="left"/>
      <protection locked="0"/>
    </xf>
    <xf numFmtId="0" fontId="39" fillId="18" borderId="10" xfId="0" applyFont="1" applyFill="1" applyBorder="1" applyAlignment="1" applyProtection="1">
      <alignment horizontal="left"/>
      <protection locked="0"/>
    </xf>
    <xf numFmtId="0" fontId="39" fillId="18" borderId="11" xfId="0" applyFont="1" applyFill="1" applyBorder="1" applyAlignment="1" applyProtection="1">
      <alignment horizontal="left"/>
      <protection locked="0"/>
    </xf>
    <xf numFmtId="0" fontId="39" fillId="18" borderId="12" xfId="0" applyFont="1" applyFill="1" applyBorder="1" applyAlignment="1" applyProtection="1">
      <alignment horizontal="left"/>
      <protection locked="0"/>
    </xf>
    <xf numFmtId="169" fontId="39" fillId="18" borderId="10" xfId="1" applyFont="1" applyFill="1" applyBorder="1" applyAlignment="1" applyProtection="1">
      <alignment horizontal="center"/>
      <protection locked="0"/>
    </xf>
    <xf numFmtId="169" fontId="39" fillId="18" borderId="11" xfId="1" applyFont="1" applyFill="1" applyBorder="1" applyAlignment="1" applyProtection="1">
      <alignment horizontal="center"/>
      <protection locked="0"/>
    </xf>
    <xf numFmtId="169" fontId="39" fillId="18" borderId="12" xfId="1" applyFont="1" applyFill="1" applyBorder="1" applyAlignment="1" applyProtection="1">
      <alignment horizontal="center"/>
      <protection locked="0"/>
    </xf>
    <xf numFmtId="169" fontId="39" fillId="0" borderId="10" xfId="1" applyFont="1" applyBorder="1" applyAlignment="1" applyProtection="1">
      <alignment horizontal="center"/>
      <protection locked="0"/>
    </xf>
    <xf numFmtId="169" fontId="39" fillId="0" borderId="11" xfId="1" applyFont="1" applyBorder="1" applyAlignment="1" applyProtection="1">
      <alignment horizontal="center"/>
      <protection locked="0"/>
    </xf>
    <xf numFmtId="169" fontId="39" fillId="0" borderId="12" xfId="1" applyFont="1" applyBorder="1" applyAlignment="1" applyProtection="1">
      <alignment horizontal="center"/>
      <protection locked="0"/>
    </xf>
    <xf numFmtId="0" fontId="6" fillId="0" borderId="0" xfId="0" quotePrefix="1" applyFont="1" applyAlignment="1">
      <alignment horizontal="left"/>
    </xf>
    <xf numFmtId="0" fontId="39" fillId="19" borderId="0" xfId="0" applyFont="1" applyFill="1" applyAlignment="1" applyProtection="1">
      <alignment horizontal="center"/>
      <protection locked="0"/>
    </xf>
    <xf numFmtId="0" fontId="17" fillId="0" borderId="0" xfId="0" applyFont="1" applyAlignment="1">
      <alignment horizontal="right"/>
    </xf>
    <xf numFmtId="175" fontId="39" fillId="18" borderId="10" xfId="1" applyNumberFormat="1" applyFont="1" applyFill="1" applyBorder="1" applyAlignment="1" applyProtection="1">
      <alignment horizontal="center"/>
      <protection locked="0"/>
    </xf>
    <xf numFmtId="175" fontId="39" fillId="18" borderId="11" xfId="1" applyNumberFormat="1" applyFont="1" applyFill="1" applyBorder="1" applyAlignment="1" applyProtection="1">
      <alignment horizontal="center"/>
      <protection locked="0"/>
    </xf>
    <xf numFmtId="175" fontId="39" fillId="18" borderId="12" xfId="1" applyNumberFormat="1" applyFont="1" applyFill="1" applyBorder="1" applyAlignment="1" applyProtection="1">
      <alignment horizontal="center"/>
      <protection locked="0"/>
    </xf>
    <xf numFmtId="0" fontId="42" fillId="19" borderId="4" xfId="0" applyFont="1" applyFill="1" applyBorder="1" applyAlignment="1">
      <alignment horizontal="left"/>
    </xf>
    <xf numFmtId="0" fontId="39" fillId="19" borderId="0" xfId="0" applyFont="1" applyFill="1" applyAlignment="1">
      <alignment horizontal="left"/>
    </xf>
    <xf numFmtId="0" fontId="39" fillId="19" borderId="5" xfId="0" applyFont="1" applyFill="1" applyBorder="1" applyAlignment="1">
      <alignment horizontal="left"/>
    </xf>
    <xf numFmtId="0" fontId="42" fillId="19" borderId="4" xfId="0" quotePrefix="1" applyFont="1" applyFill="1" applyBorder="1" applyAlignment="1">
      <alignment horizontal="left" vertical="top" wrapText="1"/>
    </xf>
    <xf numFmtId="0" fontId="42" fillId="19" borderId="0" xfId="0" applyFont="1" applyFill="1" applyAlignment="1">
      <alignment vertical="top" wrapText="1"/>
    </xf>
    <xf numFmtId="0" fontId="42" fillId="19" borderId="5" xfId="0" applyFont="1" applyFill="1" applyBorder="1" applyAlignment="1">
      <alignment vertical="top" wrapText="1"/>
    </xf>
    <xf numFmtId="0" fontId="42" fillId="19" borderId="4" xfId="0" applyFont="1" applyFill="1" applyBorder="1" applyAlignment="1">
      <alignment vertical="top" wrapText="1"/>
    </xf>
    <xf numFmtId="0" fontId="42" fillId="19" borderId="7" xfId="0" applyFont="1" applyFill="1" applyBorder="1" applyAlignment="1">
      <alignment vertical="top" wrapText="1"/>
    </xf>
    <xf numFmtId="0" fontId="42" fillId="19" borderId="8" xfId="0" applyFont="1" applyFill="1" applyBorder="1" applyAlignment="1">
      <alignment vertical="top" wrapText="1"/>
    </xf>
    <xf numFmtId="0" fontId="42" fillId="19" borderId="9" xfId="0" applyFont="1" applyFill="1" applyBorder="1" applyAlignment="1">
      <alignment vertical="top" wrapText="1"/>
    </xf>
    <xf numFmtId="0" fontId="3" fillId="0" borderId="2" xfId="0" applyFont="1" applyBorder="1" applyAlignment="1">
      <alignment horizontal="left"/>
    </xf>
    <xf numFmtId="0" fontId="3" fillId="0" borderId="3" xfId="0" applyFont="1" applyBorder="1" applyAlignment="1">
      <alignment horizontal="left"/>
    </xf>
    <xf numFmtId="0" fontId="42" fillId="19" borderId="8" xfId="0" applyFont="1" applyFill="1" applyBorder="1" applyAlignment="1" applyProtection="1">
      <alignment horizontal="left"/>
      <protection locked="0"/>
    </xf>
    <xf numFmtId="0" fontId="42" fillId="19" borderId="9" xfId="0" applyFont="1" applyFill="1" applyBorder="1" applyAlignment="1" applyProtection="1">
      <alignment horizontal="left"/>
      <protection locked="0"/>
    </xf>
    <xf numFmtId="0" fontId="41" fillId="19" borderId="0" xfId="0" applyFont="1" applyFill="1" applyAlignment="1" applyProtection="1">
      <alignment horizontal="left"/>
      <protection locked="0"/>
    </xf>
    <xf numFmtId="49" fontId="38" fillId="19" borderId="8" xfId="2" applyNumberFormat="1" applyFill="1" applyBorder="1" applyAlignment="1" applyProtection="1">
      <alignment horizontal="left"/>
      <protection locked="0"/>
    </xf>
    <xf numFmtId="49" fontId="41" fillId="19" borderId="8" xfId="0" applyNumberFormat="1" applyFont="1" applyFill="1" applyBorder="1" applyAlignment="1" applyProtection="1">
      <alignment horizontal="left"/>
      <protection locked="0"/>
    </xf>
    <xf numFmtId="0" fontId="12" fillId="0" borderId="0" xfId="0" quotePrefix="1" applyFont="1" applyAlignment="1">
      <alignment vertical="top" wrapText="1"/>
    </xf>
    <xf numFmtId="0" fontId="12" fillId="0" borderId="5" xfId="0" quotePrefix="1" applyFont="1" applyBorder="1" applyAlignment="1">
      <alignment vertical="top" wrapText="1"/>
    </xf>
    <xf numFmtId="0" fontId="12" fillId="0" borderId="8" xfId="0" quotePrefix="1" applyFont="1" applyBorder="1" applyAlignment="1">
      <alignment vertical="top" wrapText="1"/>
    </xf>
    <xf numFmtId="0" fontId="12" fillId="0" borderId="9" xfId="0" quotePrefix="1" applyFont="1" applyBorder="1" applyAlignment="1">
      <alignment vertical="top" wrapText="1"/>
    </xf>
    <xf numFmtId="0" fontId="2" fillId="0" borderId="0" xfId="0" applyFont="1" applyAlignment="1">
      <alignment horizontal="center"/>
    </xf>
    <xf numFmtId="0" fontId="3" fillId="0" borderId="1" xfId="0" quotePrefix="1" applyFont="1" applyBorder="1" applyAlignment="1">
      <alignment horizontal="center"/>
    </xf>
    <xf numFmtId="0" fontId="3" fillId="0" borderId="2" xfId="0" applyFont="1" applyBorder="1" applyAlignment="1">
      <alignment horizontal="center"/>
    </xf>
    <xf numFmtId="0" fontId="4" fillId="0" borderId="2" xfId="0" applyFont="1" applyBorder="1" applyAlignment="1">
      <alignment horizontal="center"/>
    </xf>
    <xf numFmtId="0" fontId="4" fillId="0" borderId="3" xfId="0" applyFont="1" applyBorder="1" applyAlignment="1">
      <alignment horizontal="center"/>
    </xf>
    <xf numFmtId="0" fontId="5" fillId="0" borderId="1" xfId="0" applyFont="1" applyBorder="1" applyAlignment="1">
      <alignment horizontal="center" vertical="center"/>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5" fillId="0" borderId="0" xfId="0" applyFont="1" applyAlignment="1">
      <alignment horizontal="center" vertical="center"/>
    </xf>
    <xf numFmtId="0" fontId="5" fillId="0" borderId="5" xfId="0" applyFont="1" applyBorder="1" applyAlignment="1">
      <alignment horizontal="center" vertical="center"/>
    </xf>
    <xf numFmtId="0" fontId="5" fillId="0" borderId="7" xfId="0" applyFont="1" applyBorder="1" applyAlignment="1">
      <alignment horizontal="center" vertical="center"/>
    </xf>
    <xf numFmtId="0" fontId="5" fillId="0" borderId="8" xfId="0" applyFont="1" applyBorder="1" applyAlignment="1">
      <alignment horizontal="center" vertical="center"/>
    </xf>
    <xf numFmtId="0" fontId="5" fillId="0" borderId="9" xfId="0" applyFont="1" applyBorder="1" applyAlignment="1">
      <alignment horizontal="center" vertical="center"/>
    </xf>
    <xf numFmtId="0" fontId="6" fillId="0" borderId="4" xfId="0" applyFont="1" applyBorder="1" applyAlignment="1">
      <alignment horizontal="center"/>
    </xf>
    <xf numFmtId="0" fontId="6" fillId="0" borderId="0" xfId="0" applyFont="1" applyAlignment="1">
      <alignment horizontal="center"/>
    </xf>
    <xf numFmtId="0" fontId="6" fillId="0" borderId="5" xfId="0" applyFont="1" applyBorder="1" applyAlignment="1">
      <alignment horizontal="center"/>
    </xf>
    <xf numFmtId="0" fontId="8" fillId="0" borderId="4" xfId="0" applyFont="1" applyBorder="1" applyAlignment="1">
      <alignment horizontal="left"/>
    </xf>
    <xf numFmtId="0" fontId="8" fillId="0" borderId="0" xfId="0" applyFont="1" applyAlignment="1">
      <alignment horizontal="left"/>
    </xf>
    <xf numFmtId="0" fontId="8" fillId="0" borderId="5" xfId="0" applyFont="1" applyBorder="1" applyAlignment="1">
      <alignment horizontal="left"/>
    </xf>
    <xf numFmtId="0" fontId="8" fillId="0" borderId="7" xfId="0" applyFont="1" applyBorder="1" applyAlignment="1">
      <alignment horizontal="center"/>
    </xf>
    <xf numFmtId="0" fontId="8" fillId="0" borderId="8" xfId="0" applyFont="1" applyBorder="1" applyAlignment="1">
      <alignment horizontal="center"/>
    </xf>
    <xf numFmtId="0" fontId="8" fillId="0" borderId="9" xfId="0" applyFont="1" applyBorder="1" applyAlignment="1">
      <alignment horizontal="center"/>
    </xf>
    <xf numFmtId="0" fontId="8" fillId="0" borderId="7" xfId="0" applyFont="1" applyBorder="1" applyAlignment="1">
      <alignment horizontal="left"/>
    </xf>
    <xf numFmtId="0" fontId="8" fillId="0" borderId="8" xfId="0" applyFont="1" applyBorder="1" applyAlignment="1">
      <alignment horizontal="left"/>
    </xf>
    <xf numFmtId="0" fontId="8" fillId="0" borderId="9" xfId="0" applyFont="1" applyBorder="1" applyAlignment="1">
      <alignment horizontal="left"/>
    </xf>
    <xf numFmtId="0" fontId="9" fillId="0" borderId="9" xfId="0" applyFont="1" applyBorder="1" applyAlignment="1">
      <alignment horizontal="center"/>
    </xf>
    <xf numFmtId="0" fontId="10" fillId="0" borderId="8" xfId="0" applyFont="1" applyBorder="1" applyAlignment="1">
      <alignment horizontal="left"/>
    </xf>
    <xf numFmtId="0" fontId="10" fillId="0" borderId="9" xfId="0" applyFont="1" applyBorder="1" applyAlignment="1">
      <alignment horizontal="left"/>
    </xf>
    <xf numFmtId="0" fontId="10" fillId="0" borderId="8" xfId="0" quotePrefix="1" applyFont="1" applyBorder="1" applyAlignment="1">
      <alignment horizontal="center"/>
    </xf>
    <xf numFmtId="0" fontId="8" fillId="0" borderId="1" xfId="0" applyFont="1" applyBorder="1" applyAlignment="1">
      <alignment horizontal="center"/>
    </xf>
    <xf numFmtId="0" fontId="8" fillId="0" borderId="2" xfId="0" applyFont="1" applyBorder="1" applyAlignment="1">
      <alignment horizontal="center"/>
    </xf>
    <xf numFmtId="0" fontId="8" fillId="0" borderId="3" xfId="0" applyFont="1" applyBorder="1" applyAlignment="1">
      <alignment horizontal="center"/>
    </xf>
    <xf numFmtId="0" fontId="8" fillId="0" borderId="7" xfId="0" quotePrefix="1" applyFont="1" applyBorder="1" applyAlignment="1">
      <alignment horizontal="left"/>
    </xf>
    <xf numFmtId="0" fontId="8" fillId="0" borderId="8" xfId="0" quotePrefix="1" applyFont="1" applyBorder="1" applyAlignment="1">
      <alignment horizontal="left"/>
    </xf>
    <xf numFmtId="14" fontId="10" fillId="0" borderId="8" xfId="0" applyNumberFormat="1" applyFont="1" applyBorder="1" applyAlignment="1">
      <alignment horizontal="center"/>
    </xf>
    <xf numFmtId="14" fontId="10" fillId="0" borderId="9" xfId="0" applyNumberFormat="1" applyFont="1" applyBorder="1" applyAlignment="1">
      <alignment horizontal="center"/>
    </xf>
    <xf numFmtId="0" fontId="8" fillId="0" borderId="11" xfId="0" applyFont="1" applyBorder="1" applyAlignment="1">
      <alignment horizontal="left"/>
    </xf>
    <xf numFmtId="20" fontId="3" fillId="0" borderId="11" xfId="0" applyNumberFormat="1" applyFont="1" applyBorder="1" applyAlignment="1">
      <alignment horizontal="center"/>
    </xf>
    <xf numFmtId="0" fontId="3" fillId="0" borderId="11" xfId="0" applyFont="1" applyBorder="1" applyAlignment="1">
      <alignment horizontal="center"/>
    </xf>
    <xf numFmtId="0" fontId="3" fillId="0" borderId="12" xfId="0" applyFont="1" applyBorder="1" applyAlignment="1">
      <alignment horizontal="center"/>
    </xf>
    <xf numFmtId="0" fontId="3" fillId="2" borderId="11" xfId="0" applyFont="1" applyFill="1" applyBorder="1" applyAlignment="1">
      <alignment horizontal="left"/>
    </xf>
    <xf numFmtId="0" fontId="3" fillId="2" borderId="12" xfId="0" applyFont="1" applyFill="1" applyBorder="1" applyAlignment="1">
      <alignment horizontal="left"/>
    </xf>
    <xf numFmtId="0" fontId="8" fillId="0" borderId="10" xfId="0" quotePrefix="1" applyFont="1" applyBorder="1" applyAlignment="1">
      <alignment horizontal="left"/>
    </xf>
    <xf numFmtId="0" fontId="3" fillId="0" borderId="0" xfId="0" quotePrefix="1" applyFont="1" applyAlignment="1">
      <alignment horizontal="center"/>
    </xf>
    <xf numFmtId="0" fontId="3" fillId="0" borderId="0" xfId="0" applyFont="1" applyAlignment="1">
      <alignment horizontal="center"/>
    </xf>
    <xf numFmtId="0" fontId="10" fillId="0" borderId="8" xfId="0" applyFont="1" applyBorder="1" applyAlignment="1">
      <alignment horizontal="center"/>
    </xf>
    <xf numFmtId="0" fontId="5" fillId="0" borderId="1" xfId="0" quotePrefix="1" applyFont="1" applyBorder="1" applyAlignment="1">
      <alignment horizontal="center" vertical="center"/>
    </xf>
    <xf numFmtId="0" fontId="8" fillId="0" borderId="4" xfId="0" applyFont="1" applyBorder="1" applyAlignment="1">
      <alignment horizontal="center"/>
    </xf>
    <xf numFmtId="0" fontId="8" fillId="0" borderId="0" xfId="0" applyFont="1" applyAlignment="1">
      <alignment horizontal="center"/>
    </xf>
    <xf numFmtId="0" fontId="8" fillId="0" borderId="5" xfId="0" applyFont="1" applyBorder="1" applyAlignment="1">
      <alignment horizontal="center"/>
    </xf>
    <xf numFmtId="0" fontId="3" fillId="0" borderId="2" xfId="0" quotePrefix="1" applyFont="1" applyBorder="1" applyAlignment="1">
      <alignment horizontal="left"/>
    </xf>
    <xf numFmtId="0" fontId="3" fillId="0" borderId="3" xfId="0" quotePrefix="1" applyFont="1" applyBorder="1" applyAlignment="1">
      <alignment horizontal="left"/>
    </xf>
    <xf numFmtId="0" fontId="8" fillId="0" borderId="1" xfId="0" applyFont="1" applyBorder="1" applyAlignment="1">
      <alignment horizontal="left"/>
    </xf>
    <xf numFmtId="0" fontId="8" fillId="0" borderId="2" xfId="0" applyFont="1" applyBorder="1" applyAlignment="1">
      <alignment horizontal="left"/>
    </xf>
    <xf numFmtId="0" fontId="8" fillId="0" borderId="3" xfId="0" applyFont="1" applyBorder="1" applyAlignment="1">
      <alignment horizontal="left"/>
    </xf>
    <xf numFmtId="0" fontId="3" fillId="0" borderId="0" xfId="0" applyFont="1" applyAlignment="1">
      <alignment horizontal="left"/>
    </xf>
    <xf numFmtId="0" fontId="3" fillId="0" borderId="5" xfId="0" applyFont="1" applyBorder="1" applyAlignment="1">
      <alignment horizontal="left"/>
    </xf>
    <xf numFmtId="15" fontId="10" fillId="0" borderId="8" xfId="0" applyNumberFormat="1" applyFont="1" applyBorder="1" applyAlignment="1">
      <alignment horizontal="left"/>
    </xf>
    <xf numFmtId="15" fontId="10" fillId="0" borderId="9" xfId="0" applyNumberFormat="1" applyFont="1" applyBorder="1" applyAlignment="1">
      <alignment horizontal="left"/>
    </xf>
    <xf numFmtId="0" fontId="8" fillId="0" borderId="0" xfId="0" quotePrefix="1" applyFont="1" applyAlignment="1">
      <alignment horizontal="left"/>
    </xf>
    <xf numFmtId="0" fontId="8" fillId="0" borderId="5" xfId="0" quotePrefix="1" applyFont="1" applyBorder="1" applyAlignment="1">
      <alignment horizontal="left"/>
    </xf>
    <xf numFmtId="4" fontId="8" fillId="0" borderId="1" xfId="0" applyNumberFormat="1" applyFont="1" applyBorder="1" applyAlignment="1">
      <alignment horizontal="center"/>
    </xf>
    <xf numFmtId="4" fontId="8" fillId="0" borderId="2" xfId="0" applyNumberFormat="1" applyFont="1" applyBorder="1" applyAlignment="1">
      <alignment horizontal="center"/>
    </xf>
    <xf numFmtId="4" fontId="8" fillId="0" borderId="3" xfId="0" applyNumberFormat="1" applyFont="1" applyBorder="1" applyAlignment="1">
      <alignment horizontal="center"/>
    </xf>
    <xf numFmtId="0" fontId="0" fillId="0" borderId="1" xfId="0"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8" fillId="0" borderId="4" xfId="0" applyFont="1" applyBorder="1" applyAlignment="1">
      <alignment horizontal="right"/>
    </xf>
    <xf numFmtId="0" fontId="8" fillId="0" borderId="0" xfId="0" applyFont="1" applyAlignment="1">
      <alignment horizontal="right"/>
    </xf>
    <xf numFmtId="164" fontId="3" fillId="0" borderId="4" xfId="0" applyNumberFormat="1" applyFont="1" applyBorder="1" applyAlignment="1">
      <alignment horizontal="right"/>
    </xf>
    <xf numFmtId="164" fontId="3" fillId="0" borderId="0" xfId="0" applyNumberFormat="1" applyFont="1" applyAlignment="1">
      <alignment horizontal="right"/>
    </xf>
    <xf numFmtId="4" fontId="3" fillId="0" borderId="4" xfId="0" applyNumberFormat="1" applyFont="1" applyBorder="1" applyAlignment="1">
      <alignment horizontal="right"/>
    </xf>
    <xf numFmtId="4" fontId="3" fillId="0" borderId="0" xfId="0" applyNumberFormat="1" applyFont="1" applyAlignment="1">
      <alignment horizontal="right"/>
    </xf>
    <xf numFmtId="0" fontId="8" fillId="0" borderId="4" xfId="0" quotePrefix="1" applyFont="1" applyBorder="1" applyAlignment="1">
      <alignment horizontal="right"/>
    </xf>
    <xf numFmtId="0" fontId="8" fillId="0" borderId="0" xfId="0" quotePrefix="1" applyFont="1" applyAlignment="1">
      <alignment horizontal="right"/>
    </xf>
    <xf numFmtId="4" fontId="3" fillId="0" borderId="7" xfId="0" applyNumberFormat="1" applyFont="1" applyBorder="1" applyAlignment="1">
      <alignment horizontal="center"/>
    </xf>
    <xf numFmtId="4" fontId="3" fillId="0" borderId="8" xfId="0" applyNumberFormat="1" applyFont="1" applyBorder="1" applyAlignment="1">
      <alignment horizontal="center"/>
    </xf>
    <xf numFmtId="4" fontId="3" fillId="0" borderId="9" xfId="0" applyNumberFormat="1" applyFont="1" applyBorder="1" applyAlignment="1">
      <alignment horizontal="center"/>
    </xf>
    <xf numFmtId="0" fontId="0" fillId="0" borderId="7" xfId="0" applyBorder="1" applyAlignment="1">
      <alignment horizontal="center"/>
    </xf>
    <xf numFmtId="0" fontId="0" fillId="0" borderId="8" xfId="0" applyBorder="1" applyAlignment="1">
      <alignment horizontal="center"/>
    </xf>
    <xf numFmtId="0" fontId="0" fillId="0" borderId="9" xfId="0" applyBorder="1" applyAlignment="1">
      <alignment horizontal="center"/>
    </xf>
    <xf numFmtId="4" fontId="3" fillId="0" borderId="7" xfId="0" applyNumberFormat="1" applyFont="1" applyBorder="1" applyAlignment="1">
      <alignment horizontal="right"/>
    </xf>
    <xf numFmtId="4" fontId="3" fillId="0" borderId="8" xfId="0" applyNumberFormat="1" applyFont="1" applyBorder="1" applyAlignment="1">
      <alignment horizontal="right"/>
    </xf>
    <xf numFmtId="4" fontId="3" fillId="0" borderId="1" xfId="0" applyNumberFormat="1" applyFont="1" applyBorder="1" applyAlignment="1">
      <alignment horizontal="right"/>
    </xf>
    <xf numFmtId="4" fontId="3" fillId="0" borderId="2" xfId="0" applyNumberFormat="1" applyFont="1" applyBorder="1" applyAlignment="1">
      <alignment horizontal="right"/>
    </xf>
    <xf numFmtId="2" fontId="0" fillId="0" borderId="8" xfId="0" applyNumberFormat="1" applyBorder="1" applyAlignment="1">
      <alignment horizontal="right"/>
    </xf>
    <xf numFmtId="0" fontId="0" fillId="0" borderId="8" xfId="0" applyBorder="1" applyAlignment="1">
      <alignment horizontal="right"/>
    </xf>
    <xf numFmtId="0" fontId="8" fillId="0" borderId="2" xfId="0" quotePrefix="1" applyFont="1" applyBorder="1" applyAlignment="1">
      <alignment horizontal="left"/>
    </xf>
    <xf numFmtId="0" fontId="8" fillId="0" borderId="3" xfId="0" quotePrefix="1" applyFont="1" applyBorder="1" applyAlignment="1">
      <alignment horizontal="left"/>
    </xf>
    <xf numFmtId="0" fontId="8" fillId="0" borderId="9" xfId="0" quotePrefix="1" applyFont="1" applyBorder="1" applyAlignment="1">
      <alignment horizontal="left"/>
    </xf>
    <xf numFmtId="0" fontId="8" fillId="0" borderId="4" xfId="0" quotePrefix="1" applyFont="1" applyBorder="1" applyAlignment="1">
      <alignment horizontal="center"/>
    </xf>
    <xf numFmtId="0" fontId="8" fillId="0" borderId="0" xfId="0" quotePrefix="1" applyFont="1" applyAlignment="1">
      <alignment horizontal="center"/>
    </xf>
    <xf numFmtId="20" fontId="3" fillId="0" borderId="0" xfId="0" applyNumberFormat="1" applyFont="1" applyAlignment="1">
      <alignment horizontal="left"/>
    </xf>
    <xf numFmtId="20" fontId="3" fillId="0" borderId="0" xfId="0" applyNumberFormat="1" applyFont="1" applyAlignment="1">
      <alignment horizontal="center"/>
    </xf>
    <xf numFmtId="165" fontId="3" fillId="0" borderId="10" xfId="0" applyNumberFormat="1" applyFont="1" applyBorder="1" applyAlignment="1">
      <alignment horizontal="right"/>
    </xf>
    <xf numFmtId="165" fontId="3" fillId="0" borderId="11" xfId="0" applyNumberFormat="1" applyFont="1" applyBorder="1" applyAlignment="1">
      <alignment horizontal="right"/>
    </xf>
    <xf numFmtId="167" fontId="3" fillId="0" borderId="10" xfId="0" applyNumberFormat="1" applyFont="1" applyBorder="1" applyAlignment="1">
      <alignment horizontal="right"/>
    </xf>
    <xf numFmtId="167" fontId="3" fillId="0" borderId="11" xfId="0" applyNumberFormat="1" applyFont="1" applyBorder="1" applyAlignment="1">
      <alignment horizontal="right"/>
    </xf>
    <xf numFmtId="166" fontId="3" fillId="0" borderId="10" xfId="0" applyNumberFormat="1" applyFont="1" applyBorder="1" applyAlignment="1">
      <alignment horizontal="right"/>
    </xf>
    <xf numFmtId="0" fontId="3" fillId="0" borderId="11" xfId="0" applyFont="1" applyBorder="1" applyAlignment="1">
      <alignment horizontal="right"/>
    </xf>
    <xf numFmtId="0" fontId="10" fillId="0" borderId="2" xfId="0" applyFont="1" applyBorder="1" applyAlignment="1">
      <alignment horizontal="center"/>
    </xf>
    <xf numFmtId="0" fontId="10" fillId="0" borderId="11" xfId="0" applyFont="1" applyBorder="1" applyAlignment="1">
      <alignment horizontal="center"/>
    </xf>
    <xf numFmtId="0" fontId="3" fillId="0" borderId="10" xfId="0" applyFont="1" applyBorder="1" applyAlignment="1">
      <alignment horizontal="right"/>
    </xf>
    <xf numFmtId="4" fontId="3" fillId="0" borderId="10" xfId="0" applyNumberFormat="1" applyFont="1" applyBorder="1" applyAlignment="1">
      <alignment horizontal="right"/>
    </xf>
    <xf numFmtId="0" fontId="8" fillId="0" borderId="8" xfId="0" quotePrefix="1" applyFont="1" applyBorder="1" applyAlignment="1">
      <alignment horizontal="center"/>
    </xf>
    <xf numFmtId="0" fontId="8" fillId="0" borderId="9" xfId="0" quotePrefix="1" applyFont="1" applyBorder="1" applyAlignment="1">
      <alignment horizontal="center"/>
    </xf>
    <xf numFmtId="169" fontId="3" fillId="0" borderId="10" xfId="0" applyNumberFormat="1" applyFont="1" applyBorder="1" applyAlignment="1">
      <alignment horizontal="right"/>
    </xf>
    <xf numFmtId="0" fontId="11" fillId="0" borderId="16" xfId="0" applyFont="1" applyBorder="1" applyAlignment="1">
      <alignment horizontal="center"/>
    </xf>
    <xf numFmtId="0" fontId="11" fillId="0" borderId="24" xfId="0" applyFont="1" applyBorder="1" applyAlignment="1">
      <alignment horizontal="center"/>
    </xf>
    <xf numFmtId="0" fontId="11" fillId="0" borderId="0" xfId="0" applyFont="1" applyAlignment="1">
      <alignment horizontal="left"/>
    </xf>
    <xf numFmtId="20" fontId="0" fillId="0" borderId="11" xfId="0" applyNumberFormat="1" applyBorder="1" applyAlignment="1" applyProtection="1">
      <alignment horizontal="center"/>
      <protection locked="0"/>
    </xf>
    <xf numFmtId="0" fontId="0" fillId="0" borderId="11" xfId="0" applyBorder="1" applyAlignment="1" applyProtection="1">
      <alignment horizontal="center"/>
      <protection locked="0"/>
    </xf>
    <xf numFmtId="0" fontId="62" fillId="0" borderId="11" xfId="0" applyFont="1" applyBorder="1" applyAlignment="1" applyProtection="1">
      <alignment horizontal="center"/>
      <protection locked="0"/>
    </xf>
    <xf numFmtId="0" fontId="0" fillId="0" borderId="16" xfId="0" applyBorder="1" applyAlignment="1">
      <alignment horizontal="center"/>
    </xf>
    <xf numFmtId="0" fontId="11" fillId="0" borderId="0" xfId="0" quotePrefix="1" applyFont="1" applyAlignment="1">
      <alignment horizontal="center"/>
    </xf>
    <xf numFmtId="0" fontId="5" fillId="0" borderId="16" xfId="0" applyFont="1" applyBorder="1" applyAlignment="1" applyProtection="1">
      <alignment horizontal="center"/>
      <protection locked="0"/>
    </xf>
    <xf numFmtId="0" fontId="9" fillId="0" borderId="16" xfId="0" applyFont="1" applyBorder="1" applyAlignment="1" applyProtection="1">
      <alignment horizontal="center"/>
      <protection locked="0"/>
    </xf>
    <xf numFmtId="0" fontId="11" fillId="0" borderId="0" xfId="0" applyFont="1" applyAlignment="1">
      <alignment horizontal="center"/>
    </xf>
    <xf numFmtId="14" fontId="0" fillId="0" borderId="8" xfId="0" applyNumberFormat="1" applyBorder="1" applyAlignment="1" applyProtection="1">
      <alignment horizontal="center"/>
      <protection locked="0"/>
    </xf>
    <xf numFmtId="0" fontId="0" fillId="0" borderId="8" xfId="0" applyBorder="1" applyAlignment="1" applyProtection="1">
      <alignment horizontal="center"/>
      <protection locked="0"/>
    </xf>
    <xf numFmtId="0" fontId="60" fillId="0" borderId="17" xfId="0" applyFont="1" applyBorder="1" applyAlignment="1" applyProtection="1">
      <alignment horizontal="center"/>
      <protection locked="0"/>
    </xf>
    <xf numFmtId="14" fontId="1" fillId="0" borderId="8" xfId="0" applyNumberFormat="1" applyFont="1" applyBorder="1" applyAlignment="1" applyProtection="1">
      <alignment horizontal="center"/>
      <protection locked="0"/>
    </xf>
    <xf numFmtId="0" fontId="1" fillId="0" borderId="8" xfId="0" applyFont="1" applyBorder="1" applyAlignment="1" applyProtection="1">
      <alignment horizontal="center"/>
      <protection locked="0"/>
    </xf>
    <xf numFmtId="165" fontId="23" fillId="20" borderId="29" xfId="0" applyNumberFormat="1" applyFont="1" applyFill="1" applyBorder="1" applyAlignment="1">
      <alignment horizontal="center"/>
    </xf>
    <xf numFmtId="165" fontId="23" fillId="20" borderId="26" xfId="0" applyNumberFormat="1" applyFont="1" applyFill="1" applyBorder="1" applyAlignment="1">
      <alignment horizontal="center"/>
    </xf>
    <xf numFmtId="165" fontId="23" fillId="20" borderId="28" xfId="0" applyNumberFormat="1" applyFont="1" applyFill="1" applyBorder="1" applyAlignment="1">
      <alignment horizontal="center"/>
    </xf>
    <xf numFmtId="165" fontId="24" fillId="6" borderId="29" xfId="0" applyNumberFormat="1" applyFont="1" applyFill="1" applyBorder="1" applyAlignment="1">
      <alignment horizontal="right"/>
    </xf>
    <xf numFmtId="165" fontId="24" fillId="6" borderId="26" xfId="0" applyNumberFormat="1" applyFont="1" applyFill="1" applyBorder="1" applyAlignment="1">
      <alignment horizontal="right"/>
    </xf>
    <xf numFmtId="165" fontId="24" fillId="6" borderId="27" xfId="0" applyNumberFormat="1" applyFont="1" applyFill="1" applyBorder="1" applyAlignment="1">
      <alignment horizontal="right"/>
    </xf>
    <xf numFmtId="0" fontId="63" fillId="0" borderId="19" xfId="0" applyFont="1" applyBorder="1" applyAlignment="1" applyProtection="1">
      <alignment horizontal="center"/>
      <protection locked="0"/>
    </xf>
    <xf numFmtId="0" fontId="64" fillId="0" borderId="19" xfId="0" applyFont="1" applyBorder="1" applyAlignment="1" applyProtection="1">
      <alignment horizontal="center"/>
      <protection locked="0"/>
    </xf>
    <xf numFmtId="20" fontId="1" fillId="0" borderId="11" xfId="0" applyNumberFormat="1" applyFont="1" applyBorder="1" applyAlignment="1" applyProtection="1">
      <alignment horizontal="center"/>
      <protection locked="0"/>
    </xf>
    <xf numFmtId="0" fontId="11" fillId="0" borderId="23" xfId="0" quotePrefix="1" applyFont="1" applyBorder="1" applyAlignment="1">
      <alignment horizontal="center"/>
    </xf>
    <xf numFmtId="2" fontId="1" fillId="0" borderId="25" xfId="0" applyNumberFormat="1" applyFont="1" applyBorder="1" applyAlignment="1" applyProtection="1">
      <alignment horizontal="right"/>
      <protection locked="0"/>
    </xf>
    <xf numFmtId="2" fontId="1" fillId="0" borderId="26" xfId="0" applyNumberFormat="1" applyFont="1" applyBorder="1" applyAlignment="1" applyProtection="1">
      <alignment horizontal="right"/>
      <protection locked="0"/>
    </xf>
    <xf numFmtId="2" fontId="1" fillId="0" borderId="27" xfId="0" applyNumberFormat="1" applyFont="1" applyBorder="1" applyAlignment="1" applyProtection="1">
      <alignment horizontal="right"/>
      <protection locked="0"/>
    </xf>
    <xf numFmtId="0" fontId="1" fillId="0" borderId="11" xfId="0" applyFont="1" applyBorder="1" applyAlignment="1" applyProtection="1">
      <alignment horizontal="center"/>
      <protection locked="0"/>
    </xf>
    <xf numFmtId="0" fontId="21" fillId="5" borderId="20" xfId="0" quotePrefix="1" applyFont="1" applyFill="1" applyBorder="1" applyAlignment="1">
      <alignment horizontal="center"/>
    </xf>
    <xf numFmtId="0" fontId="21" fillId="5" borderId="21" xfId="0" quotePrefix="1" applyFont="1" applyFill="1" applyBorder="1" applyAlignment="1">
      <alignment horizontal="center"/>
    </xf>
    <xf numFmtId="0" fontId="21" fillId="5" borderId="22" xfId="0" quotePrefix="1" applyFont="1" applyFill="1" applyBorder="1" applyAlignment="1">
      <alignment horizontal="center"/>
    </xf>
    <xf numFmtId="165" fontId="22" fillId="0" borderId="25" xfId="0" applyNumberFormat="1" applyFont="1" applyBorder="1" applyAlignment="1" applyProtection="1">
      <alignment horizontal="right"/>
      <protection locked="0"/>
    </xf>
    <xf numFmtId="165" fontId="22" fillId="0" borderId="26" xfId="0" applyNumberFormat="1" applyFont="1" applyBorder="1" applyAlignment="1" applyProtection="1">
      <alignment horizontal="right"/>
      <protection locked="0"/>
    </xf>
    <xf numFmtId="165" fontId="22" fillId="0" borderId="27" xfId="0" applyNumberFormat="1" applyFont="1" applyBorder="1" applyAlignment="1" applyProtection="1">
      <alignment horizontal="right"/>
      <protection locked="0"/>
    </xf>
    <xf numFmtId="165" fontId="1" fillId="0" borderId="25" xfId="0" applyNumberFormat="1" applyFont="1" applyBorder="1" applyAlignment="1">
      <alignment horizontal="right"/>
    </xf>
    <xf numFmtId="165" fontId="1" fillId="0" borderId="26" xfId="0" applyNumberFormat="1" applyFont="1" applyBorder="1" applyAlignment="1">
      <alignment horizontal="right"/>
    </xf>
    <xf numFmtId="165" fontId="1" fillId="0" borderId="28" xfId="0" applyNumberFormat="1" applyFont="1" applyBorder="1" applyAlignment="1">
      <alignment horizontal="right"/>
    </xf>
    <xf numFmtId="2" fontId="22" fillId="0" borderId="25" xfId="0" applyNumberFormat="1" applyFont="1" applyBorder="1" applyAlignment="1" applyProtection="1">
      <alignment horizontal="right"/>
      <protection locked="0"/>
    </xf>
    <xf numFmtId="2" fontId="22" fillId="0" borderId="26" xfId="0" applyNumberFormat="1" applyFont="1" applyBorder="1" applyAlignment="1" applyProtection="1">
      <alignment horizontal="right"/>
      <protection locked="0"/>
    </xf>
    <xf numFmtId="2" fontId="22" fillId="0" borderId="27" xfId="0" applyNumberFormat="1" applyFont="1" applyBorder="1" applyAlignment="1" applyProtection="1">
      <alignment horizontal="right"/>
      <protection locked="0"/>
    </xf>
    <xf numFmtId="165" fontId="1" fillId="0" borderId="30" xfId="0" applyNumberFormat="1" applyFont="1" applyBorder="1" applyAlignment="1" applyProtection="1">
      <alignment horizontal="right"/>
      <protection locked="0"/>
    </xf>
    <xf numFmtId="165" fontId="1" fillId="0" borderId="11" xfId="0" applyNumberFormat="1" applyFont="1" applyBorder="1" applyAlignment="1" applyProtection="1">
      <alignment horizontal="right"/>
      <protection locked="0"/>
    </xf>
    <xf numFmtId="165" fontId="1" fillId="0" borderId="31" xfId="0" applyNumberFormat="1" applyFont="1" applyBorder="1" applyAlignment="1" applyProtection="1">
      <alignment horizontal="right"/>
      <protection locked="0"/>
    </xf>
    <xf numFmtId="165" fontId="1" fillId="0" borderId="30" xfId="0" applyNumberFormat="1" applyFont="1" applyBorder="1" applyAlignment="1">
      <alignment horizontal="right"/>
    </xf>
    <xf numFmtId="165" fontId="1" fillId="0" borderId="11" xfId="0" applyNumberFormat="1" applyFont="1" applyBorder="1" applyAlignment="1">
      <alignment horizontal="right"/>
    </xf>
    <xf numFmtId="165" fontId="1" fillId="0" borderId="12" xfId="0" applyNumberFormat="1" applyFont="1" applyBorder="1" applyAlignment="1">
      <alignment horizontal="right"/>
    </xf>
    <xf numFmtId="165" fontId="1" fillId="0" borderId="25" xfId="0" applyNumberFormat="1" applyFont="1" applyBorder="1" applyAlignment="1" applyProtection="1">
      <alignment horizontal="right"/>
      <protection locked="0"/>
    </xf>
    <xf numFmtId="165" fontId="1" fillId="0" borderId="26" xfId="0" applyNumberFormat="1" applyFont="1" applyBorder="1" applyAlignment="1" applyProtection="1">
      <alignment horizontal="right"/>
      <protection locked="0"/>
    </xf>
    <xf numFmtId="165" fontId="1" fillId="0" borderId="27" xfId="0" applyNumberFormat="1" applyFont="1" applyBorder="1" applyAlignment="1" applyProtection="1">
      <alignment horizontal="right"/>
      <protection locked="0"/>
    </xf>
    <xf numFmtId="165" fontId="23" fillId="20" borderId="10" xfId="0" applyNumberFormat="1" applyFont="1" applyFill="1" applyBorder="1" applyAlignment="1">
      <alignment horizontal="center"/>
    </xf>
    <xf numFmtId="165" fontId="23" fillId="20" borderId="11" xfId="0" applyNumberFormat="1" applyFont="1" applyFill="1" applyBorder="1" applyAlignment="1">
      <alignment horizontal="center"/>
    </xf>
    <xf numFmtId="165" fontId="23" fillId="20" borderId="12" xfId="0" applyNumberFormat="1" applyFont="1" applyFill="1" applyBorder="1" applyAlignment="1">
      <alignment horizontal="center"/>
    </xf>
    <xf numFmtId="165" fontId="24" fillId="6" borderId="10" xfId="0" applyNumberFormat="1" applyFont="1" applyFill="1" applyBorder="1" applyAlignment="1">
      <alignment horizontal="right"/>
    </xf>
    <xf numFmtId="165" fontId="24" fillId="6" borderId="11" xfId="0" applyNumberFormat="1" applyFont="1" applyFill="1" applyBorder="1" applyAlignment="1">
      <alignment horizontal="right"/>
    </xf>
    <xf numFmtId="165" fontId="24" fillId="6" borderId="31" xfId="0" applyNumberFormat="1" applyFont="1" applyFill="1" applyBorder="1" applyAlignment="1">
      <alignment horizontal="right"/>
    </xf>
    <xf numFmtId="2" fontId="1" fillId="0" borderId="30" xfId="0" applyNumberFormat="1" applyFont="1" applyBorder="1" applyAlignment="1" applyProtection="1">
      <alignment horizontal="right"/>
      <protection locked="0"/>
    </xf>
    <xf numFmtId="2" fontId="1" fillId="0" borderId="11" xfId="0" applyNumberFormat="1" applyFont="1" applyBorder="1" applyAlignment="1" applyProtection="1">
      <alignment horizontal="right"/>
      <protection locked="0"/>
    </xf>
    <xf numFmtId="2" fontId="1" fillId="0" borderId="31" xfId="0" applyNumberFormat="1" applyFont="1" applyBorder="1" applyAlignment="1" applyProtection="1">
      <alignment horizontal="right"/>
      <protection locked="0"/>
    </xf>
    <xf numFmtId="165" fontId="22" fillId="0" borderId="30" xfId="0" applyNumberFormat="1" applyFont="1" applyBorder="1" applyAlignment="1" applyProtection="1">
      <alignment horizontal="right"/>
      <protection locked="0"/>
    </xf>
    <xf numFmtId="165" fontId="22" fillId="0" borderId="11" xfId="0" applyNumberFormat="1" applyFont="1" applyBorder="1" applyAlignment="1" applyProtection="1">
      <alignment horizontal="right"/>
      <protection locked="0"/>
    </xf>
    <xf numFmtId="165" fontId="22" fillId="0" borderId="31" xfId="0" applyNumberFormat="1" applyFont="1" applyBorder="1" applyAlignment="1" applyProtection="1">
      <alignment horizontal="right"/>
      <protection locked="0"/>
    </xf>
    <xf numFmtId="165" fontId="22" fillId="0" borderId="30" xfId="0" applyNumberFormat="1" applyFont="1" applyBorder="1" applyAlignment="1">
      <alignment horizontal="right"/>
    </xf>
    <xf numFmtId="165" fontId="22" fillId="0" borderId="11" xfId="0" applyNumberFormat="1" applyFont="1" applyBorder="1" applyAlignment="1">
      <alignment horizontal="right"/>
    </xf>
    <xf numFmtId="165" fontId="22" fillId="0" borderId="12" xfId="0" applyNumberFormat="1" applyFont="1" applyBorder="1" applyAlignment="1">
      <alignment horizontal="right"/>
    </xf>
    <xf numFmtId="2" fontId="22" fillId="0" borderId="30" xfId="0" applyNumberFormat="1" applyFont="1" applyBorder="1" applyAlignment="1" applyProtection="1">
      <alignment horizontal="right"/>
      <protection locked="0"/>
    </xf>
    <xf numFmtId="2" fontId="22" fillId="0" borderId="11" xfId="0" applyNumberFormat="1" applyFont="1" applyBorder="1" applyAlignment="1" applyProtection="1">
      <alignment horizontal="right"/>
      <protection locked="0"/>
    </xf>
    <xf numFmtId="2" fontId="22" fillId="0" borderId="31" xfId="0" applyNumberFormat="1" applyFont="1" applyBorder="1" applyAlignment="1" applyProtection="1">
      <alignment horizontal="right"/>
      <protection locked="0"/>
    </xf>
    <xf numFmtId="165" fontId="1" fillId="0" borderId="32" xfId="0" applyNumberFormat="1" applyFont="1" applyBorder="1" applyAlignment="1" applyProtection="1">
      <alignment horizontal="right"/>
      <protection locked="0"/>
    </xf>
    <xf numFmtId="165" fontId="1" fillId="0" borderId="33" xfId="0" applyNumberFormat="1" applyFont="1" applyBorder="1" applyAlignment="1" applyProtection="1">
      <alignment horizontal="right"/>
      <protection locked="0"/>
    </xf>
    <xf numFmtId="165" fontId="1" fillId="0" borderId="34" xfId="0" applyNumberFormat="1" applyFont="1" applyBorder="1" applyAlignment="1" applyProtection="1">
      <alignment horizontal="right"/>
      <protection locked="0"/>
    </xf>
    <xf numFmtId="165" fontId="1" fillId="0" borderId="32" xfId="0" applyNumberFormat="1" applyFont="1" applyBorder="1" applyAlignment="1">
      <alignment horizontal="right"/>
    </xf>
    <xf numFmtId="165" fontId="1" fillId="0" borderId="33" xfId="0" applyNumberFormat="1" applyFont="1" applyBorder="1" applyAlignment="1">
      <alignment horizontal="right"/>
    </xf>
    <xf numFmtId="165" fontId="1" fillId="0" borderId="35" xfId="0" applyNumberFormat="1" applyFont="1" applyBorder="1" applyAlignment="1">
      <alignment horizontal="right"/>
    </xf>
    <xf numFmtId="165" fontId="23" fillId="20" borderId="36" xfId="0" applyNumberFormat="1" applyFont="1" applyFill="1" applyBorder="1" applyAlignment="1">
      <alignment horizontal="center"/>
    </xf>
    <xf numFmtId="165" fontId="23" fillId="20" borderId="33" xfId="0" applyNumberFormat="1" applyFont="1" applyFill="1" applyBorder="1" applyAlignment="1">
      <alignment horizontal="center"/>
    </xf>
    <xf numFmtId="165" fontId="23" fillId="20" borderId="35" xfId="0" applyNumberFormat="1" applyFont="1" applyFill="1" applyBorder="1" applyAlignment="1">
      <alignment horizontal="center"/>
    </xf>
    <xf numFmtId="165" fontId="24" fillId="6" borderId="36" xfId="0" applyNumberFormat="1" applyFont="1" applyFill="1" applyBorder="1" applyAlignment="1">
      <alignment horizontal="right"/>
    </xf>
    <xf numFmtId="165" fontId="24" fillId="6" borderId="33" xfId="0" applyNumberFormat="1" applyFont="1" applyFill="1" applyBorder="1" applyAlignment="1">
      <alignment horizontal="right"/>
    </xf>
    <xf numFmtId="165" fontId="24" fillId="6" borderId="34" xfId="0" applyNumberFormat="1" applyFont="1" applyFill="1" applyBorder="1" applyAlignment="1">
      <alignment horizontal="right"/>
    </xf>
    <xf numFmtId="2" fontId="1" fillId="0" borderId="32" xfId="0" applyNumberFormat="1" applyFont="1" applyBorder="1" applyAlignment="1" applyProtection="1">
      <alignment horizontal="right"/>
      <protection locked="0"/>
    </xf>
    <xf numFmtId="2" fontId="1" fillId="0" borderId="33" xfId="0" applyNumberFormat="1" applyFont="1" applyBorder="1" applyAlignment="1" applyProtection="1">
      <alignment horizontal="right"/>
      <protection locked="0"/>
    </xf>
    <xf numFmtId="2" fontId="1" fillId="0" borderId="34" xfId="0" applyNumberFormat="1" applyFont="1" applyBorder="1" applyAlignment="1" applyProtection="1">
      <alignment horizontal="right"/>
      <protection locked="0"/>
    </xf>
    <xf numFmtId="165" fontId="22" fillId="0" borderId="32" xfId="0" applyNumberFormat="1" applyFont="1" applyBorder="1" applyAlignment="1" applyProtection="1">
      <alignment horizontal="right"/>
      <protection locked="0"/>
    </xf>
    <xf numFmtId="165" fontId="22" fillId="0" borderId="33" xfId="0" applyNumberFormat="1" applyFont="1" applyBorder="1" applyAlignment="1" applyProtection="1">
      <alignment horizontal="right"/>
      <protection locked="0"/>
    </xf>
    <xf numFmtId="165" fontId="22" fillId="0" borderId="34" xfId="0" applyNumberFormat="1" applyFont="1" applyBorder="1" applyAlignment="1" applyProtection="1">
      <alignment horizontal="right"/>
      <protection locked="0"/>
    </xf>
    <xf numFmtId="165" fontId="22" fillId="0" borderId="32" xfId="0" applyNumberFormat="1" applyFont="1" applyBorder="1" applyAlignment="1">
      <alignment horizontal="right"/>
    </xf>
    <xf numFmtId="165" fontId="22" fillId="0" borderId="33" xfId="0" applyNumberFormat="1" applyFont="1" applyBorder="1" applyAlignment="1">
      <alignment horizontal="right"/>
    </xf>
    <xf numFmtId="165" fontId="22" fillId="0" borderId="35" xfId="0" applyNumberFormat="1" applyFont="1" applyBorder="1" applyAlignment="1">
      <alignment horizontal="right"/>
    </xf>
    <xf numFmtId="2" fontId="22" fillId="0" borderId="32" xfId="0" applyNumberFormat="1" applyFont="1" applyBorder="1" applyAlignment="1" applyProtection="1">
      <alignment horizontal="right"/>
      <protection locked="0"/>
    </xf>
    <xf numFmtId="2" fontId="22" fillId="0" borderId="33" xfId="0" applyNumberFormat="1" applyFont="1" applyBorder="1" applyAlignment="1" applyProtection="1">
      <alignment horizontal="right"/>
      <protection locked="0"/>
    </xf>
    <xf numFmtId="2" fontId="22" fillId="0" borderId="34" xfId="0" applyNumberFormat="1" applyFont="1" applyBorder="1" applyAlignment="1" applyProtection="1">
      <alignment horizontal="right"/>
      <protection locked="0"/>
    </xf>
    <xf numFmtId="165" fontId="0" fillId="0" borderId="0" xfId="0" applyNumberFormat="1" applyAlignment="1">
      <alignment horizontal="center"/>
    </xf>
    <xf numFmtId="165" fontId="3" fillId="0" borderId="20" xfId="0" quotePrefix="1" applyNumberFormat="1" applyFont="1" applyBorder="1" applyAlignment="1">
      <alignment horizontal="center"/>
    </xf>
    <xf numFmtId="165" fontId="3" fillId="0" borderId="21" xfId="0" quotePrefix="1" applyNumberFormat="1" applyFont="1" applyBorder="1" applyAlignment="1">
      <alignment horizontal="center"/>
    </xf>
    <xf numFmtId="165" fontId="3" fillId="0" borderId="22" xfId="0" quotePrefix="1" applyNumberFormat="1" applyFont="1" applyBorder="1" applyAlignment="1">
      <alignment horizontal="center"/>
    </xf>
    <xf numFmtId="0" fontId="3" fillId="0" borderId="20" xfId="0" applyFont="1" applyBorder="1" applyAlignment="1">
      <alignment horizontal="center"/>
    </xf>
    <xf numFmtId="0" fontId="3" fillId="0" borderId="21" xfId="0" applyFont="1" applyBorder="1" applyAlignment="1">
      <alignment horizontal="center"/>
    </xf>
    <xf numFmtId="0" fontId="3" fillId="0" borderId="22" xfId="0" applyFont="1" applyBorder="1" applyAlignment="1">
      <alignment horizontal="center"/>
    </xf>
    <xf numFmtId="172" fontId="24" fillId="9" borderId="23" xfId="0" applyNumberFormat="1" applyFont="1" applyFill="1" applyBorder="1" applyAlignment="1">
      <alignment horizontal="center"/>
    </xf>
    <xf numFmtId="172" fontId="24" fillId="9" borderId="16" xfId="0" applyNumberFormat="1" applyFont="1" applyFill="1" applyBorder="1" applyAlignment="1">
      <alignment horizontal="center"/>
    </xf>
    <xf numFmtId="172" fontId="24" fillId="9" borderId="24" xfId="0" applyNumberFormat="1" applyFont="1" applyFill="1" applyBorder="1" applyAlignment="1">
      <alignment horizontal="center"/>
    </xf>
    <xf numFmtId="0" fontId="3" fillId="0" borderId="37" xfId="0" applyFont="1" applyBorder="1" applyAlignment="1">
      <alignment horizontal="center"/>
    </xf>
    <xf numFmtId="0" fontId="3" fillId="0" borderId="38" xfId="0" applyFont="1" applyBorder="1" applyAlignment="1">
      <alignment horizontal="center"/>
    </xf>
    <xf numFmtId="165" fontId="22" fillId="20" borderId="23" xfId="0" applyNumberFormat="1" applyFont="1" applyFill="1" applyBorder="1" applyAlignment="1">
      <alignment horizontal="center"/>
    </xf>
    <xf numFmtId="165" fontId="22" fillId="20" borderId="16" xfId="0" applyNumberFormat="1" applyFont="1" applyFill="1" applyBorder="1" applyAlignment="1">
      <alignment horizontal="center"/>
    </xf>
    <xf numFmtId="165" fontId="22" fillId="20" borderId="24" xfId="0" applyNumberFormat="1" applyFont="1" applyFill="1" applyBorder="1" applyAlignment="1">
      <alignment horizontal="center"/>
    </xf>
    <xf numFmtId="165" fontId="22" fillId="3" borderId="23" xfId="0" applyNumberFormat="1" applyFont="1" applyFill="1" applyBorder="1" applyAlignment="1">
      <alignment horizontal="center"/>
    </xf>
    <xf numFmtId="165" fontId="22" fillId="3" borderId="16" xfId="0" applyNumberFormat="1" applyFont="1" applyFill="1" applyBorder="1" applyAlignment="1">
      <alignment horizontal="center"/>
    </xf>
    <xf numFmtId="165" fontId="22" fillId="3" borderId="24" xfId="0" applyNumberFormat="1" applyFont="1" applyFill="1" applyBorder="1" applyAlignment="1">
      <alignment horizontal="center"/>
    </xf>
    <xf numFmtId="165" fontId="22" fillId="20" borderId="23" xfId="0" applyNumberFormat="1" applyFont="1" applyFill="1" applyBorder="1" applyAlignment="1" applyProtection="1">
      <alignment horizontal="center"/>
      <protection locked="0"/>
    </xf>
    <xf numFmtId="165" fontId="22" fillId="20" borderId="16" xfId="0" applyNumberFormat="1" applyFont="1" applyFill="1" applyBorder="1" applyAlignment="1" applyProtection="1">
      <alignment horizontal="center"/>
      <protection locked="0"/>
    </xf>
    <xf numFmtId="165" fontId="22" fillId="20" borderId="24" xfId="0" applyNumberFormat="1" applyFont="1" applyFill="1" applyBorder="1" applyAlignment="1" applyProtection="1">
      <alignment horizontal="center"/>
      <protection locked="0"/>
    </xf>
    <xf numFmtId="2" fontId="22" fillId="3" borderId="23" xfId="0" applyNumberFormat="1" applyFont="1" applyFill="1" applyBorder="1" applyAlignment="1" applyProtection="1">
      <alignment horizontal="center"/>
      <protection locked="0"/>
    </xf>
    <xf numFmtId="2" fontId="22" fillId="3" borderId="16" xfId="0" applyNumberFormat="1" applyFont="1" applyFill="1" applyBorder="1" applyAlignment="1" applyProtection="1">
      <alignment horizontal="center"/>
      <protection locked="0"/>
    </xf>
    <xf numFmtId="2" fontId="22" fillId="3" borderId="24" xfId="0" applyNumberFormat="1" applyFont="1" applyFill="1" applyBorder="1" applyAlignment="1" applyProtection="1">
      <alignment horizontal="center"/>
      <protection locked="0"/>
    </xf>
    <xf numFmtId="2" fontId="0" fillId="0" borderId="23" xfId="0" applyNumberFormat="1" applyBorder="1" applyAlignment="1" applyProtection="1">
      <alignment horizontal="right"/>
      <protection locked="0"/>
    </xf>
    <xf numFmtId="2" fontId="0" fillId="0" borderId="16" xfId="0" applyNumberFormat="1" applyBorder="1" applyAlignment="1" applyProtection="1">
      <alignment horizontal="right"/>
      <protection locked="0"/>
    </xf>
    <xf numFmtId="2" fontId="0" fillId="0" borderId="39" xfId="0" applyNumberFormat="1" applyBorder="1" applyAlignment="1" applyProtection="1">
      <alignment horizontal="right"/>
      <protection locked="0"/>
    </xf>
    <xf numFmtId="2" fontId="0" fillId="0" borderId="40" xfId="0" applyNumberFormat="1" applyBorder="1" applyAlignment="1" applyProtection="1">
      <alignment horizontal="right"/>
      <protection locked="0"/>
    </xf>
    <xf numFmtId="2" fontId="0" fillId="0" borderId="24" xfId="0" applyNumberFormat="1" applyBorder="1" applyAlignment="1" applyProtection="1">
      <alignment horizontal="right"/>
      <protection locked="0"/>
    </xf>
    <xf numFmtId="0" fontId="3" fillId="0" borderId="20" xfId="0" quotePrefix="1" applyFont="1" applyBorder="1" applyAlignment="1">
      <alignment horizontal="left"/>
    </xf>
    <xf numFmtId="0" fontId="3" fillId="0" borderId="21" xfId="0" quotePrefix="1" applyFont="1" applyBorder="1" applyAlignment="1">
      <alignment horizontal="left"/>
    </xf>
    <xf numFmtId="4" fontId="1" fillId="0" borderId="41" xfId="1" applyNumberFormat="1" applyBorder="1" applyAlignment="1" applyProtection="1">
      <alignment horizontal="right"/>
    </xf>
    <xf numFmtId="4" fontId="1" fillId="0" borderId="42" xfId="1" applyNumberFormat="1" applyBorder="1" applyAlignment="1" applyProtection="1">
      <alignment horizontal="right"/>
    </xf>
    <xf numFmtId="4" fontId="1" fillId="0" borderId="43" xfId="1" applyNumberFormat="1" applyFont="1" applyBorder="1" applyAlignment="1" applyProtection="1">
      <alignment horizontal="right"/>
      <protection locked="0"/>
    </xf>
    <xf numFmtId="4" fontId="1" fillId="0" borderId="41" xfId="1" applyNumberFormat="1" applyBorder="1" applyAlignment="1" applyProtection="1">
      <alignment horizontal="right"/>
      <protection locked="0"/>
    </xf>
    <xf numFmtId="4" fontId="1" fillId="0" borderId="41" xfId="1" applyNumberFormat="1" applyFont="1" applyBorder="1" applyAlignment="1" applyProtection="1">
      <alignment horizontal="right"/>
      <protection locked="0"/>
    </xf>
    <xf numFmtId="4" fontId="1" fillId="0" borderId="42" xfId="1" applyNumberFormat="1" applyFont="1" applyBorder="1" applyAlignment="1" applyProtection="1">
      <alignment horizontal="right"/>
      <protection locked="0"/>
    </xf>
    <xf numFmtId="4" fontId="1" fillId="0" borderId="41" xfId="1" applyNumberFormat="1" applyFont="1" applyBorder="1" applyAlignment="1" applyProtection="1">
      <alignment horizontal="right"/>
    </xf>
    <xf numFmtId="4" fontId="1" fillId="0" borderId="42" xfId="1" applyNumberFormat="1" applyFont="1" applyBorder="1" applyAlignment="1" applyProtection="1">
      <alignment horizontal="right"/>
    </xf>
    <xf numFmtId="4" fontId="1" fillId="0" borderId="45" xfId="1" applyNumberFormat="1" applyFont="1" applyBorder="1" applyAlignment="1">
      <alignment horizontal="right"/>
    </xf>
    <xf numFmtId="4" fontId="1" fillId="0" borderId="46" xfId="1" applyNumberFormat="1" applyFont="1" applyBorder="1" applyAlignment="1">
      <alignment horizontal="right"/>
    </xf>
    <xf numFmtId="0" fontId="3" fillId="0" borderId="44" xfId="0" applyFont="1" applyBorder="1" applyAlignment="1">
      <alignment horizontal="left"/>
    </xf>
    <xf numFmtId="169" fontId="1" fillId="0" borderId="45" xfId="1" applyBorder="1" applyAlignment="1" applyProtection="1">
      <alignment horizontal="center"/>
      <protection locked="0"/>
    </xf>
    <xf numFmtId="169" fontId="1" fillId="0" borderId="46" xfId="1" applyBorder="1" applyAlignment="1" applyProtection="1">
      <alignment horizontal="center"/>
      <protection locked="0"/>
    </xf>
    <xf numFmtId="4" fontId="1" fillId="0" borderId="47" xfId="1" applyNumberFormat="1" applyBorder="1" applyAlignment="1">
      <alignment horizontal="right"/>
    </xf>
    <xf numFmtId="4" fontId="1" fillId="0" borderId="45" xfId="1" applyNumberFormat="1" applyBorder="1" applyAlignment="1">
      <alignment horizontal="right"/>
    </xf>
    <xf numFmtId="0" fontId="3" fillId="0" borderId="44" xfId="0" quotePrefix="1" applyFont="1" applyBorder="1" applyAlignment="1">
      <alignment horizontal="center"/>
    </xf>
    <xf numFmtId="0" fontId="3" fillId="0" borderId="49" xfId="0" quotePrefix="1" applyFont="1" applyBorder="1" applyAlignment="1">
      <alignment horizontal="center"/>
    </xf>
    <xf numFmtId="169" fontId="1" fillId="0" borderId="45" xfId="1" applyFont="1" applyBorder="1" applyAlignment="1" applyProtection="1">
      <alignment horizontal="center"/>
      <protection locked="0"/>
    </xf>
    <xf numFmtId="169" fontId="1" fillId="0" borderId="46" xfId="1" applyFont="1" applyBorder="1" applyAlignment="1" applyProtection="1">
      <alignment horizontal="center"/>
      <protection locked="0"/>
    </xf>
    <xf numFmtId="4" fontId="1" fillId="0" borderId="45" xfId="1" applyNumberFormat="1" applyBorder="1" applyAlignment="1" applyProtection="1">
      <alignment horizontal="right"/>
    </xf>
    <xf numFmtId="4" fontId="1" fillId="0" borderId="46" xfId="1" applyNumberFormat="1" applyBorder="1" applyAlignment="1" applyProtection="1">
      <alignment horizontal="right"/>
    </xf>
    <xf numFmtId="0" fontId="3" fillId="0" borderId="4" xfId="0" applyFont="1" applyBorder="1" applyAlignment="1">
      <alignment horizontal="center"/>
    </xf>
    <xf numFmtId="0" fontId="3" fillId="0" borderId="49" xfId="0" applyFont="1" applyBorder="1" applyAlignment="1">
      <alignment horizontal="center"/>
    </xf>
    <xf numFmtId="0" fontId="27" fillId="5" borderId="23" xfId="0" applyFont="1" applyFill="1" applyBorder="1" applyAlignment="1">
      <alignment horizontal="left"/>
    </xf>
    <xf numFmtId="0" fontId="27" fillId="5" borderId="16" xfId="0" applyFont="1" applyFill="1" applyBorder="1" applyAlignment="1">
      <alignment horizontal="left"/>
    </xf>
    <xf numFmtId="4" fontId="28" fillId="5" borderId="50" xfId="1" applyNumberFormat="1" applyFont="1" applyFill="1" applyBorder="1" applyAlignment="1">
      <alignment horizontal="center"/>
    </xf>
    <xf numFmtId="4" fontId="28" fillId="5" borderId="51" xfId="1" applyNumberFormat="1" applyFont="1" applyFill="1" applyBorder="1" applyAlignment="1">
      <alignment horizontal="center"/>
    </xf>
    <xf numFmtId="4" fontId="9" fillId="0" borderId="47" xfId="1" applyNumberFormat="1" applyFont="1" applyBorder="1" applyAlignment="1">
      <alignment horizontal="right"/>
    </xf>
    <xf numFmtId="4" fontId="9" fillId="0" borderId="45" xfId="1" applyNumberFormat="1" applyFont="1" applyBorder="1" applyAlignment="1">
      <alignment horizontal="right"/>
    </xf>
    <xf numFmtId="0" fontId="11" fillId="0" borderId="44" xfId="0" quotePrefix="1" applyFont="1" applyBorder="1" applyAlignment="1">
      <alignment horizontal="center"/>
    </xf>
    <xf numFmtId="0" fontId="11" fillId="0" borderId="49" xfId="0" quotePrefix="1" applyFont="1" applyBorder="1" applyAlignment="1">
      <alignment horizontal="center"/>
    </xf>
    <xf numFmtId="4" fontId="5" fillId="0" borderId="45" xfId="1" applyNumberFormat="1" applyFont="1" applyBorder="1" applyAlignment="1">
      <alignment horizontal="right"/>
    </xf>
    <xf numFmtId="4" fontId="5" fillId="0" borderId="46" xfId="1" applyNumberFormat="1" applyFont="1" applyBorder="1" applyAlignment="1">
      <alignment horizontal="right"/>
    </xf>
    <xf numFmtId="0" fontId="27" fillId="24" borderId="23" xfId="0" applyFont="1" applyFill="1" applyBorder="1" applyAlignment="1">
      <alignment horizontal="left"/>
    </xf>
    <xf numFmtId="0" fontId="27" fillId="24" borderId="16" xfId="0" applyFont="1" applyFill="1" applyBorder="1" applyAlignment="1">
      <alignment horizontal="left"/>
    </xf>
    <xf numFmtId="4" fontId="28" fillId="24" borderId="50" xfId="1" applyNumberFormat="1" applyFont="1" applyFill="1" applyBorder="1" applyAlignment="1">
      <alignment horizontal="center"/>
    </xf>
    <xf numFmtId="4" fontId="28" fillId="24" borderId="51" xfId="1" applyNumberFormat="1" applyFont="1" applyFill="1" applyBorder="1" applyAlignment="1">
      <alignment horizontal="center"/>
    </xf>
    <xf numFmtId="4" fontId="29" fillId="0" borderId="47" xfId="1" applyNumberFormat="1" applyFont="1" applyBorder="1" applyAlignment="1" applyProtection="1">
      <alignment horizontal="right"/>
      <protection locked="0"/>
    </xf>
    <xf numFmtId="4" fontId="29" fillId="0" borderId="45" xfId="1" applyNumberFormat="1" applyFont="1" applyBorder="1" applyAlignment="1" applyProtection="1">
      <alignment horizontal="right"/>
      <protection locked="0"/>
    </xf>
    <xf numFmtId="4" fontId="5" fillId="0" borderId="45" xfId="1" applyNumberFormat="1" applyFont="1" applyBorder="1" applyAlignment="1" applyProtection="1">
      <alignment horizontal="right"/>
    </xf>
    <xf numFmtId="4" fontId="5" fillId="0" borderId="46" xfId="1" applyNumberFormat="1" applyFont="1" applyBorder="1" applyAlignment="1" applyProtection="1">
      <alignment horizontal="right"/>
    </xf>
    <xf numFmtId="0" fontId="9" fillId="0" borderId="20" xfId="0" applyFont="1" applyBorder="1" applyAlignment="1">
      <alignment horizontal="center" vertical="center"/>
    </xf>
    <xf numFmtId="0" fontId="9" fillId="0" borderId="21" xfId="0" applyFont="1" applyBorder="1" applyAlignment="1">
      <alignment horizontal="center" vertical="center"/>
    </xf>
    <xf numFmtId="0" fontId="9" fillId="0" borderId="44" xfId="0" applyFont="1" applyBorder="1" applyAlignment="1">
      <alignment horizontal="center" vertical="center"/>
    </xf>
    <xf numFmtId="0" fontId="9" fillId="0" borderId="0" xfId="0" applyFont="1" applyAlignment="1">
      <alignment horizontal="center" vertical="center"/>
    </xf>
    <xf numFmtId="0" fontId="11" fillId="0" borderId="21" xfId="0" applyFont="1" applyBorder="1" applyAlignment="1">
      <alignment horizontal="center" vertical="center" textRotation="90"/>
    </xf>
    <xf numFmtId="0" fontId="11" fillId="0" borderId="0" xfId="0" applyFont="1" applyAlignment="1">
      <alignment horizontal="center" vertical="center" textRotation="90"/>
    </xf>
    <xf numFmtId="0" fontId="11" fillId="0" borderId="52" xfId="0" applyFont="1" applyBorder="1" applyAlignment="1">
      <alignment horizontal="center" vertical="center" textRotation="90"/>
    </xf>
    <xf numFmtId="0" fontId="11" fillId="0" borderId="22" xfId="0" applyFont="1" applyBorder="1" applyAlignment="1">
      <alignment horizontal="center" vertical="center" textRotation="90"/>
    </xf>
    <xf numFmtId="0" fontId="11" fillId="0" borderId="49" xfId="0" applyFont="1" applyBorder="1" applyAlignment="1">
      <alignment horizontal="center" vertical="center" textRotation="90"/>
    </xf>
    <xf numFmtId="0" fontId="11" fillId="0" borderId="53" xfId="0" applyFont="1" applyBorder="1" applyAlignment="1">
      <alignment horizontal="center" vertical="center" textRotation="90"/>
    </xf>
    <xf numFmtId="4" fontId="1" fillId="3" borderId="47" xfId="1" applyNumberFormat="1" applyFill="1" applyBorder="1" applyAlignment="1">
      <alignment horizontal="center"/>
    </xf>
    <xf numFmtId="4" fontId="1" fillId="3" borderId="45" xfId="1" applyNumberFormat="1" applyFill="1" applyBorder="1" applyAlignment="1">
      <alignment horizontal="center"/>
    </xf>
    <xf numFmtId="4" fontId="1" fillId="3" borderId="46" xfId="1" applyNumberFormat="1" applyFill="1" applyBorder="1" applyAlignment="1">
      <alignment horizontal="center"/>
    </xf>
    <xf numFmtId="0" fontId="3" fillId="0" borderId="23" xfId="0" quotePrefix="1" applyFont="1" applyBorder="1" applyAlignment="1">
      <alignment horizontal="center"/>
    </xf>
    <xf numFmtId="0" fontId="3" fillId="0" borderId="16" xfId="0" quotePrefix="1" applyFont="1" applyBorder="1" applyAlignment="1">
      <alignment horizontal="center"/>
    </xf>
    <xf numFmtId="0" fontId="3" fillId="0" borderId="24" xfId="0" quotePrefix="1" applyFont="1" applyBorder="1" applyAlignment="1">
      <alignment horizontal="center"/>
    </xf>
    <xf numFmtId="0" fontId="3" fillId="0" borderId="54" xfId="0" applyFont="1" applyBorder="1" applyAlignment="1">
      <alignment horizontal="left"/>
    </xf>
    <xf numFmtId="0" fontId="3" fillId="0" borderId="44" xfId="0" applyFont="1" applyBorder="1" applyAlignment="1">
      <alignment horizontal="center"/>
    </xf>
    <xf numFmtId="4" fontId="1" fillId="3" borderId="47" xfId="1" applyNumberFormat="1" applyFont="1" applyFill="1" applyBorder="1" applyAlignment="1">
      <alignment horizontal="center"/>
    </xf>
    <xf numFmtId="4" fontId="1" fillId="3" borderId="45" xfId="1" applyNumberFormat="1" applyFont="1" applyFill="1" applyBorder="1" applyAlignment="1">
      <alignment horizontal="center"/>
    </xf>
    <xf numFmtId="4" fontId="1" fillId="3" borderId="46" xfId="1" applyNumberFormat="1" applyFont="1" applyFill="1" applyBorder="1" applyAlignment="1">
      <alignment horizontal="center"/>
    </xf>
    <xf numFmtId="4" fontId="1" fillId="0" borderId="64" xfId="1" applyNumberFormat="1" applyBorder="1" applyAlignment="1">
      <alignment horizontal="right"/>
    </xf>
    <xf numFmtId="4" fontId="1" fillId="0" borderId="59" xfId="1" applyNumberFormat="1" applyBorder="1" applyAlignment="1">
      <alignment horizontal="right"/>
    </xf>
    <xf numFmtId="0" fontId="3" fillId="0" borderId="23" xfId="0" applyFont="1" applyBorder="1" applyAlignment="1">
      <alignment horizontal="center"/>
    </xf>
    <xf numFmtId="0" fontId="3" fillId="0" borderId="16" xfId="0" applyFont="1" applyBorder="1" applyAlignment="1">
      <alignment horizontal="center"/>
    </xf>
    <xf numFmtId="0" fontId="3" fillId="0" borderId="24" xfId="0" applyFont="1" applyBorder="1" applyAlignment="1">
      <alignment horizontal="center"/>
    </xf>
    <xf numFmtId="4" fontId="1" fillId="0" borderId="59" xfId="1" applyNumberFormat="1" applyFont="1" applyBorder="1" applyAlignment="1">
      <alignment horizontal="right"/>
    </xf>
    <xf numFmtId="4" fontId="1" fillId="0" borderId="63" xfId="1" applyNumberFormat="1" applyFont="1" applyBorder="1" applyAlignment="1">
      <alignment horizontal="right"/>
    </xf>
    <xf numFmtId="0" fontId="30" fillId="20" borderId="21" xfId="0" applyFont="1" applyFill="1" applyBorder="1" applyAlignment="1">
      <alignment horizontal="left" wrapText="1"/>
    </xf>
    <xf numFmtId="0" fontId="30" fillId="20" borderId="21" xfId="0" quotePrefix="1" applyFont="1" applyFill="1" applyBorder="1" applyAlignment="1">
      <alignment wrapText="1"/>
    </xf>
    <xf numFmtId="0" fontId="30" fillId="20" borderId="0" xfId="0" quotePrefix="1" applyFont="1" applyFill="1" applyAlignment="1">
      <alignment wrapText="1"/>
    </xf>
    <xf numFmtId="0" fontId="31" fillId="20" borderId="21" xfId="0" applyFont="1" applyFill="1" applyBorder="1" applyAlignment="1">
      <alignment horizontal="center" vertical="center"/>
    </xf>
    <xf numFmtId="0" fontId="31" fillId="20" borderId="0" xfId="0" applyFont="1" applyFill="1" applyAlignment="1">
      <alignment horizontal="center" vertical="center"/>
    </xf>
    <xf numFmtId="0" fontId="32" fillId="20" borderId="21" xfId="0" quotePrefix="1" applyFont="1" applyFill="1" applyBorder="1" applyAlignment="1">
      <alignment horizontal="center" vertical="center" wrapText="1"/>
    </xf>
    <xf numFmtId="0" fontId="32" fillId="20" borderId="0" xfId="0" quotePrefix="1" applyFont="1" applyFill="1" applyAlignment="1">
      <alignment horizontal="center" vertical="center" wrapText="1"/>
    </xf>
    <xf numFmtId="4" fontId="1" fillId="0" borderId="47" xfId="1" applyNumberFormat="1" applyFill="1" applyBorder="1" applyAlignment="1">
      <alignment horizontal="right"/>
    </xf>
    <xf numFmtId="4" fontId="1" fillId="0" borderId="45" xfId="1" applyNumberFormat="1" applyFill="1" applyBorder="1" applyAlignment="1">
      <alignment horizontal="right"/>
    </xf>
    <xf numFmtId="0" fontId="11" fillId="0" borderId="60" xfId="0" applyFont="1" applyBorder="1" applyAlignment="1">
      <alignment horizontal="center"/>
    </xf>
    <xf numFmtId="0" fontId="11" fillId="0" borderId="61" xfId="0" applyFont="1" applyBorder="1" applyAlignment="1">
      <alignment horizontal="center"/>
    </xf>
    <xf numFmtId="0" fontId="11" fillId="20" borderId="62" xfId="0" applyFont="1" applyFill="1" applyBorder="1" applyAlignment="1">
      <alignment horizontal="center"/>
    </xf>
    <xf numFmtId="0" fontId="11" fillId="20" borderId="60" xfId="0" applyFont="1" applyFill="1" applyBorder="1" applyAlignment="1">
      <alignment horizontal="center"/>
    </xf>
    <xf numFmtId="4" fontId="5" fillId="18" borderId="45" xfId="1" applyNumberFormat="1" applyFont="1" applyFill="1" applyBorder="1" applyAlignment="1">
      <alignment horizontal="right"/>
    </xf>
    <xf numFmtId="4" fontId="5" fillId="18" borderId="46" xfId="1" applyNumberFormat="1" applyFont="1" applyFill="1" applyBorder="1" applyAlignment="1">
      <alignment horizontal="right"/>
    </xf>
    <xf numFmtId="4" fontId="1" fillId="0" borderId="47" xfId="1" applyNumberFormat="1" applyFont="1" applyBorder="1" applyAlignment="1" applyProtection="1">
      <alignment horizontal="right"/>
      <protection locked="0"/>
    </xf>
    <xf numFmtId="4" fontId="1" fillId="0" borderId="45" xfId="1" applyNumberFormat="1" applyBorder="1" applyAlignment="1" applyProtection="1">
      <alignment horizontal="right"/>
      <protection locked="0"/>
    </xf>
    <xf numFmtId="0" fontId="11" fillId="0" borderId="20" xfId="0" applyFont="1" applyBorder="1" applyAlignment="1">
      <alignment horizontal="center"/>
    </xf>
    <xf numFmtId="0" fontId="11" fillId="0" borderId="21" xfId="0" applyFont="1" applyBorder="1" applyAlignment="1">
      <alignment horizontal="center"/>
    </xf>
    <xf numFmtId="0" fontId="11" fillId="0" borderId="22" xfId="0" applyFont="1" applyBorder="1" applyAlignment="1">
      <alignment horizontal="center"/>
    </xf>
    <xf numFmtId="4" fontId="1" fillId="0" borderId="45" xfId="1" applyNumberFormat="1" applyFont="1" applyBorder="1" applyAlignment="1" applyProtection="1">
      <alignment horizontal="right"/>
      <protection locked="0"/>
    </xf>
    <xf numFmtId="4" fontId="1" fillId="0" borderId="46" xfId="1" applyNumberFormat="1" applyFont="1" applyBorder="1" applyAlignment="1" applyProtection="1">
      <alignment horizontal="right"/>
      <protection locked="0"/>
    </xf>
    <xf numFmtId="0" fontId="3" fillId="0" borderId="1"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7" xfId="0" applyFont="1" applyBorder="1" applyAlignment="1">
      <alignment horizontal="center" vertical="center"/>
    </xf>
    <xf numFmtId="0" fontId="3" fillId="0" borderId="8" xfId="0" applyFont="1" applyBorder="1" applyAlignment="1">
      <alignment horizontal="center" vertical="center"/>
    </xf>
    <xf numFmtId="0" fontId="3" fillId="0" borderId="9" xfId="0" applyFont="1" applyBorder="1" applyAlignment="1">
      <alignment horizontal="center" vertical="center"/>
    </xf>
    <xf numFmtId="0" fontId="3" fillId="0" borderId="1" xfId="0" applyFont="1" applyBorder="1" applyAlignment="1">
      <alignment horizontal="center"/>
    </xf>
    <xf numFmtId="0" fontId="3" fillId="0" borderId="3" xfId="0" applyFont="1" applyBorder="1" applyAlignment="1">
      <alignment horizontal="center"/>
    </xf>
    <xf numFmtId="169" fontId="10" fillId="0" borderId="7" xfId="1" applyFont="1" applyBorder="1" applyAlignment="1" applyProtection="1">
      <alignment horizontal="right"/>
    </xf>
    <xf numFmtId="169" fontId="10" fillId="0" borderId="8" xfId="1" applyFont="1" applyBorder="1" applyAlignment="1" applyProtection="1">
      <alignment horizontal="right"/>
    </xf>
    <xf numFmtId="0" fontId="3" fillId="0" borderId="5" xfId="0" applyFont="1" applyBorder="1" applyAlignment="1">
      <alignment horizontal="center"/>
    </xf>
    <xf numFmtId="169" fontId="1" fillId="0" borderId="10" xfId="1" applyFont="1" applyBorder="1" applyAlignment="1" applyProtection="1">
      <alignment horizontal="right"/>
    </xf>
    <xf numFmtId="169" fontId="0" fillId="0" borderId="11" xfId="1" applyFont="1" applyBorder="1" applyAlignment="1" applyProtection="1">
      <alignment horizontal="right"/>
    </xf>
    <xf numFmtId="0" fontId="8" fillId="0" borderId="5" xfId="0" applyFont="1" applyBorder="1" applyAlignment="1">
      <alignment horizontal="right"/>
    </xf>
    <xf numFmtId="0" fontId="3" fillId="0" borderId="7" xfId="0" applyFont="1" applyBorder="1" applyAlignment="1">
      <alignment horizontal="center"/>
    </xf>
    <xf numFmtId="0" fontId="3" fillId="0" borderId="8" xfId="0" applyFont="1" applyBorder="1" applyAlignment="1">
      <alignment horizontal="center"/>
    </xf>
    <xf numFmtId="0" fontId="3" fillId="0" borderId="9" xfId="0" applyFont="1" applyBorder="1" applyAlignment="1">
      <alignment horizontal="center"/>
    </xf>
    <xf numFmtId="0" fontId="3" fillId="0" borderId="4" xfId="0" quotePrefix="1" applyFont="1" applyBorder="1" applyAlignment="1">
      <alignment horizontal="center"/>
    </xf>
    <xf numFmtId="0" fontId="3" fillId="0" borderId="5" xfId="0" quotePrefix="1" applyFont="1" applyBorder="1" applyAlignment="1">
      <alignment horizontal="center"/>
    </xf>
    <xf numFmtId="0" fontId="3" fillId="2" borderId="8" xfId="0" applyFont="1" applyFill="1" applyBorder="1" applyAlignment="1">
      <alignment horizontal="center"/>
    </xf>
    <xf numFmtId="0" fontId="8" fillId="0" borderId="14" xfId="0" applyFont="1" applyBorder="1" applyAlignment="1">
      <alignment horizontal="center"/>
    </xf>
    <xf numFmtId="0" fontId="8" fillId="0" borderId="15" xfId="0" applyFont="1" applyBorder="1" applyAlignment="1">
      <alignment horizontal="center"/>
    </xf>
    <xf numFmtId="0" fontId="8" fillId="0" borderId="1" xfId="0" quotePrefix="1" applyFont="1" applyBorder="1" applyAlignment="1">
      <alignment horizontal="left"/>
    </xf>
    <xf numFmtId="0" fontId="3" fillId="0" borderId="14" xfId="0" applyFont="1" applyBorder="1" applyAlignment="1">
      <alignment horizontal="center"/>
    </xf>
    <xf numFmtId="0" fontId="3" fillId="0" borderId="15" xfId="0" applyFont="1" applyBorder="1" applyAlignment="1">
      <alignment horizontal="center"/>
    </xf>
    <xf numFmtId="0" fontId="3" fillId="2" borderId="0" xfId="0" applyFont="1" applyFill="1" applyAlignment="1">
      <alignment horizontal="left"/>
    </xf>
    <xf numFmtId="0" fontId="3" fillId="2" borderId="8" xfId="0" applyFont="1" applyFill="1" applyBorder="1" applyAlignment="1">
      <alignment horizontal="left"/>
    </xf>
    <xf numFmtId="20" fontId="10" fillId="2" borderId="8" xfId="0" applyNumberFormat="1" applyFont="1" applyFill="1" applyBorder="1" applyAlignment="1">
      <alignment horizontal="left"/>
    </xf>
    <xf numFmtId="0" fontId="10" fillId="2" borderId="8" xfId="0" applyFont="1" applyFill="1" applyBorder="1" applyAlignment="1">
      <alignment horizontal="left"/>
    </xf>
    <xf numFmtId="14" fontId="10" fillId="2" borderId="8" xfId="0" quotePrefix="1" applyNumberFormat="1" applyFont="1" applyFill="1" applyBorder="1" applyAlignment="1">
      <alignment horizontal="left"/>
    </xf>
    <xf numFmtId="170" fontId="8" fillId="2" borderId="8" xfId="0" applyNumberFormat="1" applyFont="1" applyFill="1" applyBorder="1" applyAlignment="1">
      <alignment horizontal="center"/>
    </xf>
    <xf numFmtId="0" fontId="3" fillId="0" borderId="8" xfId="0" quotePrefix="1" applyFont="1" applyBorder="1" applyAlignment="1">
      <alignment horizontal="left"/>
    </xf>
    <xf numFmtId="0" fontId="3" fillId="0" borderId="9" xfId="0" quotePrefix="1" applyFont="1" applyBorder="1" applyAlignment="1">
      <alignment horizontal="left"/>
    </xf>
    <xf numFmtId="0" fontId="3" fillId="0" borderId="2" xfId="0" quotePrefix="1" applyFont="1" applyBorder="1" applyAlignment="1">
      <alignment horizontal="center"/>
    </xf>
    <xf numFmtId="0" fontId="8" fillId="0" borderId="1" xfId="0" quotePrefix="1" applyFont="1" applyBorder="1" applyAlignment="1">
      <alignment horizontal="center" vertical="center"/>
    </xf>
    <xf numFmtId="0" fontId="8" fillId="0" borderId="2" xfId="0" quotePrefix="1" applyFont="1" applyBorder="1" applyAlignment="1">
      <alignment horizontal="center" vertical="center"/>
    </xf>
    <xf numFmtId="0" fontId="8" fillId="0" borderId="3" xfId="0" quotePrefix="1" applyFont="1" applyBorder="1" applyAlignment="1">
      <alignment horizontal="center" vertical="center"/>
    </xf>
    <xf numFmtId="0" fontId="8" fillId="0" borderId="4" xfId="0" applyFont="1" applyBorder="1" applyAlignment="1">
      <alignment horizontal="center" vertical="center"/>
    </xf>
    <xf numFmtId="0" fontId="8" fillId="0" borderId="0" xfId="0" quotePrefix="1" applyFont="1" applyAlignment="1">
      <alignment horizontal="center" vertical="center"/>
    </xf>
    <xf numFmtId="0" fontId="8" fillId="0" borderId="5" xfId="0" quotePrefix="1" applyFont="1" applyBorder="1" applyAlignment="1">
      <alignment horizontal="center" vertical="center"/>
    </xf>
    <xf numFmtId="0" fontId="8" fillId="0" borderId="4" xfId="0" quotePrefix="1" applyFont="1" applyBorder="1" applyAlignment="1">
      <alignment horizontal="center" vertical="center"/>
    </xf>
    <xf numFmtId="169" fontId="0" fillId="0" borderId="1" xfId="1" applyFont="1" applyBorder="1" applyAlignment="1" applyProtection="1">
      <alignment horizontal="center"/>
    </xf>
    <xf numFmtId="169" fontId="0" fillId="0" borderId="2" xfId="1" applyFont="1" applyBorder="1" applyAlignment="1" applyProtection="1">
      <alignment horizontal="center"/>
    </xf>
    <xf numFmtId="169" fontId="0" fillId="0" borderId="3" xfId="1" applyFont="1" applyBorder="1" applyAlignment="1" applyProtection="1">
      <alignment horizontal="center"/>
    </xf>
    <xf numFmtId="169" fontId="8" fillId="0" borderId="1" xfId="1" applyFont="1" applyBorder="1" applyAlignment="1" applyProtection="1">
      <alignment horizontal="right"/>
    </xf>
    <xf numFmtId="169" fontId="8" fillId="0" borderId="2" xfId="1" applyFont="1" applyBorder="1" applyAlignment="1" applyProtection="1">
      <alignment horizontal="right"/>
    </xf>
    <xf numFmtId="169" fontId="8" fillId="0" borderId="3" xfId="1" applyFont="1" applyBorder="1" applyAlignment="1" applyProtection="1">
      <alignment horizontal="right"/>
    </xf>
    <xf numFmtId="171" fontId="8" fillId="0" borderId="1" xfId="1" applyNumberFormat="1" applyFont="1" applyBorder="1" applyAlignment="1" applyProtection="1">
      <alignment horizontal="right"/>
    </xf>
    <xf numFmtId="171" fontId="8" fillId="0" borderId="2" xfId="1" applyNumberFormat="1" applyFont="1" applyBorder="1" applyAlignment="1" applyProtection="1">
      <alignment horizontal="right"/>
    </xf>
    <xf numFmtId="171" fontId="8" fillId="0" borderId="3" xfId="1" applyNumberFormat="1" applyFont="1" applyBorder="1" applyAlignment="1" applyProtection="1">
      <alignment horizontal="right"/>
    </xf>
    <xf numFmtId="0" fontId="3" fillId="0" borderId="8" xfId="0" applyFont="1" applyBorder="1" applyAlignment="1">
      <alignment horizontal="left"/>
    </xf>
    <xf numFmtId="0" fontId="3" fillId="0" borderId="9" xfId="0" applyFont="1" applyBorder="1" applyAlignment="1">
      <alignment horizontal="left"/>
    </xf>
    <xf numFmtId="0" fontId="8" fillId="0" borderId="7" xfId="0" quotePrefix="1" applyFont="1" applyBorder="1" applyAlignment="1">
      <alignment horizontal="center" vertical="center"/>
    </xf>
    <xf numFmtId="0" fontId="8" fillId="0" borderId="8" xfId="0" quotePrefix="1" applyFont="1" applyBorder="1" applyAlignment="1">
      <alignment horizontal="center" vertical="center"/>
    </xf>
    <xf numFmtId="0" fontId="8" fillId="0" borderId="9" xfId="0" quotePrefix="1" applyFont="1" applyBorder="1" applyAlignment="1">
      <alignment horizontal="center" vertical="center"/>
    </xf>
    <xf numFmtId="169" fontId="8" fillId="0" borderId="4" xfId="1" applyFont="1" applyBorder="1" applyAlignment="1" applyProtection="1">
      <alignment horizontal="right"/>
    </xf>
    <xf numFmtId="169" fontId="8" fillId="0" borderId="0" xfId="1" applyFont="1" applyBorder="1" applyAlignment="1" applyProtection="1">
      <alignment horizontal="right"/>
    </xf>
    <xf numFmtId="169" fontId="8" fillId="0" borderId="5" xfId="1" applyFont="1" applyBorder="1" applyAlignment="1" applyProtection="1">
      <alignment horizontal="right"/>
    </xf>
    <xf numFmtId="169" fontId="0" fillId="0" borderId="4" xfId="1" applyFont="1" applyBorder="1" applyAlignment="1" applyProtection="1">
      <alignment horizontal="center"/>
    </xf>
    <xf numFmtId="169" fontId="0" fillId="0" borderId="0" xfId="1" applyFont="1" applyBorder="1" applyAlignment="1" applyProtection="1">
      <alignment horizontal="center"/>
    </xf>
    <xf numFmtId="169" fontId="0" fillId="0" borderId="5" xfId="1" applyFont="1" applyBorder="1" applyAlignment="1" applyProtection="1">
      <alignment horizontal="center"/>
    </xf>
    <xf numFmtId="171" fontId="8" fillId="0" borderId="4" xfId="1" applyNumberFormat="1" applyFont="1" applyBorder="1" applyAlignment="1" applyProtection="1">
      <alignment horizontal="right"/>
    </xf>
    <xf numFmtId="171" fontId="8" fillId="0" borderId="0" xfId="1" applyNumberFormat="1" applyFont="1" applyBorder="1" applyAlignment="1" applyProtection="1">
      <alignment horizontal="right"/>
    </xf>
    <xf numFmtId="171" fontId="8" fillId="0" borderId="5" xfId="1" applyNumberFormat="1" applyFont="1" applyBorder="1" applyAlignment="1" applyProtection="1">
      <alignment horizontal="right"/>
    </xf>
    <xf numFmtId="169" fontId="0" fillId="0" borderId="7" xfId="1" applyFont="1" applyBorder="1" applyAlignment="1" applyProtection="1">
      <alignment horizontal="center"/>
    </xf>
    <xf numFmtId="169" fontId="0" fillId="0" borderId="8" xfId="1" applyFont="1" applyBorder="1" applyAlignment="1" applyProtection="1">
      <alignment horizontal="center"/>
    </xf>
    <xf numFmtId="169" fontId="0" fillId="0" borderId="9" xfId="1" applyFont="1" applyBorder="1" applyAlignment="1" applyProtection="1">
      <alignment horizontal="center"/>
    </xf>
    <xf numFmtId="169" fontId="8" fillId="0" borderId="7" xfId="1" applyFont="1" applyBorder="1" applyAlignment="1" applyProtection="1">
      <alignment horizontal="right"/>
    </xf>
    <xf numFmtId="169" fontId="8" fillId="0" borderId="8" xfId="1" applyFont="1" applyBorder="1" applyAlignment="1" applyProtection="1">
      <alignment horizontal="right"/>
    </xf>
    <xf numFmtId="169" fontId="8" fillId="0" borderId="9" xfId="1" applyFont="1" applyBorder="1" applyAlignment="1" applyProtection="1">
      <alignment horizontal="right"/>
    </xf>
    <xf numFmtId="171" fontId="8" fillId="0" borderId="7" xfId="1" applyNumberFormat="1" applyFont="1" applyBorder="1" applyAlignment="1" applyProtection="1">
      <alignment horizontal="right"/>
    </xf>
    <xf numFmtId="171" fontId="8" fillId="0" borderId="8" xfId="1" applyNumberFormat="1" applyFont="1" applyBorder="1" applyAlignment="1" applyProtection="1">
      <alignment horizontal="right"/>
    </xf>
    <xf numFmtId="171" fontId="8" fillId="0" borderId="9" xfId="1" applyNumberFormat="1" applyFont="1" applyBorder="1" applyAlignment="1" applyProtection="1">
      <alignment horizontal="right"/>
    </xf>
    <xf numFmtId="169" fontId="6" fillId="0" borderId="11" xfId="1" applyFont="1" applyBorder="1" applyAlignment="1" applyProtection="1">
      <alignment horizontal="center"/>
    </xf>
    <xf numFmtId="169" fontId="6" fillId="0" borderId="12" xfId="1" applyFont="1" applyBorder="1" applyAlignment="1" applyProtection="1">
      <alignment horizontal="center"/>
    </xf>
    <xf numFmtId="0" fontId="12" fillId="0" borderId="2" xfId="0" applyFont="1" applyBorder="1" applyAlignment="1">
      <alignment horizontal="left" vertical="top" wrapText="1"/>
    </xf>
    <xf numFmtId="0" fontId="12" fillId="0" borderId="3" xfId="0" applyFont="1" applyBorder="1" applyAlignment="1">
      <alignment horizontal="left" vertical="top" wrapText="1"/>
    </xf>
    <xf numFmtId="0" fontId="12" fillId="0" borderId="8" xfId="0" applyFont="1" applyBorder="1" applyAlignment="1">
      <alignment horizontal="left" vertical="top" wrapText="1"/>
    </xf>
    <xf numFmtId="0" fontId="12" fillId="0" borderId="9" xfId="0" applyFont="1" applyBorder="1" applyAlignment="1">
      <alignment horizontal="left" vertical="top" wrapText="1"/>
    </xf>
    <xf numFmtId="169" fontId="1" fillId="0" borderId="1" xfId="1" applyBorder="1" applyAlignment="1" applyProtection="1">
      <alignment horizontal="center"/>
    </xf>
    <xf numFmtId="169" fontId="1" fillId="0" borderId="2" xfId="1" applyBorder="1" applyAlignment="1" applyProtection="1">
      <alignment horizontal="center"/>
    </xf>
    <xf numFmtId="169" fontId="1" fillId="0" borderId="3" xfId="1" applyBorder="1" applyAlignment="1" applyProtection="1">
      <alignment horizontal="center"/>
    </xf>
    <xf numFmtId="169" fontId="1" fillId="0" borderId="4" xfId="1" applyBorder="1" applyAlignment="1" applyProtection="1">
      <alignment horizontal="center"/>
    </xf>
    <xf numFmtId="169" fontId="1" fillId="0" borderId="0" xfId="1" applyBorder="1" applyAlignment="1" applyProtection="1">
      <alignment horizontal="center"/>
    </xf>
    <xf numFmtId="169" fontId="1" fillId="0" borderId="5" xfId="1" applyBorder="1" applyAlignment="1" applyProtection="1">
      <alignment horizontal="center"/>
    </xf>
    <xf numFmtId="0" fontId="19" fillId="0" borderId="0" xfId="0" applyFont="1" applyAlignment="1">
      <alignment horizontal="left"/>
    </xf>
    <xf numFmtId="0" fontId="19" fillId="0" borderId="5" xfId="0" applyFont="1" applyBorder="1" applyAlignment="1">
      <alignment horizontal="left"/>
    </xf>
    <xf numFmtId="169" fontId="1" fillId="0" borderId="7" xfId="1" applyBorder="1" applyAlignment="1" applyProtection="1">
      <alignment horizontal="center"/>
    </xf>
    <xf numFmtId="169" fontId="1" fillId="0" borderId="8" xfId="1" applyBorder="1" applyAlignment="1" applyProtection="1">
      <alignment horizontal="center"/>
    </xf>
    <xf numFmtId="169" fontId="1" fillId="0" borderId="9" xfId="1" applyBorder="1" applyAlignment="1" applyProtection="1">
      <alignment horizontal="center"/>
    </xf>
    <xf numFmtId="0" fontId="8" fillId="0" borderId="10" xfId="0" applyFont="1" applyBorder="1" applyAlignment="1">
      <alignment horizontal="center" vertical="center"/>
    </xf>
    <xf numFmtId="0" fontId="8" fillId="0" borderId="11" xfId="0" applyFont="1" applyBorder="1" applyAlignment="1">
      <alignment horizontal="center" vertical="center"/>
    </xf>
    <xf numFmtId="0" fontId="8" fillId="0" borderId="12" xfId="0" applyFont="1" applyBorder="1" applyAlignment="1">
      <alignment horizontal="center" vertical="center"/>
    </xf>
    <xf numFmtId="169" fontId="8" fillId="0" borderId="4" xfId="1" applyFont="1" applyBorder="1" applyAlignment="1" applyProtection="1">
      <alignment horizontal="center"/>
    </xf>
    <xf numFmtId="169" fontId="8" fillId="0" borderId="0" xfId="1" applyFont="1" applyBorder="1" applyAlignment="1" applyProtection="1">
      <alignment horizontal="center"/>
    </xf>
    <xf numFmtId="169" fontId="8" fillId="0" borderId="5" xfId="1" applyFont="1" applyBorder="1" applyAlignment="1" applyProtection="1">
      <alignment horizontal="center"/>
    </xf>
    <xf numFmtId="0" fontId="0" fillId="0" borderId="8" xfId="0" applyBorder="1"/>
    <xf numFmtId="0" fontId="0" fillId="0" borderId="9" xfId="0" applyBorder="1"/>
    <xf numFmtId="169" fontId="8" fillId="0" borderId="1" xfId="1" applyFont="1" applyBorder="1" applyAlignment="1" applyProtection="1">
      <alignment horizontal="center"/>
    </xf>
    <xf numFmtId="169" fontId="8" fillId="0" borderId="2" xfId="1" applyFont="1" applyBorder="1" applyAlignment="1" applyProtection="1">
      <alignment horizontal="center"/>
    </xf>
    <xf numFmtId="169" fontId="8" fillId="0" borderId="3" xfId="1" applyFont="1" applyBorder="1" applyAlignment="1" applyProtection="1">
      <alignment horizontal="center"/>
    </xf>
    <xf numFmtId="0" fontId="3" fillId="0" borderId="1" xfId="0" applyFont="1" applyBorder="1" applyAlignment="1">
      <alignment horizontal="left"/>
    </xf>
    <xf numFmtId="2" fontId="0" fillId="0" borderId="1" xfId="0" applyNumberFormat="1" applyBorder="1" applyAlignment="1">
      <alignment horizontal="center"/>
    </xf>
    <xf numFmtId="2" fontId="0" fillId="0" borderId="2" xfId="0" applyNumberFormat="1" applyBorder="1" applyAlignment="1">
      <alignment horizontal="center"/>
    </xf>
    <xf numFmtId="2" fontId="0" fillId="0" borderId="3" xfId="0" applyNumberFormat="1" applyBorder="1" applyAlignment="1">
      <alignment horizontal="center"/>
    </xf>
    <xf numFmtId="2" fontId="0" fillId="0" borderId="4" xfId="0" applyNumberFormat="1" applyBorder="1" applyAlignment="1">
      <alignment horizontal="center"/>
    </xf>
    <xf numFmtId="2" fontId="0" fillId="0" borderId="0" xfId="0" applyNumberFormat="1" applyAlignment="1">
      <alignment horizontal="center"/>
    </xf>
    <xf numFmtId="2" fontId="0" fillId="0" borderId="5" xfId="0" applyNumberFormat="1" applyBorder="1" applyAlignment="1">
      <alignment horizontal="center"/>
    </xf>
    <xf numFmtId="18" fontId="3" fillId="0" borderId="4" xfId="0" quotePrefix="1" applyNumberFormat="1" applyFont="1" applyBorder="1" applyAlignment="1">
      <alignment horizontal="left"/>
    </xf>
    <xf numFmtId="18" fontId="3" fillId="0" borderId="0" xfId="0" quotePrefix="1" applyNumberFormat="1" applyFont="1" applyAlignment="1">
      <alignment horizontal="left"/>
    </xf>
    <xf numFmtId="18" fontId="3" fillId="0" borderId="5" xfId="0" quotePrefix="1" applyNumberFormat="1" applyFont="1" applyBorder="1" applyAlignment="1">
      <alignment horizontal="left"/>
    </xf>
    <xf numFmtId="0" fontId="8" fillId="0" borderId="10" xfId="0" applyFont="1" applyBorder="1" applyAlignment="1">
      <alignment horizontal="left"/>
    </xf>
    <xf numFmtId="0" fontId="8" fillId="0" borderId="12" xfId="0" applyFont="1" applyBorder="1" applyAlignment="1">
      <alignment horizontal="left"/>
    </xf>
    <xf numFmtId="0" fontId="3" fillId="0" borderId="10" xfId="0" applyFont="1" applyBorder="1" applyAlignment="1">
      <alignment horizontal="center"/>
    </xf>
    <xf numFmtId="0" fontId="0" fillId="0" borderId="10" xfId="0" applyBorder="1" applyAlignment="1">
      <alignment horizontal="center"/>
    </xf>
    <xf numFmtId="0" fontId="0" fillId="0" borderId="11" xfId="0" applyBorder="1" applyAlignment="1">
      <alignment horizontal="center"/>
    </xf>
    <xf numFmtId="0" fontId="0" fillId="0" borderId="12" xfId="0" applyBorder="1" applyAlignment="1">
      <alignment horizontal="center"/>
    </xf>
    <xf numFmtId="169" fontId="3" fillId="0" borderId="10" xfId="1" applyFont="1" applyBorder="1" applyAlignment="1" applyProtection="1">
      <alignment horizontal="center"/>
    </xf>
    <xf numFmtId="169" fontId="3" fillId="0" borderId="11" xfId="1" applyFont="1" applyBorder="1" applyAlignment="1" applyProtection="1">
      <alignment horizontal="center"/>
    </xf>
    <xf numFmtId="169" fontId="3" fillId="0" borderId="12" xfId="1" applyFont="1" applyBorder="1" applyAlignment="1" applyProtection="1">
      <alignment horizontal="center"/>
    </xf>
    <xf numFmtId="169" fontId="8" fillId="0" borderId="7" xfId="1" applyFont="1" applyBorder="1" applyAlignment="1" applyProtection="1">
      <alignment horizontal="center"/>
    </xf>
    <xf numFmtId="169" fontId="8" fillId="0" borderId="8" xfId="1" applyFont="1" applyBorder="1" applyAlignment="1" applyProtection="1">
      <alignment horizontal="center"/>
    </xf>
    <xf numFmtId="169" fontId="8" fillId="0" borderId="9" xfId="1" applyFont="1" applyBorder="1" applyAlignment="1" applyProtection="1">
      <alignment horizontal="center"/>
    </xf>
    <xf numFmtId="18" fontId="3" fillId="0" borderId="7" xfId="0" quotePrefix="1" applyNumberFormat="1" applyFont="1" applyBorder="1" applyAlignment="1">
      <alignment horizontal="left"/>
    </xf>
    <xf numFmtId="18" fontId="3" fillId="0" borderId="8" xfId="0" quotePrefix="1" applyNumberFormat="1" applyFont="1" applyBorder="1" applyAlignment="1">
      <alignment horizontal="left"/>
    </xf>
    <xf numFmtId="18" fontId="3" fillId="0" borderId="9" xfId="0" quotePrefix="1" applyNumberFormat="1" applyFont="1" applyBorder="1" applyAlignment="1">
      <alignment horizontal="left"/>
    </xf>
    <xf numFmtId="0" fontId="8" fillId="0" borderId="5" xfId="0" quotePrefix="1" applyFont="1" applyBorder="1" applyAlignment="1">
      <alignment horizontal="right"/>
    </xf>
    <xf numFmtId="169" fontId="3" fillId="0" borderId="10" xfId="1" applyFont="1" applyBorder="1" applyAlignment="1" applyProtection="1">
      <alignment horizontal="right"/>
    </xf>
    <xf numFmtId="169" fontId="3" fillId="0" borderId="11" xfId="1" applyFont="1" applyBorder="1" applyAlignment="1" applyProtection="1">
      <alignment horizontal="right"/>
    </xf>
    <xf numFmtId="0" fontId="48" fillId="0" borderId="0" xfId="4" applyFont="1" applyAlignment="1">
      <alignment horizontal="center"/>
    </xf>
    <xf numFmtId="170" fontId="51" fillId="0" borderId="60" xfId="4" applyNumberFormat="1" applyFont="1" applyBorder="1" applyAlignment="1">
      <alignment horizontal="center" vertical="center"/>
    </xf>
    <xf numFmtId="170" fontId="51" fillId="0" borderId="61" xfId="4" applyNumberFormat="1" applyFont="1" applyBorder="1" applyAlignment="1">
      <alignment horizontal="center" vertical="center"/>
    </xf>
    <xf numFmtId="1" fontId="53" fillId="0" borderId="60" xfId="4" applyNumberFormat="1" applyFont="1" applyBorder="1" applyAlignment="1">
      <alignment horizontal="center" vertical="center"/>
    </xf>
    <xf numFmtId="0" fontId="34" fillId="0" borderId="0" xfId="0" applyFont="1" applyAlignment="1">
      <alignment horizontal="center"/>
    </xf>
    <xf numFmtId="14" fontId="3" fillId="0" borderId="8" xfId="0" applyNumberFormat="1" applyFont="1" applyBorder="1" applyAlignment="1">
      <alignment horizontal="center"/>
    </xf>
    <xf numFmtId="20" fontId="3" fillId="0" borderId="8" xfId="0" applyNumberFormat="1" applyFont="1" applyBorder="1" applyAlignment="1">
      <alignment horizontal="center"/>
    </xf>
    <xf numFmtId="0" fontId="0" fillId="0" borderId="38" xfId="0" applyBorder="1" applyAlignment="1">
      <alignment horizontal="center" vertical="center"/>
    </xf>
    <xf numFmtId="0" fontId="0" fillId="0" borderId="21" xfId="0" applyBorder="1" applyAlignment="1">
      <alignment horizontal="center" vertical="center"/>
    </xf>
    <xf numFmtId="0" fontId="0" fillId="0" borderId="37" xfId="0"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0" fontId="0" fillId="0" borderId="9" xfId="0" applyBorder="1" applyAlignment="1">
      <alignment horizontal="center" vertical="center"/>
    </xf>
    <xf numFmtId="0" fontId="3" fillId="0" borderId="38" xfId="0" quotePrefix="1" applyFont="1" applyBorder="1" applyAlignment="1">
      <alignment horizontal="center" vertical="center"/>
    </xf>
    <xf numFmtId="0" fontId="3" fillId="0" borderId="21" xfId="0" applyFont="1" applyBorder="1" applyAlignment="1">
      <alignment horizontal="center" vertical="center"/>
    </xf>
    <xf numFmtId="0" fontId="3" fillId="0" borderId="37" xfId="0" applyFont="1" applyBorder="1" applyAlignment="1">
      <alignment horizontal="center" vertical="center"/>
    </xf>
    <xf numFmtId="0" fontId="0" fillId="0" borderId="22" xfId="0" applyBorder="1" applyAlignment="1">
      <alignment horizontal="center" vertical="center"/>
    </xf>
    <xf numFmtId="0" fontId="0" fillId="0" borderId="70" xfId="0" applyBorder="1" applyAlignment="1">
      <alignment horizontal="center" vertical="center"/>
    </xf>
    <xf numFmtId="0" fontId="36" fillId="16" borderId="30" xfId="0" applyFont="1" applyFill="1" applyBorder="1" applyAlignment="1">
      <alignment horizontal="center"/>
    </xf>
    <xf numFmtId="0" fontId="36" fillId="16" borderId="11" xfId="0" applyFont="1" applyFill="1" applyBorder="1" applyAlignment="1">
      <alignment horizontal="center"/>
    </xf>
    <xf numFmtId="0" fontId="36" fillId="16" borderId="31" xfId="0" applyFont="1" applyFill="1" applyBorder="1" applyAlignment="1">
      <alignment horizontal="center"/>
    </xf>
    <xf numFmtId="0" fontId="4" fillId="0" borderId="20" xfId="0" applyFont="1" applyBorder="1" applyAlignment="1">
      <alignment horizontal="center" vertical="center"/>
    </xf>
    <xf numFmtId="0" fontId="4" fillId="0" borderId="21" xfId="0" applyFont="1" applyBorder="1" applyAlignment="1">
      <alignment horizontal="center" vertical="center"/>
    </xf>
    <xf numFmtId="0" fontId="4" fillId="0" borderId="37" xfId="0" applyFont="1" applyBorder="1" applyAlignment="1">
      <alignment horizontal="center" vertical="center"/>
    </xf>
    <xf numFmtId="0" fontId="4" fillId="0" borderId="69" xfId="0" applyFont="1" applyBorder="1" applyAlignment="1">
      <alignment horizontal="center" vertical="center"/>
    </xf>
    <xf numFmtId="0" fontId="4" fillId="0" borderId="8" xfId="0" applyFont="1" applyBorder="1" applyAlignment="1">
      <alignment horizontal="center" vertical="center"/>
    </xf>
    <xf numFmtId="0" fontId="4" fillId="0" borderId="9" xfId="0" applyFont="1" applyBorder="1" applyAlignment="1">
      <alignment horizontal="center" vertical="center"/>
    </xf>
    <xf numFmtId="0" fontId="3" fillId="12" borderId="44" xfId="0" applyFont="1" applyFill="1" applyBorder="1" applyAlignment="1" applyProtection="1">
      <alignment horizontal="left"/>
      <protection locked="0"/>
    </xf>
    <xf numFmtId="0" fontId="3" fillId="12" borderId="0" xfId="0" applyFont="1" applyFill="1" applyAlignment="1" applyProtection="1">
      <alignment horizontal="left"/>
      <protection locked="0"/>
    </xf>
    <xf numFmtId="0" fontId="3" fillId="12" borderId="5" xfId="0" applyFont="1" applyFill="1" applyBorder="1" applyAlignment="1" applyProtection="1">
      <alignment horizontal="left"/>
      <protection locked="0"/>
    </xf>
    <xf numFmtId="169" fontId="3" fillId="12" borderId="4" xfId="1" applyFont="1" applyFill="1" applyBorder="1" applyAlignment="1" applyProtection="1">
      <alignment horizontal="center"/>
      <protection locked="0"/>
    </xf>
    <xf numFmtId="169" fontId="3" fillId="12" borderId="0" xfId="1" applyFont="1" applyFill="1" applyBorder="1" applyAlignment="1" applyProtection="1">
      <alignment horizontal="center"/>
      <protection locked="0"/>
    </xf>
    <xf numFmtId="169" fontId="3" fillId="12" borderId="5" xfId="1" applyFont="1" applyFill="1" applyBorder="1" applyAlignment="1" applyProtection="1">
      <alignment horizontal="center"/>
      <protection locked="0"/>
    </xf>
    <xf numFmtId="169" fontId="3" fillId="12" borderId="4" xfId="1" applyFont="1" applyFill="1" applyBorder="1" applyAlignment="1" applyProtection="1">
      <alignment horizontal="right"/>
      <protection locked="0"/>
    </xf>
    <xf numFmtId="169" fontId="3" fillId="12" borderId="0" xfId="1" applyFont="1" applyFill="1" applyBorder="1" applyAlignment="1" applyProtection="1">
      <alignment horizontal="right"/>
      <protection locked="0"/>
    </xf>
    <xf numFmtId="175" fontId="3" fillId="12" borderId="4" xfId="1" applyNumberFormat="1" applyFont="1" applyFill="1" applyBorder="1" applyAlignment="1" applyProtection="1">
      <alignment horizontal="right"/>
      <protection locked="0"/>
    </xf>
    <xf numFmtId="175" fontId="3" fillId="12" borderId="0" xfId="1" applyNumberFormat="1" applyFont="1" applyFill="1" applyBorder="1" applyAlignment="1" applyProtection="1">
      <alignment horizontal="right"/>
      <protection locked="0"/>
    </xf>
    <xf numFmtId="175" fontId="3" fillId="12" borderId="5" xfId="1" applyNumberFormat="1" applyFont="1" applyFill="1" applyBorder="1" applyAlignment="1" applyProtection="1">
      <alignment horizontal="right"/>
      <protection locked="0"/>
    </xf>
    <xf numFmtId="169" fontId="3" fillId="12" borderId="4" xfId="1" applyFont="1" applyFill="1" applyBorder="1" applyAlignment="1" applyProtection="1">
      <alignment horizontal="right"/>
    </xf>
    <xf numFmtId="169" fontId="3" fillId="12" borderId="0" xfId="1" applyFont="1" applyFill="1" applyBorder="1" applyAlignment="1" applyProtection="1">
      <alignment horizontal="right"/>
    </xf>
    <xf numFmtId="169" fontId="3" fillId="12" borderId="49" xfId="1" applyFont="1" applyFill="1" applyBorder="1" applyAlignment="1" applyProtection="1">
      <alignment horizontal="right"/>
    </xf>
    <xf numFmtId="0" fontId="3" fillId="12" borderId="44" xfId="0" applyFont="1" applyFill="1" applyBorder="1" applyAlignment="1">
      <alignment horizontal="left"/>
    </xf>
    <xf numFmtId="0" fontId="3" fillId="12" borderId="0" xfId="0" applyFont="1" applyFill="1" applyAlignment="1">
      <alignment horizontal="left"/>
    </xf>
    <xf numFmtId="0" fontId="3" fillId="12" borderId="5" xfId="0" applyFont="1" applyFill="1" applyBorder="1" applyAlignment="1">
      <alignment horizontal="left"/>
    </xf>
    <xf numFmtId="0" fontId="3" fillId="0" borderId="71" xfId="0" applyFont="1" applyBorder="1" applyAlignment="1" applyProtection="1">
      <alignment horizontal="left"/>
      <protection locked="0"/>
    </xf>
    <xf numFmtId="0" fontId="3" fillId="0" borderId="2" xfId="0" applyFont="1" applyBorder="1" applyAlignment="1" applyProtection="1">
      <alignment horizontal="left"/>
      <protection locked="0"/>
    </xf>
    <xf numFmtId="0" fontId="3" fillId="0" borderId="3" xfId="0" applyFont="1" applyBorder="1" applyAlignment="1" applyProtection="1">
      <alignment horizontal="left"/>
      <protection locked="0"/>
    </xf>
    <xf numFmtId="169" fontId="3" fillId="0" borderId="1" xfId="1" applyFont="1" applyBorder="1" applyAlignment="1" applyProtection="1">
      <alignment horizontal="center"/>
      <protection locked="0"/>
    </xf>
    <xf numFmtId="169" fontId="3" fillId="0" borderId="2" xfId="1" applyFont="1" applyBorder="1" applyAlignment="1" applyProtection="1">
      <alignment horizontal="center"/>
      <protection locked="0"/>
    </xf>
    <xf numFmtId="169" fontId="3" fillId="0" borderId="3" xfId="1" applyFont="1" applyBorder="1" applyAlignment="1" applyProtection="1">
      <alignment horizontal="center"/>
      <protection locked="0"/>
    </xf>
    <xf numFmtId="169" fontId="3" fillId="0" borderId="1" xfId="1" applyFont="1" applyBorder="1" applyAlignment="1" applyProtection="1">
      <alignment horizontal="right"/>
      <protection locked="0"/>
    </xf>
    <xf numFmtId="169" fontId="3" fillId="0" borderId="2" xfId="1" applyFont="1" applyBorder="1" applyAlignment="1" applyProtection="1">
      <alignment horizontal="right"/>
      <protection locked="0"/>
    </xf>
    <xf numFmtId="169" fontId="3" fillId="0" borderId="3" xfId="1" applyFont="1" applyBorder="1" applyAlignment="1" applyProtection="1">
      <alignment horizontal="right"/>
      <protection locked="0"/>
    </xf>
    <xf numFmtId="175" fontId="3" fillId="0" borderId="1" xfId="1" applyNumberFormat="1" applyFont="1" applyBorder="1" applyAlignment="1" applyProtection="1">
      <alignment horizontal="right"/>
      <protection locked="0"/>
    </xf>
    <xf numFmtId="175" fontId="3" fillId="0" borderId="2" xfId="1" applyNumberFormat="1" applyFont="1" applyBorder="1" applyAlignment="1" applyProtection="1">
      <alignment horizontal="right"/>
      <protection locked="0"/>
    </xf>
    <xf numFmtId="175" fontId="3" fillId="0" borderId="3" xfId="1" applyNumberFormat="1" applyFont="1" applyBorder="1" applyAlignment="1" applyProtection="1">
      <alignment horizontal="right"/>
      <protection locked="0"/>
    </xf>
    <xf numFmtId="169" fontId="3" fillId="0" borderId="1" xfId="1" applyFont="1" applyBorder="1" applyAlignment="1" applyProtection="1">
      <alignment horizontal="right"/>
    </xf>
    <xf numFmtId="169" fontId="3" fillId="0" borderId="2" xfId="1" applyFont="1" applyBorder="1" applyAlignment="1" applyProtection="1">
      <alignment horizontal="right"/>
    </xf>
    <xf numFmtId="169" fontId="3" fillId="0" borderId="72" xfId="1" applyFont="1" applyBorder="1" applyAlignment="1" applyProtection="1">
      <alignment horizontal="right"/>
    </xf>
    <xf numFmtId="169" fontId="3" fillId="0" borderId="1" xfId="1" applyFont="1" applyBorder="1" applyAlignment="1">
      <alignment horizontal="right"/>
    </xf>
    <xf numFmtId="169" fontId="3" fillId="0" borderId="2" xfId="1" applyFont="1" applyBorder="1" applyAlignment="1">
      <alignment horizontal="right"/>
    </xf>
    <xf numFmtId="169" fontId="3" fillId="0" borderId="72" xfId="1" applyFont="1" applyBorder="1" applyAlignment="1">
      <alignment horizontal="right"/>
    </xf>
    <xf numFmtId="169" fontId="3" fillId="0" borderId="4" xfId="1" applyFont="1" applyBorder="1" applyAlignment="1" applyProtection="1">
      <alignment horizontal="center"/>
      <protection locked="0"/>
    </xf>
    <xf numFmtId="169" fontId="3" fillId="0" borderId="0" xfId="1" applyFont="1" applyBorder="1" applyAlignment="1" applyProtection="1">
      <alignment horizontal="center"/>
      <protection locked="0"/>
    </xf>
    <xf numFmtId="169" fontId="3" fillId="0" borderId="5" xfId="1" applyFont="1" applyBorder="1" applyAlignment="1" applyProtection="1">
      <alignment horizontal="center"/>
      <protection locked="0"/>
    </xf>
    <xf numFmtId="169" fontId="3" fillId="0" borderId="4" xfId="1" applyFont="1" applyBorder="1" applyAlignment="1" applyProtection="1">
      <alignment horizontal="right"/>
      <protection locked="0"/>
    </xf>
    <xf numFmtId="169" fontId="3" fillId="0" borderId="0" xfId="1" applyFont="1" applyBorder="1" applyAlignment="1" applyProtection="1">
      <alignment horizontal="right"/>
      <protection locked="0"/>
    </xf>
    <xf numFmtId="169" fontId="3" fillId="0" borderId="5" xfId="1" applyFont="1" applyBorder="1" applyAlignment="1" applyProtection="1">
      <alignment horizontal="right"/>
      <protection locked="0"/>
    </xf>
    <xf numFmtId="169" fontId="3" fillId="0" borderId="4" xfId="1" applyFont="1" applyBorder="1" applyAlignment="1" applyProtection="1">
      <alignment horizontal="right"/>
    </xf>
    <xf numFmtId="169" fontId="3" fillId="0" borderId="0" xfId="1" applyFont="1" applyBorder="1" applyAlignment="1" applyProtection="1">
      <alignment horizontal="right"/>
    </xf>
    <xf numFmtId="169" fontId="3" fillId="0" borderId="49" xfId="1" applyFont="1" applyBorder="1" applyAlignment="1" applyProtection="1">
      <alignment horizontal="right"/>
    </xf>
    <xf numFmtId="169" fontId="3" fillId="12" borderId="4" xfId="1" applyFont="1" applyFill="1" applyBorder="1" applyAlignment="1">
      <alignment horizontal="right"/>
    </xf>
    <xf numFmtId="169" fontId="3" fillId="12" borderId="0" xfId="1" applyFont="1" applyFill="1" applyBorder="1" applyAlignment="1">
      <alignment horizontal="right"/>
    </xf>
    <xf numFmtId="169" fontId="3" fillId="12" borderId="49" xfId="1" applyFont="1" applyFill="1" applyBorder="1" applyAlignment="1">
      <alignment horizontal="right"/>
    </xf>
    <xf numFmtId="175" fontId="3" fillId="0" borderId="4" xfId="1" applyNumberFormat="1" applyFont="1" applyBorder="1" applyAlignment="1" applyProtection="1">
      <alignment horizontal="right"/>
      <protection locked="0"/>
    </xf>
    <xf numFmtId="175" fontId="3" fillId="0" borderId="0" xfId="1" applyNumberFormat="1" applyFont="1" applyBorder="1" applyAlignment="1" applyProtection="1">
      <alignment horizontal="right"/>
      <protection locked="0"/>
    </xf>
    <xf numFmtId="175" fontId="3" fillId="0" borderId="5" xfId="1" applyNumberFormat="1" applyFont="1" applyBorder="1" applyAlignment="1" applyProtection="1">
      <alignment horizontal="right"/>
      <protection locked="0"/>
    </xf>
    <xf numFmtId="169" fontId="3" fillId="0" borderId="4" xfId="1" applyFont="1" applyBorder="1" applyAlignment="1">
      <alignment horizontal="right"/>
    </xf>
    <xf numFmtId="169" fontId="3" fillId="0" borderId="0" xfId="1" applyFont="1" applyBorder="1" applyAlignment="1">
      <alignment horizontal="right"/>
    </xf>
    <xf numFmtId="169" fontId="3" fillId="0" borderId="49" xfId="1" applyFont="1" applyBorder="1" applyAlignment="1">
      <alignment horizontal="right"/>
    </xf>
    <xf numFmtId="0" fontId="3" fillId="0" borderId="71" xfId="0" applyFont="1" applyBorder="1" applyAlignment="1">
      <alignment horizontal="left"/>
    </xf>
    <xf numFmtId="169" fontId="3" fillId="12" borderId="5" xfId="1" applyFont="1" applyFill="1" applyBorder="1" applyAlignment="1" applyProtection="1">
      <alignment horizontal="right"/>
      <protection locked="0"/>
    </xf>
    <xf numFmtId="0" fontId="3" fillId="0" borderId="44" xfId="0" applyFont="1" applyBorder="1" applyAlignment="1" applyProtection="1">
      <alignment horizontal="left"/>
      <protection locked="0"/>
    </xf>
    <xf numFmtId="0" fontId="3" fillId="0" borderId="0" xfId="0" applyFont="1" applyAlignment="1" applyProtection="1">
      <alignment horizontal="left"/>
      <protection locked="0"/>
    </xf>
    <xf numFmtId="0" fontId="3" fillId="0" borderId="5" xfId="0" applyFont="1" applyBorder="1" applyAlignment="1" applyProtection="1">
      <alignment horizontal="left"/>
      <protection locked="0"/>
    </xf>
    <xf numFmtId="171" fontId="3" fillId="12" borderId="4" xfId="1" applyNumberFormat="1" applyFont="1" applyFill="1" applyBorder="1" applyAlignment="1" applyProtection="1">
      <alignment horizontal="right"/>
      <protection locked="0"/>
    </xf>
    <xf numFmtId="171" fontId="3" fillId="12" borderId="0" xfId="1" applyNumberFormat="1" applyFont="1" applyFill="1" applyBorder="1" applyAlignment="1" applyProtection="1">
      <alignment horizontal="right"/>
      <protection locked="0"/>
    </xf>
    <xf numFmtId="171" fontId="3" fillId="12" borderId="5" xfId="1" applyNumberFormat="1" applyFont="1" applyFill="1" applyBorder="1" applyAlignment="1" applyProtection="1">
      <alignment horizontal="right"/>
      <protection locked="0"/>
    </xf>
    <xf numFmtId="169" fontId="3" fillId="12" borderId="4" xfId="1" applyFont="1" applyFill="1" applyBorder="1" applyAlignment="1" applyProtection="1">
      <alignment horizontal="center"/>
    </xf>
    <xf numFmtId="169" fontId="3" fillId="12" borderId="0" xfId="1" applyFont="1" applyFill="1" applyBorder="1" applyAlignment="1" applyProtection="1">
      <alignment horizontal="center"/>
    </xf>
    <xf numFmtId="169" fontId="3" fillId="12" borderId="5" xfId="1" applyFont="1" applyFill="1" applyBorder="1" applyAlignment="1" applyProtection="1">
      <alignment horizontal="center"/>
    </xf>
    <xf numFmtId="169" fontId="3" fillId="0" borderId="4" xfId="1" applyFont="1" applyBorder="1" applyAlignment="1" applyProtection="1">
      <alignment horizontal="center"/>
    </xf>
    <xf numFmtId="169" fontId="3" fillId="0" borderId="0" xfId="1" applyFont="1" applyBorder="1" applyAlignment="1" applyProtection="1">
      <alignment horizontal="center"/>
    </xf>
    <xf numFmtId="169" fontId="3" fillId="0" borderId="5" xfId="1" applyFont="1" applyBorder="1" applyAlignment="1" applyProtection="1">
      <alignment horizontal="center"/>
    </xf>
    <xf numFmtId="171" fontId="3" fillId="0" borderId="4" xfId="1" applyNumberFormat="1" applyFont="1" applyBorder="1" applyAlignment="1" applyProtection="1">
      <alignment horizontal="right"/>
      <protection locked="0"/>
    </xf>
    <xf numFmtId="171" fontId="3" fillId="0" borderId="0" xfId="1" applyNumberFormat="1" applyFont="1" applyBorder="1" applyAlignment="1" applyProtection="1">
      <alignment horizontal="right"/>
      <protection locked="0"/>
    </xf>
    <xf numFmtId="171" fontId="3" fillId="0" borderId="5" xfId="1" applyNumberFormat="1" applyFont="1" applyBorder="1" applyAlignment="1" applyProtection="1">
      <alignment horizontal="right"/>
      <protection locked="0"/>
    </xf>
    <xf numFmtId="0" fontId="3" fillId="0" borderId="69" xfId="0" applyFont="1" applyBorder="1" applyAlignment="1" applyProtection="1">
      <alignment horizontal="center"/>
      <protection locked="0"/>
    </xf>
    <xf numFmtId="0" fontId="3" fillId="0" borderId="8" xfId="0" applyFont="1" applyBorder="1" applyAlignment="1" applyProtection="1">
      <alignment horizontal="center"/>
      <protection locked="0"/>
    </xf>
    <xf numFmtId="0" fontId="3" fillId="0" borderId="9" xfId="0" applyFont="1" applyBorder="1" applyAlignment="1" applyProtection="1">
      <alignment horizontal="center"/>
      <protection locked="0"/>
    </xf>
    <xf numFmtId="169" fontId="3" fillId="0" borderId="7" xfId="1" applyFont="1" applyBorder="1" applyAlignment="1" applyProtection="1">
      <alignment horizontal="center"/>
      <protection locked="0"/>
    </xf>
    <xf numFmtId="169" fontId="3" fillId="0" borderId="8" xfId="1" applyFont="1" applyBorder="1" applyAlignment="1" applyProtection="1">
      <alignment horizontal="center"/>
      <protection locked="0"/>
    </xf>
    <xf numFmtId="169" fontId="3" fillId="0" borderId="9" xfId="1" applyFont="1" applyBorder="1" applyAlignment="1" applyProtection="1">
      <alignment horizontal="center"/>
      <protection locked="0"/>
    </xf>
    <xf numFmtId="169" fontId="3" fillId="0" borderId="7" xfId="1" applyFont="1" applyBorder="1" applyAlignment="1" applyProtection="1">
      <alignment horizontal="right"/>
      <protection locked="0"/>
    </xf>
    <xf numFmtId="169" fontId="3" fillId="0" borderId="8" xfId="1" applyFont="1" applyBorder="1" applyAlignment="1" applyProtection="1">
      <alignment horizontal="right"/>
      <protection locked="0"/>
    </xf>
    <xf numFmtId="169" fontId="3" fillId="0" borderId="9" xfId="1" applyFont="1" applyBorder="1" applyAlignment="1" applyProtection="1">
      <alignment horizontal="right"/>
      <protection locked="0"/>
    </xf>
    <xf numFmtId="171" fontId="3" fillId="0" borderId="7" xfId="1" applyNumberFormat="1" applyFont="1" applyBorder="1" applyAlignment="1" applyProtection="1">
      <alignment horizontal="right"/>
      <protection locked="0"/>
    </xf>
    <xf numFmtId="171" fontId="3" fillId="0" borderId="8" xfId="1" applyNumberFormat="1" applyFont="1" applyBorder="1" applyAlignment="1" applyProtection="1">
      <alignment horizontal="right"/>
      <protection locked="0"/>
    </xf>
    <xf numFmtId="171" fontId="3" fillId="0" borderId="9" xfId="1" applyNumberFormat="1" applyFont="1" applyBorder="1" applyAlignment="1" applyProtection="1">
      <alignment horizontal="right"/>
      <protection locked="0"/>
    </xf>
    <xf numFmtId="169" fontId="3" fillId="0" borderId="7" xfId="1" applyFont="1" applyBorder="1" applyAlignment="1" applyProtection="1">
      <alignment horizontal="right"/>
    </xf>
    <xf numFmtId="169" fontId="3" fillId="0" borderId="8" xfId="1" applyFont="1" applyBorder="1" applyAlignment="1" applyProtection="1">
      <alignment horizontal="right"/>
    </xf>
    <xf numFmtId="169" fontId="3" fillId="0" borderId="70" xfId="1" applyFont="1" applyBorder="1" applyAlignment="1" applyProtection="1">
      <alignment horizontal="right"/>
    </xf>
    <xf numFmtId="0" fontId="3" fillId="18" borderId="0" xfId="0" applyFont="1" applyFill="1" applyAlignment="1" applyProtection="1">
      <alignment horizontal="center"/>
      <protection locked="0"/>
    </xf>
    <xf numFmtId="0" fontId="8" fillId="0" borderId="33" xfId="0" applyFont="1" applyBorder="1" applyAlignment="1">
      <alignment horizontal="left"/>
    </xf>
    <xf numFmtId="169" fontId="37" fillId="0" borderId="33" xfId="1" applyFont="1" applyBorder="1" applyAlignment="1" applyProtection="1">
      <alignment horizontal="center"/>
    </xf>
    <xf numFmtId="169" fontId="37" fillId="0" borderId="34" xfId="1" applyFont="1" applyBorder="1" applyAlignment="1" applyProtection="1">
      <alignment horizontal="center"/>
    </xf>
    <xf numFmtId="169" fontId="37" fillId="0" borderId="33" xfId="1" applyFont="1" applyBorder="1" applyAlignment="1">
      <alignment horizontal="center"/>
    </xf>
    <xf numFmtId="169" fontId="37" fillId="0" borderId="34" xfId="1" applyFont="1" applyBorder="1" applyAlignment="1">
      <alignment horizontal="center"/>
    </xf>
    <xf numFmtId="0" fontId="3" fillId="18" borderId="0" xfId="0" applyFont="1" applyFill="1" applyAlignment="1" applyProtection="1">
      <alignment horizontal="left"/>
      <protection locked="0"/>
    </xf>
    <xf numFmtId="0" fontId="3" fillId="0" borderId="69" xfId="0" applyFont="1" applyBorder="1" applyAlignment="1">
      <alignment horizontal="center"/>
    </xf>
    <xf numFmtId="169" fontId="3" fillId="0" borderId="7" xfId="1" applyFont="1" applyBorder="1" applyAlignment="1" applyProtection="1">
      <alignment horizontal="center"/>
    </xf>
    <xf numFmtId="169" fontId="3" fillId="0" borderId="8" xfId="1" applyFont="1" applyBorder="1" applyAlignment="1" applyProtection="1">
      <alignment horizontal="center"/>
    </xf>
    <xf numFmtId="169" fontId="3" fillId="0" borderId="9" xfId="1" applyFont="1" applyBorder="1" applyAlignment="1" applyProtection="1">
      <alignment horizontal="center"/>
    </xf>
    <xf numFmtId="169" fontId="3" fillId="0" borderId="7" xfId="1" applyFont="1" applyBorder="1" applyAlignment="1">
      <alignment horizontal="right"/>
    </xf>
    <xf numFmtId="169" fontId="3" fillId="0" borderId="8" xfId="1" applyFont="1" applyBorder="1" applyAlignment="1">
      <alignment horizontal="right"/>
    </xf>
    <xf numFmtId="169" fontId="3" fillId="0" borderId="70" xfId="1" applyFont="1" applyBorder="1" applyAlignment="1">
      <alignment horizontal="right"/>
    </xf>
    <xf numFmtId="0" fontId="36" fillId="16" borderId="25" xfId="0" applyFont="1" applyFill="1" applyBorder="1" applyAlignment="1">
      <alignment horizontal="center"/>
    </xf>
    <xf numFmtId="0" fontId="36" fillId="16" borderId="26" xfId="0" applyFont="1" applyFill="1" applyBorder="1" applyAlignment="1">
      <alignment horizontal="center"/>
    </xf>
    <xf numFmtId="0" fontId="36" fillId="16" borderId="27" xfId="0" applyFont="1" applyFill="1" applyBorder="1" applyAlignment="1">
      <alignment horizontal="center"/>
    </xf>
    <xf numFmtId="175" fontId="3" fillId="18" borderId="1" xfId="1" applyNumberFormat="1" applyFont="1" applyFill="1" applyBorder="1" applyAlignment="1" applyProtection="1">
      <alignment horizontal="right"/>
      <protection locked="0"/>
    </xf>
    <xf numFmtId="175" fontId="3" fillId="18" borderId="2" xfId="1" applyNumberFormat="1" applyFont="1" applyFill="1" applyBorder="1" applyAlignment="1" applyProtection="1">
      <alignment horizontal="right"/>
      <protection locked="0"/>
    </xf>
    <xf numFmtId="175" fontId="3" fillId="18" borderId="3" xfId="1" applyNumberFormat="1" applyFont="1" applyFill="1" applyBorder="1" applyAlignment="1" applyProtection="1">
      <alignment horizontal="right"/>
      <protection locked="0"/>
    </xf>
    <xf numFmtId="169" fontId="3" fillId="0" borderId="72" xfId="1" applyFont="1" applyBorder="1" applyAlignment="1" applyProtection="1">
      <alignment horizontal="right"/>
      <protection locked="0"/>
    </xf>
    <xf numFmtId="169" fontId="3" fillId="12" borderId="49" xfId="1" applyFont="1" applyFill="1" applyBorder="1" applyAlignment="1" applyProtection="1">
      <alignment horizontal="right"/>
      <protection locked="0"/>
    </xf>
    <xf numFmtId="169" fontId="3" fillId="0" borderId="1" xfId="1" applyFont="1" applyBorder="1" applyAlignment="1" applyProtection="1">
      <alignment horizontal="center"/>
    </xf>
    <xf numFmtId="169" fontId="3" fillId="0" borderId="2" xfId="1" applyFont="1" applyBorder="1" applyAlignment="1" applyProtection="1">
      <alignment horizontal="center"/>
    </xf>
    <xf numFmtId="169" fontId="3" fillId="0" borderId="3" xfId="1" applyFont="1" applyBorder="1" applyAlignment="1" applyProtection="1">
      <alignment horizontal="center"/>
    </xf>
    <xf numFmtId="175" fontId="3" fillId="18" borderId="4" xfId="1" applyNumberFormat="1" applyFont="1" applyFill="1" applyBorder="1" applyAlignment="1" applyProtection="1">
      <alignment horizontal="right"/>
      <protection locked="0"/>
    </xf>
    <xf numFmtId="175" fontId="3" fillId="18" borderId="0" xfId="1" applyNumberFormat="1" applyFont="1" applyFill="1" applyBorder="1" applyAlignment="1" applyProtection="1">
      <alignment horizontal="right"/>
      <protection locked="0"/>
    </xf>
    <xf numFmtId="175" fontId="3" fillId="18" borderId="5" xfId="1" applyNumberFormat="1" applyFont="1" applyFill="1" applyBorder="1" applyAlignment="1" applyProtection="1">
      <alignment horizontal="right"/>
      <protection locked="0"/>
    </xf>
    <xf numFmtId="169" fontId="3" fillId="0" borderId="49" xfId="1" applyFont="1" applyBorder="1" applyAlignment="1" applyProtection="1">
      <alignment horizontal="right"/>
      <protection locked="0"/>
    </xf>
    <xf numFmtId="169" fontId="3" fillId="0" borderId="7" xfId="1" applyFont="1" applyFill="1" applyBorder="1" applyAlignment="1" applyProtection="1">
      <alignment horizontal="center"/>
      <protection locked="0"/>
    </xf>
    <xf numFmtId="169" fontId="3" fillId="0" borderId="8" xfId="1" applyFont="1" applyFill="1" applyBorder="1" applyAlignment="1" applyProtection="1">
      <alignment horizontal="center"/>
      <protection locked="0"/>
    </xf>
    <xf numFmtId="169" fontId="3" fillId="0" borderId="9" xfId="1" applyFont="1" applyFill="1" applyBorder="1" applyAlignment="1" applyProtection="1">
      <alignment horizontal="center"/>
      <protection locked="0"/>
    </xf>
    <xf numFmtId="169" fontId="3" fillId="0" borderId="7" xfId="1" applyFont="1" applyFill="1" applyBorder="1" applyAlignment="1" applyProtection="1">
      <alignment horizontal="right"/>
      <protection locked="0"/>
    </xf>
    <xf numFmtId="169" fontId="3" fillId="0" borderId="8" xfId="1" applyFont="1" applyFill="1" applyBorder="1" applyAlignment="1" applyProtection="1">
      <alignment horizontal="right"/>
      <protection locked="0"/>
    </xf>
    <xf numFmtId="169" fontId="3" fillId="0" borderId="9" xfId="1" applyFont="1" applyFill="1" applyBorder="1" applyAlignment="1" applyProtection="1">
      <alignment horizontal="right"/>
      <protection locked="0"/>
    </xf>
    <xf numFmtId="175" fontId="3" fillId="18" borderId="7" xfId="1" applyNumberFormat="1" applyFont="1" applyFill="1" applyBorder="1" applyAlignment="1" applyProtection="1">
      <alignment horizontal="right"/>
      <protection locked="0"/>
    </xf>
    <xf numFmtId="175" fontId="3" fillId="18" borderId="8" xfId="1" applyNumberFormat="1" applyFont="1" applyFill="1" applyBorder="1" applyAlignment="1" applyProtection="1">
      <alignment horizontal="right"/>
      <protection locked="0"/>
    </xf>
    <xf numFmtId="175" fontId="3" fillId="18" borderId="9" xfId="1" applyNumberFormat="1" applyFont="1" applyFill="1" applyBorder="1" applyAlignment="1" applyProtection="1">
      <alignment horizontal="right"/>
      <protection locked="0"/>
    </xf>
    <xf numFmtId="169" fontId="3" fillId="0" borderId="70" xfId="1" applyFont="1" applyFill="1" applyBorder="1" applyAlignment="1" applyProtection="1">
      <alignment horizontal="right"/>
      <protection locked="0"/>
    </xf>
    <xf numFmtId="169" fontId="3" fillId="0" borderId="33" xfId="1" applyFont="1" applyBorder="1" applyAlignment="1">
      <alignment horizontal="center"/>
    </xf>
    <xf numFmtId="169" fontId="3" fillId="0" borderId="34" xfId="1" applyFont="1" applyBorder="1" applyAlignment="1">
      <alignment horizontal="center"/>
    </xf>
    <xf numFmtId="169" fontId="3" fillId="0" borderId="7" xfId="1" applyFont="1" applyFill="1" applyBorder="1" applyAlignment="1" applyProtection="1">
      <alignment horizontal="center"/>
    </xf>
    <xf numFmtId="169" fontId="3" fillId="0" borderId="8" xfId="1" applyFont="1" applyFill="1" applyBorder="1" applyAlignment="1" applyProtection="1">
      <alignment horizontal="center"/>
    </xf>
    <xf numFmtId="169" fontId="3" fillId="0" borderId="9" xfId="1" applyFont="1" applyFill="1" applyBorder="1" applyAlignment="1" applyProtection="1">
      <alignment horizontal="center"/>
    </xf>
    <xf numFmtId="10" fontId="9" fillId="0" borderId="0" xfId="0" applyNumberFormat="1" applyFont="1" applyAlignment="1">
      <alignment horizontal="right"/>
    </xf>
    <xf numFmtId="4" fontId="10" fillId="0" borderId="10" xfId="0" applyNumberFormat="1" applyFont="1" applyBorder="1" applyAlignment="1">
      <alignment horizontal="center"/>
    </xf>
    <xf numFmtId="4" fontId="10" fillId="0" borderId="11" xfId="0" applyNumberFormat="1" applyFont="1" applyBorder="1" applyAlignment="1">
      <alignment horizontal="center"/>
    </xf>
    <xf numFmtId="10" fontId="10" fillId="0" borderId="10" xfId="0" applyNumberFormat="1" applyFont="1" applyBorder="1" applyAlignment="1">
      <alignment horizontal="center"/>
    </xf>
    <xf numFmtId="10" fontId="10" fillId="0" borderId="11" xfId="0" applyNumberFormat="1" applyFont="1" applyBorder="1" applyAlignment="1">
      <alignment horizontal="center"/>
    </xf>
    <xf numFmtId="10" fontId="0" fillId="0" borderId="0" xfId="0" applyNumberFormat="1" applyAlignment="1" applyProtection="1">
      <alignment horizontal="center"/>
      <protection locked="0"/>
    </xf>
    <xf numFmtId="4" fontId="10" fillId="0" borderId="0" xfId="0" applyNumberFormat="1" applyFont="1" applyAlignment="1">
      <alignment horizontal="center"/>
    </xf>
    <xf numFmtId="0" fontId="10" fillId="0" borderId="0" xfId="0" applyFont="1" applyAlignment="1">
      <alignment horizontal="center"/>
    </xf>
    <xf numFmtId="10" fontId="10" fillId="0" borderId="0" xfId="0" applyNumberFormat="1" applyFont="1" applyAlignment="1">
      <alignment horizontal="center"/>
    </xf>
    <xf numFmtId="0" fontId="9" fillId="0" borderId="0" xfId="0" applyFont="1" applyAlignment="1">
      <alignment horizontal="center" vertical="top"/>
    </xf>
    <xf numFmtId="0" fontId="9" fillId="0" borderId="0" xfId="0" quotePrefix="1" applyFont="1" applyAlignment="1">
      <alignment horizontal="center" vertical="top"/>
    </xf>
    <xf numFmtId="0" fontId="5" fillId="0" borderId="0" xfId="0" applyFont="1" applyAlignment="1">
      <alignment horizontal="center" vertical="top"/>
    </xf>
    <xf numFmtId="0" fontId="9" fillId="0" borderId="0" xfId="0" applyFont="1" applyAlignment="1">
      <alignment horizontal="center"/>
    </xf>
    <xf numFmtId="0" fontId="5" fillId="0" borderId="62" xfId="0" applyFont="1" applyBorder="1" applyAlignment="1">
      <alignment horizontal="center" vertical="center"/>
    </xf>
    <xf numFmtId="0" fontId="9" fillId="0" borderId="60" xfId="0" applyFont="1" applyBorder="1" applyAlignment="1">
      <alignment horizontal="center" vertical="center"/>
    </xf>
    <xf numFmtId="0" fontId="9" fillId="0" borderId="61" xfId="0" applyFont="1" applyBorder="1" applyAlignment="1">
      <alignment horizontal="center" vertical="center"/>
    </xf>
    <xf numFmtId="4" fontId="10" fillId="0" borderId="29" xfId="0" applyNumberFormat="1" applyFont="1" applyBorder="1" applyAlignment="1" applyProtection="1">
      <alignment horizontal="center"/>
      <protection locked="0"/>
    </xf>
    <xf numFmtId="4" fontId="10" fillId="0" borderId="26" xfId="0" applyNumberFormat="1" applyFont="1" applyBorder="1" applyAlignment="1" applyProtection="1">
      <alignment horizontal="center"/>
      <protection locked="0"/>
    </xf>
    <xf numFmtId="4" fontId="0" fillId="0" borderId="0" xfId="0" applyNumberFormat="1" applyAlignment="1" applyProtection="1">
      <alignment horizontal="center"/>
      <protection locked="0"/>
    </xf>
    <xf numFmtId="4" fontId="0" fillId="0" borderId="10" xfId="0" applyNumberFormat="1" applyBorder="1" applyAlignment="1">
      <alignment horizontal="center"/>
    </xf>
    <xf numFmtId="4" fontId="0" fillId="0" borderId="11" xfId="0" applyNumberFormat="1" applyBorder="1" applyAlignment="1">
      <alignment horizontal="center"/>
    </xf>
    <xf numFmtId="49" fontId="5" fillId="0" borderId="60" xfId="0" applyNumberFormat="1" applyFont="1" applyBorder="1" applyAlignment="1">
      <alignment horizontal="left"/>
    </xf>
    <xf numFmtId="49" fontId="9" fillId="0" borderId="60" xfId="0" applyNumberFormat="1" applyFont="1" applyBorder="1" applyAlignment="1">
      <alignment horizontal="left"/>
    </xf>
    <xf numFmtId="0" fontId="44" fillId="0" borderId="0" xfId="0" applyFont="1" applyAlignment="1">
      <alignment horizontal="center"/>
    </xf>
    <xf numFmtId="0" fontId="9" fillId="0" borderId="16" xfId="0" applyFont="1" applyBorder="1" applyAlignment="1">
      <alignment horizontal="left"/>
    </xf>
    <xf numFmtId="176" fontId="9" fillId="0" borderId="60" xfId="0" applyNumberFormat="1" applyFont="1" applyBorder="1" applyAlignment="1">
      <alignment horizontal="left"/>
    </xf>
    <xf numFmtId="0" fontId="9" fillId="0" borderId="60" xfId="0" applyFont="1" applyBorder="1" applyAlignment="1">
      <alignment horizontal="left"/>
    </xf>
    <xf numFmtId="0" fontId="5" fillId="0" borderId="60" xfId="0" applyFont="1" applyBorder="1" applyAlignment="1">
      <alignment horizontal="left"/>
    </xf>
    <xf numFmtId="0" fontId="8" fillId="0" borderId="16" xfId="0" applyFont="1" applyBorder="1" applyAlignment="1">
      <alignment horizontal="center"/>
    </xf>
  </cellXfs>
  <cellStyles count="5">
    <cellStyle name="Hipervínculo" xfId="2" builtinId="8"/>
    <cellStyle name="Millares" xfId="1" builtinId="3"/>
    <cellStyle name="Moneda 2" xfId="3" xr:uid="{7FFF1796-C318-4065-9255-584037DE8A93}"/>
    <cellStyle name="Normal" xfId="0" builtinId="0"/>
    <cellStyle name="Normal 2" xfId="4" xr:uid="{E6A5877C-438D-4EF1-A306-9371752FF6BE}"/>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5.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4.xml"/><Relationship Id="rId2" Type="http://schemas.openxmlformats.org/officeDocument/2006/relationships/worksheet" Target="worksheets/sheet2.xml"/><Relationship Id="rId16" Type="http://schemas.openxmlformats.org/officeDocument/2006/relationships/externalLink" Target="externalLinks/externalLink3.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2.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 Id="rId22"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3.png"/></Relationships>
</file>

<file path=xl/drawings/_rels/drawing6.xml.rels><?xml version="1.0" encoding="UTF-8" standalone="yes"?>
<Relationships xmlns="http://schemas.openxmlformats.org/package/2006/relationships"><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1" Type="http://schemas.openxmlformats.org/officeDocument/2006/relationships/image" Target="../media/image3.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52</xdr:col>
      <xdr:colOff>9525</xdr:colOff>
      <xdr:row>35</xdr:row>
      <xdr:rowOff>28575</xdr:rowOff>
    </xdr:from>
    <xdr:to>
      <xdr:col>87</xdr:col>
      <xdr:colOff>76200</xdr:colOff>
      <xdr:row>37</xdr:row>
      <xdr:rowOff>104775</xdr:rowOff>
    </xdr:to>
    <xdr:pic>
      <xdr:nvPicPr>
        <xdr:cNvPr id="2" name="Picture 13">
          <a:extLst>
            <a:ext uri="{FF2B5EF4-FFF2-40B4-BE49-F238E27FC236}">
              <a16:creationId xmlns:a16="http://schemas.microsoft.com/office/drawing/2014/main" id="{8EFB9B57-CA49-4895-9432-AF554DDDCB8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429625" y="5543550"/>
          <a:ext cx="5734050" cy="400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51</xdr:col>
      <xdr:colOff>0</xdr:colOff>
      <xdr:row>28</xdr:row>
      <xdr:rowOff>85725</xdr:rowOff>
    </xdr:from>
    <xdr:to>
      <xdr:col>86</xdr:col>
      <xdr:colOff>76200</xdr:colOff>
      <xdr:row>30</xdr:row>
      <xdr:rowOff>161925</xdr:rowOff>
    </xdr:to>
    <xdr:pic>
      <xdr:nvPicPr>
        <xdr:cNvPr id="2" name="Picture 11">
          <a:extLst>
            <a:ext uri="{FF2B5EF4-FFF2-40B4-BE49-F238E27FC236}">
              <a16:creationId xmlns:a16="http://schemas.microsoft.com/office/drawing/2014/main" id="{9C1B6C7A-9C37-43E3-9DFD-8CF443B3941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258175" y="4619625"/>
          <a:ext cx="5743575" cy="400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16</xdr:col>
      <xdr:colOff>56712</xdr:colOff>
      <xdr:row>4</xdr:row>
      <xdr:rowOff>123716</xdr:rowOff>
    </xdr:to>
    <xdr:pic>
      <xdr:nvPicPr>
        <xdr:cNvPr id="3" name="Picture 118">
          <a:extLst>
            <a:ext uri="{FF2B5EF4-FFF2-40B4-BE49-F238E27FC236}">
              <a16:creationId xmlns:a16="http://schemas.microsoft.com/office/drawing/2014/main" id="{66B151CD-3780-413D-94F8-AFAF652F037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2596712" cy="75871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4</xdr:col>
      <xdr:colOff>57150</xdr:colOff>
      <xdr:row>6</xdr:row>
      <xdr:rowOff>95250</xdr:rowOff>
    </xdr:from>
    <xdr:to>
      <xdr:col>5</xdr:col>
      <xdr:colOff>95250</xdr:colOff>
      <xdr:row>10</xdr:row>
      <xdr:rowOff>28575</xdr:rowOff>
    </xdr:to>
    <xdr:grpSp>
      <xdr:nvGrpSpPr>
        <xdr:cNvPr id="2" name="Group 1">
          <a:extLst>
            <a:ext uri="{FF2B5EF4-FFF2-40B4-BE49-F238E27FC236}">
              <a16:creationId xmlns:a16="http://schemas.microsoft.com/office/drawing/2014/main" id="{C0DE5050-6E22-416E-A413-B224EAC62144}"/>
            </a:ext>
          </a:extLst>
        </xdr:cNvPr>
        <xdr:cNvGrpSpPr>
          <a:grpSpLocks/>
        </xdr:cNvGrpSpPr>
      </xdr:nvGrpSpPr>
      <xdr:grpSpPr bwMode="auto">
        <a:xfrm>
          <a:off x="717550" y="1111250"/>
          <a:ext cx="203200" cy="619125"/>
          <a:chOff x="553" y="231"/>
          <a:chExt cx="21" cy="63"/>
        </a:xfrm>
      </xdr:grpSpPr>
      <xdr:grpSp>
        <xdr:nvGrpSpPr>
          <xdr:cNvPr id="3" name="Group 2">
            <a:extLst>
              <a:ext uri="{FF2B5EF4-FFF2-40B4-BE49-F238E27FC236}">
                <a16:creationId xmlns:a16="http://schemas.microsoft.com/office/drawing/2014/main" id="{CF1C53F7-0127-A490-CEBE-4DDB3B2A2765}"/>
              </a:ext>
            </a:extLst>
          </xdr:cNvPr>
          <xdr:cNvGrpSpPr>
            <a:grpSpLocks/>
          </xdr:cNvGrpSpPr>
        </xdr:nvGrpSpPr>
        <xdr:grpSpPr bwMode="auto">
          <a:xfrm>
            <a:off x="553" y="231"/>
            <a:ext cx="21" cy="56"/>
            <a:chOff x="-41" y="-228617"/>
            <a:chExt cx="40" cy="20091"/>
          </a:xfrm>
        </xdr:grpSpPr>
        <xdr:sp macro="" textlink="">
          <xdr:nvSpPr>
            <xdr:cNvPr id="12" name="Line 3">
              <a:extLst>
                <a:ext uri="{FF2B5EF4-FFF2-40B4-BE49-F238E27FC236}">
                  <a16:creationId xmlns:a16="http://schemas.microsoft.com/office/drawing/2014/main" id="{2DE95F6E-DA45-BBDB-B659-E2089DF252C3}"/>
                </a:ext>
              </a:extLst>
            </xdr:cNvPr>
            <xdr:cNvSpPr>
              <a:spLocks noChangeShapeType="1"/>
            </xdr:cNvSpPr>
          </xdr:nvSpPr>
          <xdr:spPr bwMode="auto">
            <a:xfrm>
              <a:off x="-41" y="-216740"/>
              <a:ext cx="0" cy="8214"/>
            </a:xfrm>
            <a:prstGeom prst="line">
              <a:avLst/>
            </a:prstGeom>
            <a:noFill/>
            <a:ln w="1">
              <a:solidFill>
                <a:srgbClr val="FFFFFF"/>
              </a:solidFill>
              <a:round/>
              <a:headEnd/>
              <a:tailEnd/>
            </a:ln>
            <a:extLst>
              <a:ext uri="{909E8E84-426E-40DD-AFC4-6F175D3DCCD1}">
                <a14:hiddenFill xmlns:a14="http://schemas.microsoft.com/office/drawing/2010/main">
                  <a:noFill/>
                </a14:hiddenFill>
              </a:ext>
            </a:extLst>
          </xdr:spPr>
        </xdr:sp>
        <xdr:sp macro="" textlink="">
          <xdr:nvSpPr>
            <xdr:cNvPr id="13" name="Line 4">
              <a:extLst>
                <a:ext uri="{FF2B5EF4-FFF2-40B4-BE49-F238E27FC236}">
                  <a16:creationId xmlns:a16="http://schemas.microsoft.com/office/drawing/2014/main" id="{C903C0DE-7E90-D8E1-F847-8F0DCEF16C5D}"/>
                </a:ext>
              </a:extLst>
            </xdr:cNvPr>
            <xdr:cNvSpPr>
              <a:spLocks noChangeShapeType="1"/>
            </xdr:cNvSpPr>
          </xdr:nvSpPr>
          <xdr:spPr bwMode="auto">
            <a:xfrm>
              <a:off x="-1" y="-216740"/>
              <a:ext cx="0" cy="8214"/>
            </a:xfrm>
            <a:prstGeom prst="line">
              <a:avLst/>
            </a:prstGeom>
            <a:noFill/>
            <a:ln w="1">
              <a:solidFill>
                <a:srgbClr val="FFFFFF"/>
              </a:solidFill>
              <a:round/>
              <a:headEnd/>
              <a:tailEnd/>
            </a:ln>
            <a:extLst>
              <a:ext uri="{909E8E84-426E-40DD-AFC4-6F175D3DCCD1}">
                <a14:hiddenFill xmlns:a14="http://schemas.microsoft.com/office/drawing/2010/main">
                  <a:noFill/>
                </a14:hiddenFill>
              </a:ext>
            </a:extLst>
          </xdr:spPr>
        </xdr:sp>
        <xdr:sp macro="" textlink="">
          <xdr:nvSpPr>
            <xdr:cNvPr id="14" name="Line 5">
              <a:extLst>
                <a:ext uri="{FF2B5EF4-FFF2-40B4-BE49-F238E27FC236}">
                  <a16:creationId xmlns:a16="http://schemas.microsoft.com/office/drawing/2014/main" id="{23B45689-7770-A1EB-3E8D-AC53FBF7D964}"/>
                </a:ext>
              </a:extLst>
            </xdr:cNvPr>
            <xdr:cNvSpPr>
              <a:spLocks noChangeShapeType="1"/>
            </xdr:cNvSpPr>
          </xdr:nvSpPr>
          <xdr:spPr bwMode="auto">
            <a:xfrm>
              <a:off x="-41" y="-208526"/>
              <a:ext cx="40" cy="0"/>
            </a:xfrm>
            <a:prstGeom prst="line">
              <a:avLst/>
            </a:prstGeom>
            <a:noFill/>
            <a:ln w="1">
              <a:solidFill>
                <a:srgbClr val="FFFFFF"/>
              </a:solidFill>
              <a:round/>
              <a:headEnd/>
              <a:tailEnd/>
            </a:ln>
            <a:extLst>
              <a:ext uri="{909E8E84-426E-40DD-AFC4-6F175D3DCCD1}">
                <a14:hiddenFill xmlns:a14="http://schemas.microsoft.com/office/drawing/2010/main">
                  <a:noFill/>
                </a14:hiddenFill>
              </a:ext>
            </a:extLst>
          </xdr:spPr>
        </xdr:sp>
        <xdr:sp macro="" textlink="">
          <xdr:nvSpPr>
            <xdr:cNvPr id="15" name="Rectangle 6">
              <a:extLst>
                <a:ext uri="{FF2B5EF4-FFF2-40B4-BE49-F238E27FC236}">
                  <a16:creationId xmlns:a16="http://schemas.microsoft.com/office/drawing/2014/main" id="{3BC2BAA1-0AD8-489F-506B-23BFC463B6C7}"/>
                </a:ext>
              </a:extLst>
            </xdr:cNvPr>
            <xdr:cNvSpPr>
              <a:spLocks noChangeArrowheads="1"/>
            </xdr:cNvSpPr>
          </xdr:nvSpPr>
          <xdr:spPr bwMode="auto">
            <a:xfrm>
              <a:off x="-41" y="-219737"/>
              <a:ext cx="40" cy="11211"/>
            </a:xfrm>
            <a:prstGeom prst="rect">
              <a:avLst/>
            </a:prstGeom>
            <a:solidFill>
              <a:srgbClr val="FFFFFF"/>
            </a:solidFill>
            <a:ln w="1">
              <a:solidFill>
                <a:srgbClr val="FFFFFF"/>
              </a:solidFill>
              <a:miter lim="800000"/>
              <a:headEnd/>
              <a:tailEnd/>
            </a:ln>
          </xdr:spPr>
        </xdr:sp>
        <xdr:sp macro="" textlink="">
          <xdr:nvSpPr>
            <xdr:cNvPr id="16" name="Arc 7">
              <a:extLst>
                <a:ext uri="{FF2B5EF4-FFF2-40B4-BE49-F238E27FC236}">
                  <a16:creationId xmlns:a16="http://schemas.microsoft.com/office/drawing/2014/main" id="{E467481A-4175-961D-8A28-D64936612D6C}"/>
                </a:ext>
              </a:extLst>
            </xdr:cNvPr>
            <xdr:cNvSpPr>
              <a:spLocks/>
            </xdr:cNvSpPr>
          </xdr:nvSpPr>
          <xdr:spPr bwMode="auto">
            <a:xfrm flipH="1">
              <a:off x="-41" y="-228617"/>
              <a:ext cx="21" cy="11877"/>
            </a:xfrm>
            <a:custGeom>
              <a:avLst/>
              <a:gdLst>
                <a:gd name="T0" fmla="*/ 0 w 21600"/>
                <a:gd name="T1" fmla="*/ 0 h 21600"/>
                <a:gd name="T2" fmla="*/ 0 w 21600"/>
                <a:gd name="T3" fmla="*/ 1086 h 21600"/>
                <a:gd name="T4" fmla="*/ 0 w 21600"/>
                <a:gd name="T5" fmla="*/ 1086 h 21600"/>
                <a:gd name="T6" fmla="*/ 0 60000 65536"/>
                <a:gd name="T7" fmla="*/ 0 60000 65536"/>
                <a:gd name="T8" fmla="*/ 0 60000 65536"/>
                <a:gd name="T9" fmla="*/ 0 w 21600"/>
                <a:gd name="T10" fmla="*/ 0 h 21600"/>
                <a:gd name="T11" fmla="*/ 21600 w 21600"/>
                <a:gd name="T12" fmla="*/ 21600 h 21600"/>
              </a:gdLst>
              <a:ahLst/>
              <a:cxnLst>
                <a:cxn ang="T6">
                  <a:pos x="T0" y="T1"/>
                </a:cxn>
                <a:cxn ang="T7">
                  <a:pos x="T2" y="T3"/>
                </a:cxn>
                <a:cxn ang="T8">
                  <a:pos x="T4" y="T5"/>
                </a:cxn>
              </a:cxnLst>
              <a:rect l="T9" t="T10" r="T11" b="T12"/>
              <a:pathLst>
                <a:path w="21600" h="21600" fill="none" extrusionOk="0">
                  <a:moveTo>
                    <a:pt x="-1" y="0"/>
                  </a:moveTo>
                  <a:cubicBezTo>
                    <a:pt x="11929" y="0"/>
                    <a:pt x="21600" y="9670"/>
                    <a:pt x="21600" y="21600"/>
                  </a:cubicBezTo>
                </a:path>
                <a:path w="21600" h="21600" stroke="0" extrusionOk="0">
                  <a:moveTo>
                    <a:pt x="-1" y="0"/>
                  </a:moveTo>
                  <a:cubicBezTo>
                    <a:pt x="11929" y="0"/>
                    <a:pt x="21600" y="9670"/>
                    <a:pt x="21600" y="21600"/>
                  </a:cubicBezTo>
                  <a:lnTo>
                    <a:pt x="0" y="21600"/>
                  </a:lnTo>
                  <a:close/>
                </a:path>
              </a:pathLst>
            </a:custGeom>
            <a:noFill/>
            <a:ln w="1">
              <a:solidFill>
                <a:srgbClr val="FFFFFF"/>
              </a:solidFill>
              <a:round/>
              <a:headEnd/>
              <a:tailEnd/>
            </a:ln>
            <a:extLst>
              <a:ext uri="{909E8E84-426E-40DD-AFC4-6F175D3DCCD1}">
                <a14:hiddenFill xmlns:a14="http://schemas.microsoft.com/office/drawing/2010/main">
                  <a:solidFill>
                    <a:srgbClr val="FFFFFF"/>
                  </a:solidFill>
                </a14:hiddenFill>
              </a:ext>
            </a:extLst>
          </xdr:spPr>
        </xdr:sp>
        <xdr:sp macro="" textlink="">
          <xdr:nvSpPr>
            <xdr:cNvPr id="17" name="Arc 8">
              <a:extLst>
                <a:ext uri="{FF2B5EF4-FFF2-40B4-BE49-F238E27FC236}">
                  <a16:creationId xmlns:a16="http://schemas.microsoft.com/office/drawing/2014/main" id="{D1B0B236-3EFF-7A9E-E647-E71DC87BE624}"/>
                </a:ext>
              </a:extLst>
            </xdr:cNvPr>
            <xdr:cNvSpPr>
              <a:spLocks/>
            </xdr:cNvSpPr>
          </xdr:nvSpPr>
          <xdr:spPr bwMode="auto">
            <a:xfrm>
              <a:off x="-20" y="-228617"/>
              <a:ext cx="19" cy="11877"/>
            </a:xfrm>
            <a:custGeom>
              <a:avLst/>
              <a:gdLst>
                <a:gd name="T0" fmla="*/ 0 w 21600"/>
                <a:gd name="T1" fmla="*/ 0 h 21600"/>
                <a:gd name="T2" fmla="*/ 0 w 21600"/>
                <a:gd name="T3" fmla="*/ 1086 h 21600"/>
                <a:gd name="T4" fmla="*/ 0 w 21600"/>
                <a:gd name="T5" fmla="*/ 1086 h 21600"/>
                <a:gd name="T6" fmla="*/ 0 60000 65536"/>
                <a:gd name="T7" fmla="*/ 0 60000 65536"/>
                <a:gd name="T8" fmla="*/ 0 60000 65536"/>
                <a:gd name="T9" fmla="*/ 0 w 21600"/>
                <a:gd name="T10" fmla="*/ 0 h 21600"/>
                <a:gd name="T11" fmla="*/ 21600 w 21600"/>
                <a:gd name="T12" fmla="*/ 21600 h 21600"/>
              </a:gdLst>
              <a:ahLst/>
              <a:cxnLst>
                <a:cxn ang="T6">
                  <a:pos x="T0" y="T1"/>
                </a:cxn>
                <a:cxn ang="T7">
                  <a:pos x="T2" y="T3"/>
                </a:cxn>
                <a:cxn ang="T8">
                  <a:pos x="T4" y="T5"/>
                </a:cxn>
              </a:cxnLst>
              <a:rect l="T9" t="T10" r="T11" b="T12"/>
              <a:pathLst>
                <a:path w="21600" h="21600" fill="none" extrusionOk="0">
                  <a:moveTo>
                    <a:pt x="-1" y="0"/>
                  </a:moveTo>
                  <a:cubicBezTo>
                    <a:pt x="11929" y="0"/>
                    <a:pt x="21600" y="9670"/>
                    <a:pt x="21600" y="21600"/>
                  </a:cubicBezTo>
                </a:path>
                <a:path w="21600" h="21600" stroke="0" extrusionOk="0">
                  <a:moveTo>
                    <a:pt x="-1" y="0"/>
                  </a:moveTo>
                  <a:cubicBezTo>
                    <a:pt x="11929" y="0"/>
                    <a:pt x="21600" y="9670"/>
                    <a:pt x="21600" y="21600"/>
                  </a:cubicBezTo>
                  <a:lnTo>
                    <a:pt x="0" y="21600"/>
                  </a:lnTo>
                  <a:close/>
                </a:path>
              </a:pathLst>
            </a:custGeom>
            <a:noFill/>
            <a:ln w="1">
              <a:solidFill>
                <a:srgbClr val="FFFFFF"/>
              </a:solidFill>
              <a:round/>
              <a:headEnd/>
              <a:tailEnd/>
            </a:ln>
            <a:extLst>
              <a:ext uri="{909E8E84-426E-40DD-AFC4-6F175D3DCCD1}">
                <a14:hiddenFill xmlns:a14="http://schemas.microsoft.com/office/drawing/2010/main">
                  <a:solidFill>
                    <a:srgbClr val="FFFFFF"/>
                  </a:solidFill>
                </a14:hiddenFill>
              </a:ext>
            </a:extLst>
          </xdr:spPr>
        </xdr:sp>
      </xdr:grpSp>
      <xdr:sp macro="" textlink="">
        <xdr:nvSpPr>
          <xdr:cNvPr id="4" name="Rectangle 9">
            <a:extLst>
              <a:ext uri="{FF2B5EF4-FFF2-40B4-BE49-F238E27FC236}">
                <a16:creationId xmlns:a16="http://schemas.microsoft.com/office/drawing/2014/main" id="{810B6935-5384-8C1A-3EE1-2805DDCF41E3}"/>
              </a:ext>
            </a:extLst>
          </xdr:cNvPr>
          <xdr:cNvSpPr>
            <a:spLocks noChangeArrowheads="1"/>
          </xdr:cNvSpPr>
        </xdr:nvSpPr>
        <xdr:spPr bwMode="auto">
          <a:xfrm>
            <a:off x="555" y="264"/>
            <a:ext cx="9" cy="30"/>
          </a:xfrm>
          <a:prstGeom prst="rect">
            <a:avLst/>
          </a:prstGeom>
          <a:solidFill>
            <a:srgbClr val="FF0000"/>
          </a:solidFill>
          <a:ln>
            <a:noFill/>
          </a:ln>
          <a:extLst>
            <a:ext uri="{91240B29-F687-4F45-9708-019B960494DF}">
              <a14:hiddenLine xmlns:a14="http://schemas.microsoft.com/office/drawing/2010/main" w="3175">
                <a:solidFill>
                  <a:srgbClr val="000000"/>
                </a:solidFill>
                <a:miter lim="800000"/>
                <a:headEnd/>
                <a:tailEnd/>
              </a14:hiddenLine>
            </a:ext>
          </a:extLst>
        </xdr:spPr>
      </xdr:sp>
      <xdr:sp macro="" textlink="">
        <xdr:nvSpPr>
          <xdr:cNvPr id="5" name="Arc 10">
            <a:extLst>
              <a:ext uri="{FF2B5EF4-FFF2-40B4-BE49-F238E27FC236}">
                <a16:creationId xmlns:a16="http://schemas.microsoft.com/office/drawing/2014/main" id="{B539EEDB-F091-AD68-18F4-97897806C20E}"/>
              </a:ext>
            </a:extLst>
          </xdr:cNvPr>
          <xdr:cNvSpPr>
            <a:spLocks/>
          </xdr:cNvSpPr>
        </xdr:nvSpPr>
        <xdr:spPr bwMode="auto">
          <a:xfrm flipH="1">
            <a:off x="555" y="232"/>
            <a:ext cx="9" cy="32"/>
          </a:xfrm>
          <a:custGeom>
            <a:avLst/>
            <a:gdLst>
              <a:gd name="T0" fmla="*/ 0 w 21600"/>
              <a:gd name="T1" fmla="*/ 0 h 21600"/>
              <a:gd name="T2" fmla="*/ 0 w 21600"/>
              <a:gd name="T3" fmla="*/ 0 h 21600"/>
              <a:gd name="T4" fmla="*/ 0 w 21600"/>
              <a:gd name="T5" fmla="*/ 0 h 21600"/>
              <a:gd name="T6" fmla="*/ 0 60000 65536"/>
              <a:gd name="T7" fmla="*/ 0 60000 65536"/>
              <a:gd name="T8" fmla="*/ 0 60000 65536"/>
              <a:gd name="T9" fmla="*/ 0 w 21600"/>
              <a:gd name="T10" fmla="*/ 0 h 21600"/>
              <a:gd name="T11" fmla="*/ 21600 w 21600"/>
              <a:gd name="T12" fmla="*/ 21600 h 21600"/>
            </a:gdLst>
            <a:ahLst/>
            <a:cxnLst>
              <a:cxn ang="T6">
                <a:pos x="T0" y="T1"/>
              </a:cxn>
              <a:cxn ang="T7">
                <a:pos x="T2" y="T3"/>
              </a:cxn>
              <a:cxn ang="T8">
                <a:pos x="T4" y="T5"/>
              </a:cxn>
            </a:cxnLst>
            <a:rect l="T9" t="T10" r="T11" b="T12"/>
            <a:pathLst>
              <a:path w="21600" h="21600" fill="none" extrusionOk="0">
                <a:moveTo>
                  <a:pt x="-1" y="0"/>
                </a:moveTo>
                <a:cubicBezTo>
                  <a:pt x="11929" y="0"/>
                  <a:pt x="21600" y="9670"/>
                  <a:pt x="21600" y="21600"/>
                </a:cubicBezTo>
              </a:path>
              <a:path w="21600" h="21600" stroke="0" extrusionOk="0">
                <a:moveTo>
                  <a:pt x="-1" y="0"/>
                </a:moveTo>
                <a:cubicBezTo>
                  <a:pt x="11929" y="0"/>
                  <a:pt x="21600" y="9670"/>
                  <a:pt x="21600" y="21600"/>
                </a:cubicBezTo>
                <a:lnTo>
                  <a:pt x="0" y="21600"/>
                </a:lnTo>
                <a:close/>
              </a:path>
            </a:pathLst>
          </a:custGeom>
          <a:solidFill>
            <a:srgbClr val="FF0000"/>
          </a:solidFill>
          <a:ln w="12700">
            <a:solidFill>
              <a:srgbClr val="993300"/>
            </a:solidFill>
            <a:round/>
            <a:headEnd/>
            <a:tailEnd/>
          </a:ln>
        </xdr:spPr>
      </xdr:sp>
      <xdr:sp macro="" textlink="">
        <xdr:nvSpPr>
          <xdr:cNvPr id="6" name="Arc 11">
            <a:extLst>
              <a:ext uri="{FF2B5EF4-FFF2-40B4-BE49-F238E27FC236}">
                <a16:creationId xmlns:a16="http://schemas.microsoft.com/office/drawing/2014/main" id="{3098498D-2E9B-9471-5F87-B1FF6754752C}"/>
              </a:ext>
            </a:extLst>
          </xdr:cNvPr>
          <xdr:cNvSpPr>
            <a:spLocks/>
          </xdr:cNvSpPr>
        </xdr:nvSpPr>
        <xdr:spPr bwMode="auto">
          <a:xfrm>
            <a:off x="564" y="232"/>
            <a:ext cx="8" cy="32"/>
          </a:xfrm>
          <a:custGeom>
            <a:avLst/>
            <a:gdLst>
              <a:gd name="T0" fmla="*/ 0 w 21600"/>
              <a:gd name="T1" fmla="*/ 0 h 21600"/>
              <a:gd name="T2" fmla="*/ 0 w 21600"/>
              <a:gd name="T3" fmla="*/ 0 h 21600"/>
              <a:gd name="T4" fmla="*/ 0 w 21600"/>
              <a:gd name="T5" fmla="*/ 0 h 21600"/>
              <a:gd name="T6" fmla="*/ 0 60000 65536"/>
              <a:gd name="T7" fmla="*/ 0 60000 65536"/>
              <a:gd name="T8" fmla="*/ 0 60000 65536"/>
              <a:gd name="T9" fmla="*/ 0 w 21600"/>
              <a:gd name="T10" fmla="*/ 0 h 21600"/>
              <a:gd name="T11" fmla="*/ 21600 w 21600"/>
              <a:gd name="T12" fmla="*/ 21600 h 21600"/>
            </a:gdLst>
            <a:ahLst/>
            <a:cxnLst>
              <a:cxn ang="T6">
                <a:pos x="T0" y="T1"/>
              </a:cxn>
              <a:cxn ang="T7">
                <a:pos x="T2" y="T3"/>
              </a:cxn>
              <a:cxn ang="T8">
                <a:pos x="T4" y="T5"/>
              </a:cxn>
            </a:cxnLst>
            <a:rect l="T9" t="T10" r="T11" b="T12"/>
            <a:pathLst>
              <a:path w="21600" h="21600" fill="none" extrusionOk="0">
                <a:moveTo>
                  <a:pt x="-1" y="0"/>
                </a:moveTo>
                <a:cubicBezTo>
                  <a:pt x="11929" y="0"/>
                  <a:pt x="21600" y="9670"/>
                  <a:pt x="21600" y="21600"/>
                </a:cubicBezTo>
              </a:path>
              <a:path w="21600" h="21600" stroke="0" extrusionOk="0">
                <a:moveTo>
                  <a:pt x="-1" y="0"/>
                </a:moveTo>
                <a:cubicBezTo>
                  <a:pt x="11929" y="0"/>
                  <a:pt x="21600" y="9670"/>
                  <a:pt x="21600" y="21600"/>
                </a:cubicBezTo>
                <a:lnTo>
                  <a:pt x="0" y="21600"/>
                </a:lnTo>
                <a:close/>
              </a:path>
            </a:pathLst>
          </a:custGeom>
          <a:solidFill>
            <a:srgbClr val="EEECE1"/>
          </a:solidFill>
          <a:ln w="12700">
            <a:solidFill>
              <a:srgbClr val="008000"/>
            </a:solidFill>
            <a:round/>
            <a:headEnd/>
            <a:tailEnd/>
          </a:ln>
        </xdr:spPr>
      </xdr:sp>
      <xdr:sp macro="" textlink="">
        <xdr:nvSpPr>
          <xdr:cNvPr id="7" name="Rectangle 12">
            <a:extLst>
              <a:ext uri="{FF2B5EF4-FFF2-40B4-BE49-F238E27FC236}">
                <a16:creationId xmlns:a16="http://schemas.microsoft.com/office/drawing/2014/main" id="{ACF92C6B-F6D5-E2B6-C247-06A9D25CC44A}"/>
              </a:ext>
            </a:extLst>
          </xdr:cNvPr>
          <xdr:cNvSpPr>
            <a:spLocks noChangeArrowheads="1"/>
          </xdr:cNvSpPr>
        </xdr:nvSpPr>
        <xdr:spPr bwMode="auto">
          <a:xfrm>
            <a:off x="564" y="264"/>
            <a:ext cx="8" cy="30"/>
          </a:xfrm>
          <a:prstGeom prst="rect">
            <a:avLst/>
          </a:prstGeom>
          <a:solidFill>
            <a:srgbClr val="EEECE1"/>
          </a:solidFill>
          <a:ln>
            <a:noFill/>
          </a:ln>
          <a:extLst>
            <a:ext uri="{91240B29-F687-4F45-9708-019B960494DF}">
              <a14:hiddenLine xmlns:a14="http://schemas.microsoft.com/office/drawing/2010/main" w="3175">
                <a:solidFill>
                  <a:srgbClr val="000000"/>
                </a:solidFill>
                <a:miter lim="800000"/>
                <a:headEnd/>
                <a:tailEnd/>
              </a14:hiddenLine>
            </a:ext>
          </a:extLst>
        </xdr:spPr>
      </xdr:sp>
      <xdr:sp macro="" textlink="">
        <xdr:nvSpPr>
          <xdr:cNvPr id="8" name="Line 13">
            <a:extLst>
              <a:ext uri="{FF2B5EF4-FFF2-40B4-BE49-F238E27FC236}">
                <a16:creationId xmlns:a16="http://schemas.microsoft.com/office/drawing/2014/main" id="{66C10C64-927B-EE47-D329-15B44FB77F5B}"/>
              </a:ext>
            </a:extLst>
          </xdr:cNvPr>
          <xdr:cNvSpPr>
            <a:spLocks noChangeShapeType="1"/>
          </xdr:cNvSpPr>
        </xdr:nvSpPr>
        <xdr:spPr bwMode="auto">
          <a:xfrm flipV="1">
            <a:off x="572" y="264"/>
            <a:ext cx="0" cy="30"/>
          </a:xfrm>
          <a:prstGeom prst="line">
            <a:avLst/>
          </a:prstGeom>
          <a:noFill/>
          <a:ln w="12700">
            <a:solidFill>
              <a:srgbClr val="008000"/>
            </a:solidFill>
            <a:round/>
            <a:headEnd/>
            <a:tailEnd/>
          </a:ln>
          <a:extLst>
            <a:ext uri="{909E8E84-426E-40DD-AFC4-6F175D3DCCD1}">
              <a14:hiddenFill xmlns:a14="http://schemas.microsoft.com/office/drawing/2010/main">
                <a:noFill/>
              </a14:hiddenFill>
            </a:ext>
          </a:extLst>
        </xdr:spPr>
      </xdr:sp>
      <xdr:sp macro="" textlink="">
        <xdr:nvSpPr>
          <xdr:cNvPr id="9" name="Line 14">
            <a:extLst>
              <a:ext uri="{FF2B5EF4-FFF2-40B4-BE49-F238E27FC236}">
                <a16:creationId xmlns:a16="http://schemas.microsoft.com/office/drawing/2014/main" id="{C278F848-1A22-466B-C911-EC56D8D21316}"/>
              </a:ext>
            </a:extLst>
          </xdr:cNvPr>
          <xdr:cNvSpPr>
            <a:spLocks noChangeShapeType="1"/>
          </xdr:cNvSpPr>
        </xdr:nvSpPr>
        <xdr:spPr bwMode="auto">
          <a:xfrm flipV="1">
            <a:off x="555" y="264"/>
            <a:ext cx="0" cy="30"/>
          </a:xfrm>
          <a:prstGeom prst="line">
            <a:avLst/>
          </a:prstGeom>
          <a:noFill/>
          <a:ln w="12700">
            <a:solidFill>
              <a:srgbClr val="993300"/>
            </a:solidFill>
            <a:round/>
            <a:headEnd/>
            <a:tailEnd/>
          </a:ln>
          <a:extLst>
            <a:ext uri="{909E8E84-426E-40DD-AFC4-6F175D3DCCD1}">
              <a14:hiddenFill xmlns:a14="http://schemas.microsoft.com/office/drawing/2010/main">
                <a:noFill/>
              </a14:hiddenFill>
            </a:ext>
          </a:extLst>
        </xdr:spPr>
      </xdr:sp>
      <xdr:sp macro="" textlink="">
        <xdr:nvSpPr>
          <xdr:cNvPr id="10" name="Line 15">
            <a:extLst>
              <a:ext uri="{FF2B5EF4-FFF2-40B4-BE49-F238E27FC236}">
                <a16:creationId xmlns:a16="http://schemas.microsoft.com/office/drawing/2014/main" id="{7FA857DA-14A7-711E-8B95-8B33C72B1771}"/>
              </a:ext>
            </a:extLst>
          </xdr:cNvPr>
          <xdr:cNvSpPr>
            <a:spLocks noChangeShapeType="1"/>
          </xdr:cNvSpPr>
        </xdr:nvSpPr>
        <xdr:spPr bwMode="auto">
          <a:xfrm>
            <a:off x="564" y="294"/>
            <a:ext cx="8" cy="0"/>
          </a:xfrm>
          <a:prstGeom prst="line">
            <a:avLst/>
          </a:prstGeom>
          <a:noFill/>
          <a:ln w="12700">
            <a:solidFill>
              <a:srgbClr val="008000"/>
            </a:solidFill>
            <a:round/>
            <a:headEnd/>
            <a:tailEnd/>
          </a:ln>
          <a:extLst>
            <a:ext uri="{909E8E84-426E-40DD-AFC4-6F175D3DCCD1}">
              <a14:hiddenFill xmlns:a14="http://schemas.microsoft.com/office/drawing/2010/main">
                <a:noFill/>
              </a14:hiddenFill>
            </a:ext>
          </a:extLst>
        </xdr:spPr>
      </xdr:sp>
      <xdr:sp macro="" textlink="">
        <xdr:nvSpPr>
          <xdr:cNvPr id="11" name="Line 16">
            <a:extLst>
              <a:ext uri="{FF2B5EF4-FFF2-40B4-BE49-F238E27FC236}">
                <a16:creationId xmlns:a16="http://schemas.microsoft.com/office/drawing/2014/main" id="{543C8747-D6E8-D60E-7873-CD45EDDDA1F3}"/>
              </a:ext>
            </a:extLst>
          </xdr:cNvPr>
          <xdr:cNvSpPr>
            <a:spLocks noChangeShapeType="1"/>
          </xdr:cNvSpPr>
        </xdr:nvSpPr>
        <xdr:spPr bwMode="auto">
          <a:xfrm>
            <a:off x="555" y="294"/>
            <a:ext cx="9" cy="0"/>
          </a:xfrm>
          <a:prstGeom prst="line">
            <a:avLst/>
          </a:prstGeom>
          <a:noFill/>
          <a:ln w="12700">
            <a:solidFill>
              <a:srgbClr val="993300"/>
            </a:solidFill>
            <a:round/>
            <a:headEnd/>
            <a:tailEnd/>
          </a:ln>
          <a:extLst>
            <a:ext uri="{909E8E84-426E-40DD-AFC4-6F175D3DCCD1}">
              <a14:hiddenFill xmlns:a14="http://schemas.microsoft.com/office/drawing/2010/main">
                <a:noFill/>
              </a14:hiddenFill>
            </a:ext>
          </a:extLst>
        </xdr:spPr>
      </xdr:sp>
    </xdr:grpSp>
    <xdr:clientData/>
  </xdr:twoCellAnchor>
  <xdr:twoCellAnchor>
    <xdr:from>
      <xdr:col>29</xdr:col>
      <xdr:colOff>57150</xdr:colOff>
      <xdr:row>6</xdr:row>
      <xdr:rowOff>95250</xdr:rowOff>
    </xdr:from>
    <xdr:to>
      <xdr:col>30</xdr:col>
      <xdr:colOff>95250</xdr:colOff>
      <xdr:row>10</xdr:row>
      <xdr:rowOff>28575</xdr:rowOff>
    </xdr:to>
    <xdr:grpSp>
      <xdr:nvGrpSpPr>
        <xdr:cNvPr id="18" name="Group 17">
          <a:extLst>
            <a:ext uri="{FF2B5EF4-FFF2-40B4-BE49-F238E27FC236}">
              <a16:creationId xmlns:a16="http://schemas.microsoft.com/office/drawing/2014/main" id="{9E3A2868-37DE-40E6-9271-B686A68BC9FC}"/>
            </a:ext>
          </a:extLst>
        </xdr:cNvPr>
        <xdr:cNvGrpSpPr>
          <a:grpSpLocks/>
        </xdr:cNvGrpSpPr>
      </xdr:nvGrpSpPr>
      <xdr:grpSpPr bwMode="auto">
        <a:xfrm>
          <a:off x="4845050" y="1111250"/>
          <a:ext cx="203200" cy="619125"/>
          <a:chOff x="553" y="231"/>
          <a:chExt cx="21" cy="63"/>
        </a:xfrm>
      </xdr:grpSpPr>
      <xdr:grpSp>
        <xdr:nvGrpSpPr>
          <xdr:cNvPr id="19" name="Group 18">
            <a:extLst>
              <a:ext uri="{FF2B5EF4-FFF2-40B4-BE49-F238E27FC236}">
                <a16:creationId xmlns:a16="http://schemas.microsoft.com/office/drawing/2014/main" id="{96F25075-ECB5-7B0E-E54A-81CB38DB062D}"/>
              </a:ext>
            </a:extLst>
          </xdr:cNvPr>
          <xdr:cNvGrpSpPr>
            <a:grpSpLocks/>
          </xdr:cNvGrpSpPr>
        </xdr:nvGrpSpPr>
        <xdr:grpSpPr bwMode="auto">
          <a:xfrm>
            <a:off x="553" y="231"/>
            <a:ext cx="21" cy="56"/>
            <a:chOff x="-41" y="-228617"/>
            <a:chExt cx="40" cy="20091"/>
          </a:xfrm>
        </xdr:grpSpPr>
        <xdr:sp macro="" textlink="">
          <xdr:nvSpPr>
            <xdr:cNvPr id="28" name="Line 19">
              <a:extLst>
                <a:ext uri="{FF2B5EF4-FFF2-40B4-BE49-F238E27FC236}">
                  <a16:creationId xmlns:a16="http://schemas.microsoft.com/office/drawing/2014/main" id="{D451428B-0469-CC14-6063-433938A0E21D}"/>
                </a:ext>
              </a:extLst>
            </xdr:cNvPr>
            <xdr:cNvSpPr>
              <a:spLocks noChangeShapeType="1"/>
            </xdr:cNvSpPr>
          </xdr:nvSpPr>
          <xdr:spPr bwMode="auto">
            <a:xfrm>
              <a:off x="-41" y="-216740"/>
              <a:ext cx="0" cy="8214"/>
            </a:xfrm>
            <a:prstGeom prst="line">
              <a:avLst/>
            </a:prstGeom>
            <a:noFill/>
            <a:ln w="1">
              <a:solidFill>
                <a:srgbClr val="FFFFFF"/>
              </a:solidFill>
              <a:round/>
              <a:headEnd/>
              <a:tailEnd/>
            </a:ln>
            <a:extLst>
              <a:ext uri="{909E8E84-426E-40DD-AFC4-6F175D3DCCD1}">
                <a14:hiddenFill xmlns:a14="http://schemas.microsoft.com/office/drawing/2010/main">
                  <a:noFill/>
                </a14:hiddenFill>
              </a:ext>
            </a:extLst>
          </xdr:spPr>
        </xdr:sp>
        <xdr:sp macro="" textlink="">
          <xdr:nvSpPr>
            <xdr:cNvPr id="29" name="Line 20">
              <a:extLst>
                <a:ext uri="{FF2B5EF4-FFF2-40B4-BE49-F238E27FC236}">
                  <a16:creationId xmlns:a16="http://schemas.microsoft.com/office/drawing/2014/main" id="{034B962A-12F7-7948-6E4C-788512CE1F05}"/>
                </a:ext>
              </a:extLst>
            </xdr:cNvPr>
            <xdr:cNvSpPr>
              <a:spLocks noChangeShapeType="1"/>
            </xdr:cNvSpPr>
          </xdr:nvSpPr>
          <xdr:spPr bwMode="auto">
            <a:xfrm>
              <a:off x="-1" y="-216740"/>
              <a:ext cx="0" cy="8214"/>
            </a:xfrm>
            <a:prstGeom prst="line">
              <a:avLst/>
            </a:prstGeom>
            <a:noFill/>
            <a:ln w="1">
              <a:solidFill>
                <a:srgbClr val="FFFFFF"/>
              </a:solidFill>
              <a:round/>
              <a:headEnd/>
              <a:tailEnd/>
            </a:ln>
            <a:extLst>
              <a:ext uri="{909E8E84-426E-40DD-AFC4-6F175D3DCCD1}">
                <a14:hiddenFill xmlns:a14="http://schemas.microsoft.com/office/drawing/2010/main">
                  <a:noFill/>
                </a14:hiddenFill>
              </a:ext>
            </a:extLst>
          </xdr:spPr>
        </xdr:sp>
        <xdr:sp macro="" textlink="">
          <xdr:nvSpPr>
            <xdr:cNvPr id="30" name="Line 21">
              <a:extLst>
                <a:ext uri="{FF2B5EF4-FFF2-40B4-BE49-F238E27FC236}">
                  <a16:creationId xmlns:a16="http://schemas.microsoft.com/office/drawing/2014/main" id="{A2296AC8-2220-7AD0-9DE3-C26B5D63B9D4}"/>
                </a:ext>
              </a:extLst>
            </xdr:cNvPr>
            <xdr:cNvSpPr>
              <a:spLocks noChangeShapeType="1"/>
            </xdr:cNvSpPr>
          </xdr:nvSpPr>
          <xdr:spPr bwMode="auto">
            <a:xfrm>
              <a:off x="-41" y="-208526"/>
              <a:ext cx="40" cy="0"/>
            </a:xfrm>
            <a:prstGeom prst="line">
              <a:avLst/>
            </a:prstGeom>
            <a:noFill/>
            <a:ln w="1">
              <a:solidFill>
                <a:srgbClr val="FFFFFF"/>
              </a:solidFill>
              <a:round/>
              <a:headEnd/>
              <a:tailEnd/>
            </a:ln>
            <a:extLst>
              <a:ext uri="{909E8E84-426E-40DD-AFC4-6F175D3DCCD1}">
                <a14:hiddenFill xmlns:a14="http://schemas.microsoft.com/office/drawing/2010/main">
                  <a:noFill/>
                </a14:hiddenFill>
              </a:ext>
            </a:extLst>
          </xdr:spPr>
        </xdr:sp>
        <xdr:sp macro="" textlink="">
          <xdr:nvSpPr>
            <xdr:cNvPr id="31" name="Rectangle 22">
              <a:extLst>
                <a:ext uri="{FF2B5EF4-FFF2-40B4-BE49-F238E27FC236}">
                  <a16:creationId xmlns:a16="http://schemas.microsoft.com/office/drawing/2014/main" id="{A102B003-FEB9-DAEF-9F96-D426034360D3}"/>
                </a:ext>
              </a:extLst>
            </xdr:cNvPr>
            <xdr:cNvSpPr>
              <a:spLocks noChangeArrowheads="1"/>
            </xdr:cNvSpPr>
          </xdr:nvSpPr>
          <xdr:spPr bwMode="auto">
            <a:xfrm>
              <a:off x="-41" y="-219737"/>
              <a:ext cx="40" cy="11211"/>
            </a:xfrm>
            <a:prstGeom prst="rect">
              <a:avLst/>
            </a:prstGeom>
            <a:solidFill>
              <a:srgbClr val="FFFFFF"/>
            </a:solidFill>
            <a:ln w="1">
              <a:solidFill>
                <a:srgbClr val="FFFFFF"/>
              </a:solidFill>
              <a:miter lim="800000"/>
              <a:headEnd/>
              <a:tailEnd/>
            </a:ln>
          </xdr:spPr>
        </xdr:sp>
        <xdr:sp macro="" textlink="">
          <xdr:nvSpPr>
            <xdr:cNvPr id="32" name="Arc 23">
              <a:extLst>
                <a:ext uri="{FF2B5EF4-FFF2-40B4-BE49-F238E27FC236}">
                  <a16:creationId xmlns:a16="http://schemas.microsoft.com/office/drawing/2014/main" id="{A1FDEE75-A985-C276-10DE-5696370814F6}"/>
                </a:ext>
              </a:extLst>
            </xdr:cNvPr>
            <xdr:cNvSpPr>
              <a:spLocks/>
            </xdr:cNvSpPr>
          </xdr:nvSpPr>
          <xdr:spPr bwMode="auto">
            <a:xfrm flipH="1">
              <a:off x="-41" y="-228617"/>
              <a:ext cx="21" cy="11877"/>
            </a:xfrm>
            <a:custGeom>
              <a:avLst/>
              <a:gdLst>
                <a:gd name="T0" fmla="*/ 0 w 21600"/>
                <a:gd name="T1" fmla="*/ 0 h 21600"/>
                <a:gd name="T2" fmla="*/ 0 w 21600"/>
                <a:gd name="T3" fmla="*/ 1086 h 21600"/>
                <a:gd name="T4" fmla="*/ 0 w 21600"/>
                <a:gd name="T5" fmla="*/ 1086 h 21600"/>
                <a:gd name="T6" fmla="*/ 0 60000 65536"/>
                <a:gd name="T7" fmla="*/ 0 60000 65536"/>
                <a:gd name="T8" fmla="*/ 0 60000 65536"/>
                <a:gd name="T9" fmla="*/ 0 w 21600"/>
                <a:gd name="T10" fmla="*/ 0 h 21600"/>
                <a:gd name="T11" fmla="*/ 21600 w 21600"/>
                <a:gd name="T12" fmla="*/ 21600 h 21600"/>
              </a:gdLst>
              <a:ahLst/>
              <a:cxnLst>
                <a:cxn ang="T6">
                  <a:pos x="T0" y="T1"/>
                </a:cxn>
                <a:cxn ang="T7">
                  <a:pos x="T2" y="T3"/>
                </a:cxn>
                <a:cxn ang="T8">
                  <a:pos x="T4" y="T5"/>
                </a:cxn>
              </a:cxnLst>
              <a:rect l="T9" t="T10" r="T11" b="T12"/>
              <a:pathLst>
                <a:path w="21600" h="21600" fill="none" extrusionOk="0">
                  <a:moveTo>
                    <a:pt x="-1" y="0"/>
                  </a:moveTo>
                  <a:cubicBezTo>
                    <a:pt x="11929" y="0"/>
                    <a:pt x="21600" y="9670"/>
                    <a:pt x="21600" y="21600"/>
                  </a:cubicBezTo>
                </a:path>
                <a:path w="21600" h="21600" stroke="0" extrusionOk="0">
                  <a:moveTo>
                    <a:pt x="-1" y="0"/>
                  </a:moveTo>
                  <a:cubicBezTo>
                    <a:pt x="11929" y="0"/>
                    <a:pt x="21600" y="9670"/>
                    <a:pt x="21600" y="21600"/>
                  </a:cubicBezTo>
                  <a:lnTo>
                    <a:pt x="0" y="21600"/>
                  </a:lnTo>
                  <a:close/>
                </a:path>
              </a:pathLst>
            </a:custGeom>
            <a:noFill/>
            <a:ln w="1">
              <a:solidFill>
                <a:srgbClr val="FFFFFF"/>
              </a:solidFill>
              <a:round/>
              <a:headEnd/>
              <a:tailEnd/>
            </a:ln>
            <a:extLst>
              <a:ext uri="{909E8E84-426E-40DD-AFC4-6F175D3DCCD1}">
                <a14:hiddenFill xmlns:a14="http://schemas.microsoft.com/office/drawing/2010/main">
                  <a:solidFill>
                    <a:srgbClr val="FFFFFF"/>
                  </a:solidFill>
                </a14:hiddenFill>
              </a:ext>
            </a:extLst>
          </xdr:spPr>
        </xdr:sp>
        <xdr:sp macro="" textlink="">
          <xdr:nvSpPr>
            <xdr:cNvPr id="33" name="Arc 24">
              <a:extLst>
                <a:ext uri="{FF2B5EF4-FFF2-40B4-BE49-F238E27FC236}">
                  <a16:creationId xmlns:a16="http://schemas.microsoft.com/office/drawing/2014/main" id="{55E38BB9-D705-5C1B-A680-C7427A874C37}"/>
                </a:ext>
              </a:extLst>
            </xdr:cNvPr>
            <xdr:cNvSpPr>
              <a:spLocks/>
            </xdr:cNvSpPr>
          </xdr:nvSpPr>
          <xdr:spPr bwMode="auto">
            <a:xfrm>
              <a:off x="-20" y="-228617"/>
              <a:ext cx="19" cy="11877"/>
            </a:xfrm>
            <a:custGeom>
              <a:avLst/>
              <a:gdLst>
                <a:gd name="T0" fmla="*/ 0 w 21600"/>
                <a:gd name="T1" fmla="*/ 0 h 21600"/>
                <a:gd name="T2" fmla="*/ 0 w 21600"/>
                <a:gd name="T3" fmla="*/ 1086 h 21600"/>
                <a:gd name="T4" fmla="*/ 0 w 21600"/>
                <a:gd name="T5" fmla="*/ 1086 h 21600"/>
                <a:gd name="T6" fmla="*/ 0 60000 65536"/>
                <a:gd name="T7" fmla="*/ 0 60000 65536"/>
                <a:gd name="T8" fmla="*/ 0 60000 65536"/>
                <a:gd name="T9" fmla="*/ 0 w 21600"/>
                <a:gd name="T10" fmla="*/ 0 h 21600"/>
                <a:gd name="T11" fmla="*/ 21600 w 21600"/>
                <a:gd name="T12" fmla="*/ 21600 h 21600"/>
              </a:gdLst>
              <a:ahLst/>
              <a:cxnLst>
                <a:cxn ang="T6">
                  <a:pos x="T0" y="T1"/>
                </a:cxn>
                <a:cxn ang="T7">
                  <a:pos x="T2" y="T3"/>
                </a:cxn>
                <a:cxn ang="T8">
                  <a:pos x="T4" y="T5"/>
                </a:cxn>
              </a:cxnLst>
              <a:rect l="T9" t="T10" r="T11" b="T12"/>
              <a:pathLst>
                <a:path w="21600" h="21600" fill="none" extrusionOk="0">
                  <a:moveTo>
                    <a:pt x="-1" y="0"/>
                  </a:moveTo>
                  <a:cubicBezTo>
                    <a:pt x="11929" y="0"/>
                    <a:pt x="21600" y="9670"/>
                    <a:pt x="21600" y="21600"/>
                  </a:cubicBezTo>
                </a:path>
                <a:path w="21600" h="21600" stroke="0" extrusionOk="0">
                  <a:moveTo>
                    <a:pt x="-1" y="0"/>
                  </a:moveTo>
                  <a:cubicBezTo>
                    <a:pt x="11929" y="0"/>
                    <a:pt x="21600" y="9670"/>
                    <a:pt x="21600" y="21600"/>
                  </a:cubicBezTo>
                  <a:lnTo>
                    <a:pt x="0" y="21600"/>
                  </a:lnTo>
                  <a:close/>
                </a:path>
              </a:pathLst>
            </a:custGeom>
            <a:noFill/>
            <a:ln w="1">
              <a:solidFill>
                <a:srgbClr val="FFFFFF"/>
              </a:solidFill>
              <a:round/>
              <a:headEnd/>
              <a:tailEnd/>
            </a:ln>
            <a:extLst>
              <a:ext uri="{909E8E84-426E-40DD-AFC4-6F175D3DCCD1}">
                <a14:hiddenFill xmlns:a14="http://schemas.microsoft.com/office/drawing/2010/main">
                  <a:solidFill>
                    <a:srgbClr val="FFFFFF"/>
                  </a:solidFill>
                </a14:hiddenFill>
              </a:ext>
            </a:extLst>
          </xdr:spPr>
        </xdr:sp>
      </xdr:grpSp>
      <xdr:sp macro="" textlink="">
        <xdr:nvSpPr>
          <xdr:cNvPr id="20" name="Rectangle 25">
            <a:extLst>
              <a:ext uri="{FF2B5EF4-FFF2-40B4-BE49-F238E27FC236}">
                <a16:creationId xmlns:a16="http://schemas.microsoft.com/office/drawing/2014/main" id="{F9E0C34D-1B9C-0D1C-F170-C63DB90D3DD6}"/>
              </a:ext>
            </a:extLst>
          </xdr:cNvPr>
          <xdr:cNvSpPr>
            <a:spLocks noChangeArrowheads="1"/>
          </xdr:cNvSpPr>
        </xdr:nvSpPr>
        <xdr:spPr bwMode="auto">
          <a:xfrm>
            <a:off x="555" y="264"/>
            <a:ext cx="9" cy="30"/>
          </a:xfrm>
          <a:prstGeom prst="rect">
            <a:avLst/>
          </a:prstGeom>
          <a:solidFill>
            <a:srgbClr val="FF0000"/>
          </a:solidFill>
          <a:ln>
            <a:noFill/>
          </a:ln>
          <a:extLst>
            <a:ext uri="{91240B29-F687-4F45-9708-019B960494DF}">
              <a14:hiddenLine xmlns:a14="http://schemas.microsoft.com/office/drawing/2010/main" w="3175">
                <a:solidFill>
                  <a:srgbClr val="000000"/>
                </a:solidFill>
                <a:miter lim="800000"/>
                <a:headEnd/>
                <a:tailEnd/>
              </a14:hiddenLine>
            </a:ext>
          </a:extLst>
        </xdr:spPr>
      </xdr:sp>
      <xdr:sp macro="" textlink="">
        <xdr:nvSpPr>
          <xdr:cNvPr id="21" name="Arc 26">
            <a:extLst>
              <a:ext uri="{FF2B5EF4-FFF2-40B4-BE49-F238E27FC236}">
                <a16:creationId xmlns:a16="http://schemas.microsoft.com/office/drawing/2014/main" id="{1FECE0FA-C337-EF58-8758-9B1876C5A5F3}"/>
              </a:ext>
            </a:extLst>
          </xdr:cNvPr>
          <xdr:cNvSpPr>
            <a:spLocks/>
          </xdr:cNvSpPr>
        </xdr:nvSpPr>
        <xdr:spPr bwMode="auto">
          <a:xfrm flipH="1">
            <a:off x="555" y="232"/>
            <a:ext cx="9" cy="32"/>
          </a:xfrm>
          <a:custGeom>
            <a:avLst/>
            <a:gdLst>
              <a:gd name="T0" fmla="*/ 0 w 21600"/>
              <a:gd name="T1" fmla="*/ 0 h 21600"/>
              <a:gd name="T2" fmla="*/ 0 w 21600"/>
              <a:gd name="T3" fmla="*/ 0 h 21600"/>
              <a:gd name="T4" fmla="*/ 0 w 21600"/>
              <a:gd name="T5" fmla="*/ 0 h 21600"/>
              <a:gd name="T6" fmla="*/ 0 60000 65536"/>
              <a:gd name="T7" fmla="*/ 0 60000 65536"/>
              <a:gd name="T8" fmla="*/ 0 60000 65536"/>
              <a:gd name="T9" fmla="*/ 0 w 21600"/>
              <a:gd name="T10" fmla="*/ 0 h 21600"/>
              <a:gd name="T11" fmla="*/ 21600 w 21600"/>
              <a:gd name="T12" fmla="*/ 21600 h 21600"/>
            </a:gdLst>
            <a:ahLst/>
            <a:cxnLst>
              <a:cxn ang="T6">
                <a:pos x="T0" y="T1"/>
              </a:cxn>
              <a:cxn ang="T7">
                <a:pos x="T2" y="T3"/>
              </a:cxn>
              <a:cxn ang="T8">
                <a:pos x="T4" y="T5"/>
              </a:cxn>
            </a:cxnLst>
            <a:rect l="T9" t="T10" r="T11" b="T12"/>
            <a:pathLst>
              <a:path w="21600" h="21600" fill="none" extrusionOk="0">
                <a:moveTo>
                  <a:pt x="-1" y="0"/>
                </a:moveTo>
                <a:cubicBezTo>
                  <a:pt x="11929" y="0"/>
                  <a:pt x="21600" y="9670"/>
                  <a:pt x="21600" y="21600"/>
                </a:cubicBezTo>
              </a:path>
              <a:path w="21600" h="21600" stroke="0" extrusionOk="0">
                <a:moveTo>
                  <a:pt x="-1" y="0"/>
                </a:moveTo>
                <a:cubicBezTo>
                  <a:pt x="11929" y="0"/>
                  <a:pt x="21600" y="9670"/>
                  <a:pt x="21600" y="21600"/>
                </a:cubicBezTo>
                <a:lnTo>
                  <a:pt x="0" y="21600"/>
                </a:lnTo>
                <a:close/>
              </a:path>
            </a:pathLst>
          </a:custGeom>
          <a:solidFill>
            <a:srgbClr val="FF0000"/>
          </a:solidFill>
          <a:ln w="12700">
            <a:solidFill>
              <a:srgbClr val="993300"/>
            </a:solidFill>
            <a:round/>
            <a:headEnd/>
            <a:tailEnd/>
          </a:ln>
        </xdr:spPr>
      </xdr:sp>
      <xdr:sp macro="" textlink="">
        <xdr:nvSpPr>
          <xdr:cNvPr id="22" name="Arc 27">
            <a:extLst>
              <a:ext uri="{FF2B5EF4-FFF2-40B4-BE49-F238E27FC236}">
                <a16:creationId xmlns:a16="http://schemas.microsoft.com/office/drawing/2014/main" id="{184E6766-5BAA-87B2-3091-D96B1F45A878}"/>
              </a:ext>
            </a:extLst>
          </xdr:cNvPr>
          <xdr:cNvSpPr>
            <a:spLocks/>
          </xdr:cNvSpPr>
        </xdr:nvSpPr>
        <xdr:spPr bwMode="auto">
          <a:xfrm>
            <a:off x="564" y="232"/>
            <a:ext cx="8" cy="32"/>
          </a:xfrm>
          <a:custGeom>
            <a:avLst/>
            <a:gdLst>
              <a:gd name="T0" fmla="*/ 0 w 21600"/>
              <a:gd name="T1" fmla="*/ 0 h 21600"/>
              <a:gd name="T2" fmla="*/ 0 w 21600"/>
              <a:gd name="T3" fmla="*/ 0 h 21600"/>
              <a:gd name="T4" fmla="*/ 0 w 21600"/>
              <a:gd name="T5" fmla="*/ 0 h 21600"/>
              <a:gd name="T6" fmla="*/ 0 60000 65536"/>
              <a:gd name="T7" fmla="*/ 0 60000 65536"/>
              <a:gd name="T8" fmla="*/ 0 60000 65536"/>
              <a:gd name="T9" fmla="*/ 0 w 21600"/>
              <a:gd name="T10" fmla="*/ 0 h 21600"/>
              <a:gd name="T11" fmla="*/ 21600 w 21600"/>
              <a:gd name="T12" fmla="*/ 21600 h 21600"/>
            </a:gdLst>
            <a:ahLst/>
            <a:cxnLst>
              <a:cxn ang="T6">
                <a:pos x="T0" y="T1"/>
              </a:cxn>
              <a:cxn ang="T7">
                <a:pos x="T2" y="T3"/>
              </a:cxn>
              <a:cxn ang="T8">
                <a:pos x="T4" y="T5"/>
              </a:cxn>
            </a:cxnLst>
            <a:rect l="T9" t="T10" r="T11" b="T12"/>
            <a:pathLst>
              <a:path w="21600" h="21600" fill="none" extrusionOk="0">
                <a:moveTo>
                  <a:pt x="-1" y="0"/>
                </a:moveTo>
                <a:cubicBezTo>
                  <a:pt x="11929" y="0"/>
                  <a:pt x="21600" y="9670"/>
                  <a:pt x="21600" y="21600"/>
                </a:cubicBezTo>
              </a:path>
              <a:path w="21600" h="21600" stroke="0" extrusionOk="0">
                <a:moveTo>
                  <a:pt x="-1" y="0"/>
                </a:moveTo>
                <a:cubicBezTo>
                  <a:pt x="11929" y="0"/>
                  <a:pt x="21600" y="9670"/>
                  <a:pt x="21600" y="21600"/>
                </a:cubicBezTo>
                <a:lnTo>
                  <a:pt x="0" y="21600"/>
                </a:lnTo>
                <a:close/>
              </a:path>
            </a:pathLst>
          </a:custGeom>
          <a:solidFill>
            <a:srgbClr val="EEECE1"/>
          </a:solidFill>
          <a:ln w="12700">
            <a:solidFill>
              <a:srgbClr val="008000"/>
            </a:solidFill>
            <a:round/>
            <a:headEnd/>
            <a:tailEnd/>
          </a:ln>
        </xdr:spPr>
      </xdr:sp>
      <xdr:sp macro="" textlink="">
        <xdr:nvSpPr>
          <xdr:cNvPr id="23" name="Rectangle 28">
            <a:extLst>
              <a:ext uri="{FF2B5EF4-FFF2-40B4-BE49-F238E27FC236}">
                <a16:creationId xmlns:a16="http://schemas.microsoft.com/office/drawing/2014/main" id="{76FE2AF7-21E7-B808-04EF-99339B02DB8B}"/>
              </a:ext>
            </a:extLst>
          </xdr:cNvPr>
          <xdr:cNvSpPr>
            <a:spLocks noChangeArrowheads="1"/>
          </xdr:cNvSpPr>
        </xdr:nvSpPr>
        <xdr:spPr bwMode="auto">
          <a:xfrm>
            <a:off x="564" y="264"/>
            <a:ext cx="8" cy="30"/>
          </a:xfrm>
          <a:prstGeom prst="rect">
            <a:avLst/>
          </a:prstGeom>
          <a:solidFill>
            <a:srgbClr val="EEECE1"/>
          </a:solidFill>
          <a:ln>
            <a:noFill/>
          </a:ln>
          <a:extLst>
            <a:ext uri="{91240B29-F687-4F45-9708-019B960494DF}">
              <a14:hiddenLine xmlns:a14="http://schemas.microsoft.com/office/drawing/2010/main" w="3175">
                <a:solidFill>
                  <a:srgbClr val="000000"/>
                </a:solidFill>
                <a:miter lim="800000"/>
                <a:headEnd/>
                <a:tailEnd/>
              </a14:hiddenLine>
            </a:ext>
          </a:extLst>
        </xdr:spPr>
      </xdr:sp>
      <xdr:sp macro="" textlink="">
        <xdr:nvSpPr>
          <xdr:cNvPr id="24" name="Line 29">
            <a:extLst>
              <a:ext uri="{FF2B5EF4-FFF2-40B4-BE49-F238E27FC236}">
                <a16:creationId xmlns:a16="http://schemas.microsoft.com/office/drawing/2014/main" id="{C3BB7616-F898-D4D2-4942-E0DDF54E1711}"/>
              </a:ext>
            </a:extLst>
          </xdr:cNvPr>
          <xdr:cNvSpPr>
            <a:spLocks noChangeShapeType="1"/>
          </xdr:cNvSpPr>
        </xdr:nvSpPr>
        <xdr:spPr bwMode="auto">
          <a:xfrm flipV="1">
            <a:off x="572" y="264"/>
            <a:ext cx="0" cy="30"/>
          </a:xfrm>
          <a:prstGeom prst="line">
            <a:avLst/>
          </a:prstGeom>
          <a:noFill/>
          <a:ln w="12700">
            <a:solidFill>
              <a:srgbClr val="008000"/>
            </a:solidFill>
            <a:round/>
            <a:headEnd/>
            <a:tailEnd/>
          </a:ln>
          <a:extLst>
            <a:ext uri="{909E8E84-426E-40DD-AFC4-6F175D3DCCD1}">
              <a14:hiddenFill xmlns:a14="http://schemas.microsoft.com/office/drawing/2010/main">
                <a:noFill/>
              </a14:hiddenFill>
            </a:ext>
          </a:extLst>
        </xdr:spPr>
      </xdr:sp>
      <xdr:sp macro="" textlink="">
        <xdr:nvSpPr>
          <xdr:cNvPr id="25" name="Line 30">
            <a:extLst>
              <a:ext uri="{FF2B5EF4-FFF2-40B4-BE49-F238E27FC236}">
                <a16:creationId xmlns:a16="http://schemas.microsoft.com/office/drawing/2014/main" id="{1557B88F-75AA-70F2-239B-E25BFA05BA4C}"/>
              </a:ext>
            </a:extLst>
          </xdr:cNvPr>
          <xdr:cNvSpPr>
            <a:spLocks noChangeShapeType="1"/>
          </xdr:cNvSpPr>
        </xdr:nvSpPr>
        <xdr:spPr bwMode="auto">
          <a:xfrm flipV="1">
            <a:off x="555" y="264"/>
            <a:ext cx="0" cy="30"/>
          </a:xfrm>
          <a:prstGeom prst="line">
            <a:avLst/>
          </a:prstGeom>
          <a:noFill/>
          <a:ln w="12700">
            <a:solidFill>
              <a:srgbClr val="993300"/>
            </a:solidFill>
            <a:round/>
            <a:headEnd/>
            <a:tailEnd/>
          </a:ln>
          <a:extLst>
            <a:ext uri="{909E8E84-426E-40DD-AFC4-6F175D3DCCD1}">
              <a14:hiddenFill xmlns:a14="http://schemas.microsoft.com/office/drawing/2010/main">
                <a:noFill/>
              </a14:hiddenFill>
            </a:ext>
          </a:extLst>
        </xdr:spPr>
      </xdr:sp>
      <xdr:sp macro="" textlink="">
        <xdr:nvSpPr>
          <xdr:cNvPr id="26" name="Line 31">
            <a:extLst>
              <a:ext uri="{FF2B5EF4-FFF2-40B4-BE49-F238E27FC236}">
                <a16:creationId xmlns:a16="http://schemas.microsoft.com/office/drawing/2014/main" id="{38A978CD-E7B7-B752-A456-9B119D63ACC2}"/>
              </a:ext>
            </a:extLst>
          </xdr:cNvPr>
          <xdr:cNvSpPr>
            <a:spLocks noChangeShapeType="1"/>
          </xdr:cNvSpPr>
        </xdr:nvSpPr>
        <xdr:spPr bwMode="auto">
          <a:xfrm>
            <a:off x="564" y="294"/>
            <a:ext cx="8" cy="0"/>
          </a:xfrm>
          <a:prstGeom prst="line">
            <a:avLst/>
          </a:prstGeom>
          <a:noFill/>
          <a:ln w="12700">
            <a:solidFill>
              <a:srgbClr val="008000"/>
            </a:solidFill>
            <a:round/>
            <a:headEnd/>
            <a:tailEnd/>
          </a:ln>
          <a:extLst>
            <a:ext uri="{909E8E84-426E-40DD-AFC4-6F175D3DCCD1}">
              <a14:hiddenFill xmlns:a14="http://schemas.microsoft.com/office/drawing/2010/main">
                <a:noFill/>
              </a14:hiddenFill>
            </a:ext>
          </a:extLst>
        </xdr:spPr>
      </xdr:sp>
      <xdr:sp macro="" textlink="">
        <xdr:nvSpPr>
          <xdr:cNvPr id="27" name="Line 32">
            <a:extLst>
              <a:ext uri="{FF2B5EF4-FFF2-40B4-BE49-F238E27FC236}">
                <a16:creationId xmlns:a16="http://schemas.microsoft.com/office/drawing/2014/main" id="{44512C28-68FC-2B13-9AD9-E75E8C753B2E}"/>
              </a:ext>
            </a:extLst>
          </xdr:cNvPr>
          <xdr:cNvSpPr>
            <a:spLocks noChangeShapeType="1"/>
          </xdr:cNvSpPr>
        </xdr:nvSpPr>
        <xdr:spPr bwMode="auto">
          <a:xfrm>
            <a:off x="555" y="294"/>
            <a:ext cx="9" cy="0"/>
          </a:xfrm>
          <a:prstGeom prst="line">
            <a:avLst/>
          </a:prstGeom>
          <a:noFill/>
          <a:ln w="12700">
            <a:solidFill>
              <a:srgbClr val="993300"/>
            </a:solidFill>
            <a:round/>
            <a:headEnd/>
            <a:tailEnd/>
          </a:ln>
          <a:extLst>
            <a:ext uri="{909E8E84-426E-40DD-AFC4-6F175D3DCCD1}">
              <a14:hiddenFill xmlns:a14="http://schemas.microsoft.com/office/drawing/2010/main">
                <a:noFill/>
              </a14:hiddenFill>
            </a:ext>
          </a:extLst>
        </xdr:spPr>
      </xdr:sp>
    </xdr:grpSp>
    <xdr:clientData/>
  </xdr:twoCellAnchor>
  <xdr:twoCellAnchor>
    <xdr:from>
      <xdr:col>39</xdr:col>
      <xdr:colOff>2454</xdr:colOff>
      <xdr:row>1</xdr:row>
      <xdr:rowOff>142874</xdr:rowOff>
    </xdr:from>
    <xdr:to>
      <xdr:col>40</xdr:col>
      <xdr:colOff>2452</xdr:colOff>
      <xdr:row>2</xdr:row>
      <xdr:rowOff>142875</xdr:rowOff>
    </xdr:to>
    <xdr:sp macro="" textlink="">
      <xdr:nvSpPr>
        <xdr:cNvPr id="34" name="Rectangle 37">
          <a:extLst>
            <a:ext uri="{FF2B5EF4-FFF2-40B4-BE49-F238E27FC236}">
              <a16:creationId xmlns:a16="http://schemas.microsoft.com/office/drawing/2014/main" id="{6C05E537-9DF2-44E3-9CEC-2380718DB81A}"/>
            </a:ext>
          </a:extLst>
        </xdr:cNvPr>
        <xdr:cNvSpPr>
          <a:spLocks noChangeArrowheads="1"/>
        </xdr:cNvSpPr>
      </xdr:nvSpPr>
      <xdr:spPr bwMode="auto">
        <a:xfrm>
          <a:off x="6317529" y="314324"/>
          <a:ext cx="161923" cy="161926"/>
        </a:xfrm>
        <a:prstGeom prst="rect">
          <a:avLst/>
        </a:prstGeom>
        <a:noFill/>
        <a:ln w="9525">
          <a:solidFill>
            <a:srgbClr val="000000"/>
          </a:solidFill>
          <a:miter lim="800000"/>
          <a:headEnd/>
          <a:tailEnd/>
        </a:ln>
        <a:effectLst>
          <a:outerShdw dist="35921" dir="2700000" algn="ctr" rotWithShape="0">
            <a:srgbClr val="808080"/>
          </a:outerShdw>
        </a:effectLst>
      </xdr:spPr>
    </xdr:sp>
    <xdr:clientData/>
  </xdr:twoCellAnchor>
  <xdr:twoCellAnchor>
    <xdr:from>
      <xdr:col>38</xdr:col>
      <xdr:colOff>166654</xdr:colOff>
      <xdr:row>2</xdr:row>
      <xdr:rowOff>166685</xdr:rowOff>
    </xdr:from>
    <xdr:to>
      <xdr:col>39</xdr:col>
      <xdr:colOff>166653</xdr:colOff>
      <xdr:row>3</xdr:row>
      <xdr:rowOff>166684</xdr:rowOff>
    </xdr:to>
    <xdr:sp macro="" textlink="">
      <xdr:nvSpPr>
        <xdr:cNvPr id="35" name="Rectangle 38">
          <a:extLst>
            <a:ext uri="{FF2B5EF4-FFF2-40B4-BE49-F238E27FC236}">
              <a16:creationId xmlns:a16="http://schemas.microsoft.com/office/drawing/2014/main" id="{EB46005D-F767-4487-A7B3-AA242191A06D}"/>
            </a:ext>
          </a:extLst>
        </xdr:cNvPr>
        <xdr:cNvSpPr>
          <a:spLocks noChangeArrowheads="1"/>
        </xdr:cNvSpPr>
      </xdr:nvSpPr>
      <xdr:spPr bwMode="auto">
        <a:xfrm>
          <a:off x="6319804" y="500060"/>
          <a:ext cx="161924" cy="161924"/>
        </a:xfrm>
        <a:prstGeom prst="rect">
          <a:avLst/>
        </a:prstGeom>
        <a:noFill/>
        <a:ln w="9525">
          <a:solidFill>
            <a:srgbClr val="000000"/>
          </a:solidFill>
          <a:miter lim="800000"/>
          <a:headEnd/>
          <a:tailEnd/>
        </a:ln>
        <a:effectLst>
          <a:outerShdw dist="35921" dir="2700000" algn="ctr" rotWithShape="0">
            <a:srgbClr val="808080"/>
          </a:outerShdw>
        </a:effectLst>
      </xdr:spPr>
      <xdr:txBody>
        <a:bodyPr/>
        <a:lstStyle/>
        <a:p>
          <a:endParaRPr lang="es-CO"/>
        </a:p>
      </xdr:txBody>
    </xdr:sp>
    <xdr:clientData/>
  </xdr:twoCellAnchor>
  <xdr:twoCellAnchor>
    <xdr:from>
      <xdr:col>0</xdr:col>
      <xdr:colOff>0</xdr:colOff>
      <xdr:row>0</xdr:row>
      <xdr:rowOff>19050</xdr:rowOff>
    </xdr:from>
    <xdr:to>
      <xdr:col>15</xdr:col>
      <xdr:colOff>133350</xdr:colOff>
      <xdr:row>4</xdr:row>
      <xdr:rowOff>114300</xdr:rowOff>
    </xdr:to>
    <xdr:pic>
      <xdr:nvPicPr>
        <xdr:cNvPr id="36" name="Picture 118">
          <a:extLst>
            <a:ext uri="{FF2B5EF4-FFF2-40B4-BE49-F238E27FC236}">
              <a16:creationId xmlns:a16="http://schemas.microsoft.com/office/drawing/2014/main" id="{C71E5B70-D656-4B79-BC5A-D60CF88D929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9050"/>
          <a:ext cx="2562225" cy="752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86335</xdr:colOff>
      <xdr:row>35</xdr:row>
      <xdr:rowOff>169602</xdr:rowOff>
    </xdr:from>
    <xdr:to>
      <xdr:col>42</xdr:col>
      <xdr:colOff>3</xdr:colOff>
      <xdr:row>36</xdr:row>
      <xdr:rowOff>188871</xdr:rowOff>
    </xdr:to>
    <xdr:sp macro="" textlink="">
      <xdr:nvSpPr>
        <xdr:cNvPr id="37" name="Text Box 29">
          <a:extLst>
            <a:ext uri="{FF2B5EF4-FFF2-40B4-BE49-F238E27FC236}">
              <a16:creationId xmlns:a16="http://schemas.microsoft.com/office/drawing/2014/main" id="{030A7C06-761D-4B1D-80D8-A8D53FC4C057}"/>
            </a:ext>
          </a:extLst>
        </xdr:cNvPr>
        <xdr:cNvSpPr txBox="1">
          <a:spLocks noChangeArrowheads="1"/>
        </xdr:cNvSpPr>
      </xdr:nvSpPr>
      <xdr:spPr bwMode="auto">
        <a:xfrm>
          <a:off x="1271668" y="6174423"/>
          <a:ext cx="5840335" cy="195115"/>
        </a:xfrm>
        <a:prstGeom prst="rect">
          <a:avLst/>
        </a:prstGeom>
        <a:noFill/>
        <a:ln w="9525">
          <a:noFill/>
          <a:miter lim="800000"/>
          <a:headEnd/>
          <a:tailEnd/>
        </a:ln>
      </xdr:spPr>
      <xdr:txBody>
        <a:bodyPr vertOverflow="clip" wrap="square" lIns="91440" tIns="45720" rIns="91440" bIns="45720" anchor="t" upright="1"/>
        <a:lstStyle/>
        <a:p>
          <a:pPr algn="ctr" rtl="1">
            <a:defRPr sz="1000"/>
          </a:pPr>
          <a:r>
            <a:rPr lang="es-CO" sz="800" b="1" i="0" strike="noStrike">
              <a:solidFill>
                <a:srgbClr val="000000"/>
              </a:solidFill>
              <a:latin typeface="Century Gothic"/>
            </a:rPr>
            <a:t>Head Office – Alajuela, Oficentro</a:t>
          </a:r>
          <a:r>
            <a:rPr lang="es-CO" sz="800" b="1" i="0" strike="noStrike" baseline="0">
              <a:solidFill>
                <a:srgbClr val="000000"/>
              </a:solidFill>
              <a:latin typeface="Century Gothic"/>
            </a:rPr>
            <a:t> Plaza Aeropuerto - Office G14</a:t>
          </a:r>
          <a:r>
            <a:rPr lang="es-CO" sz="800" b="1" i="0" strike="noStrike">
              <a:solidFill>
                <a:srgbClr val="000000"/>
              </a:solidFill>
              <a:latin typeface="Century Gothic"/>
            </a:rPr>
            <a:t> - Phone (506) 8814-07-84 – Tele (506) 4037-5903 </a:t>
          </a:r>
          <a:endParaRPr lang="es-CO" sz="800" b="0" i="0" strike="noStrike">
            <a:solidFill>
              <a:srgbClr val="0000FF"/>
            </a:solidFill>
            <a:latin typeface="Century Gothic"/>
          </a:endParaRPr>
        </a:p>
      </xdr:txBody>
    </xdr:sp>
    <xdr:clientData/>
  </xdr:twoCellAnchor>
  <xdr:twoCellAnchor>
    <xdr:from>
      <xdr:col>43</xdr:col>
      <xdr:colOff>139148</xdr:colOff>
      <xdr:row>31</xdr:row>
      <xdr:rowOff>119270</xdr:rowOff>
    </xdr:from>
    <xdr:to>
      <xdr:col>48</xdr:col>
      <xdr:colOff>141467</xdr:colOff>
      <xdr:row>35</xdr:row>
      <xdr:rowOff>145443</xdr:rowOff>
    </xdr:to>
    <xdr:pic>
      <xdr:nvPicPr>
        <xdr:cNvPr id="38" name="38 Imagen">
          <a:extLst>
            <a:ext uri="{FF2B5EF4-FFF2-40B4-BE49-F238E27FC236}">
              <a16:creationId xmlns:a16="http://schemas.microsoft.com/office/drawing/2014/main" id="{2DD25FCE-1557-4F48-A2D0-9829BFAE86D8}"/>
            </a:ext>
          </a:extLst>
        </xdr:cNvPr>
        <xdr:cNvPicPr>
          <a:picLocks noChangeAspect="1" noChangeArrowheads="1"/>
        </xdr:cNvPicPr>
      </xdr:nvPicPr>
      <xdr:blipFill>
        <a:blip xmlns:r="http://schemas.openxmlformats.org/officeDocument/2006/relationships" r:embed="rId2">
          <a:clrChange>
            <a:clrFrom>
              <a:srgbClr val="FEFEFE"/>
            </a:clrFrom>
            <a:clrTo>
              <a:srgbClr val="FEFEFE">
                <a:alpha val="0"/>
              </a:srgbClr>
            </a:clrTo>
          </a:clrChange>
          <a:extLst>
            <a:ext uri="{28A0092B-C50C-407E-A947-70E740481C1C}">
              <a14:useLocalDpi xmlns:a14="http://schemas.microsoft.com/office/drawing/2010/main" val="0"/>
            </a:ext>
          </a:extLst>
        </a:blip>
        <a:srcRect/>
        <a:stretch>
          <a:fillRect/>
        </a:stretch>
      </xdr:blipFill>
      <xdr:spPr bwMode="auto">
        <a:xfrm>
          <a:off x="7262191" y="5314122"/>
          <a:ext cx="830580" cy="7086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19</xdr:col>
      <xdr:colOff>125413</xdr:colOff>
      <xdr:row>36</xdr:row>
      <xdr:rowOff>130525</xdr:rowOff>
    </xdr:from>
    <xdr:to>
      <xdr:col>29</xdr:col>
      <xdr:colOff>104204</xdr:colOff>
      <xdr:row>37</xdr:row>
      <xdr:rowOff>143282</xdr:rowOff>
    </xdr:to>
    <xdr:sp macro="" textlink="">
      <xdr:nvSpPr>
        <xdr:cNvPr id="39" name="Text Box 29">
          <a:extLst>
            <a:ext uri="{FF2B5EF4-FFF2-40B4-BE49-F238E27FC236}">
              <a16:creationId xmlns:a16="http://schemas.microsoft.com/office/drawing/2014/main" id="{2083F4AE-7E28-AA5C-8769-31356141F1D1}"/>
            </a:ext>
          </a:extLst>
        </xdr:cNvPr>
        <xdr:cNvSpPr txBox="1">
          <a:spLocks noChangeArrowheads="1"/>
        </xdr:cNvSpPr>
      </xdr:nvSpPr>
      <xdr:spPr bwMode="auto">
        <a:xfrm>
          <a:off x="3342746" y="6311192"/>
          <a:ext cx="1672125" cy="227680"/>
        </a:xfrm>
        <a:prstGeom prst="rect">
          <a:avLst/>
        </a:prstGeom>
        <a:noFill/>
        <a:ln w="9525">
          <a:noFill/>
          <a:miter lim="800000"/>
          <a:headEnd/>
          <a:tailEnd/>
        </a:ln>
      </xdr:spPr>
      <xdr:txBody>
        <a:bodyPr vertOverflow="clip" wrap="square" lIns="91440" tIns="45720" rIns="91440" bIns="45720" anchor="t" upright="1"/>
        <a:lstStyle/>
        <a:p>
          <a:pPr algn="ctr" rtl="1">
            <a:defRPr sz="1000"/>
          </a:pPr>
          <a:r>
            <a:rPr lang="es-CO" sz="1000" b="1" i="0">
              <a:solidFill>
                <a:srgbClr val="0000FF"/>
              </a:solidFill>
              <a:effectLst/>
              <a:latin typeface="+mn-lt"/>
              <a:ea typeface="+mn-ea"/>
              <a:cs typeface="+mn-cs"/>
            </a:rPr>
            <a:t>www.mslogisticsgroup.com</a:t>
          </a:r>
          <a:endParaRPr lang="es-CO" sz="800" b="0" i="0" strike="noStrike">
            <a:solidFill>
              <a:srgbClr val="0000FF"/>
            </a:solidFill>
            <a:latin typeface="Century Gothic"/>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30</xdr:col>
      <xdr:colOff>126999</xdr:colOff>
      <xdr:row>40</xdr:row>
      <xdr:rowOff>81493</xdr:rowOff>
    </xdr:from>
    <xdr:to>
      <xdr:col>36</xdr:col>
      <xdr:colOff>77610</xdr:colOff>
      <xdr:row>46</xdr:row>
      <xdr:rowOff>38383</xdr:rowOff>
    </xdr:to>
    <xdr:pic>
      <xdr:nvPicPr>
        <xdr:cNvPr id="2" name="38 Imagen">
          <a:extLst>
            <a:ext uri="{FF2B5EF4-FFF2-40B4-BE49-F238E27FC236}">
              <a16:creationId xmlns:a16="http://schemas.microsoft.com/office/drawing/2014/main" id="{84A04F8F-3475-46BA-AC92-7A68E424EE3C}"/>
            </a:ext>
          </a:extLst>
        </xdr:cNvPr>
        <xdr:cNvPicPr>
          <a:picLocks noChangeAspect="1" noChangeArrowheads="1"/>
        </xdr:cNvPicPr>
      </xdr:nvPicPr>
      <xdr:blipFill>
        <a:blip xmlns:r="http://schemas.openxmlformats.org/officeDocument/2006/relationships" r:embed="rId1">
          <a:clrChange>
            <a:clrFrom>
              <a:srgbClr val="FEFEFE"/>
            </a:clrFrom>
            <a:clrTo>
              <a:srgbClr val="FEFEFE">
                <a:alpha val="0"/>
              </a:srgbClr>
            </a:clrTo>
          </a:clrChange>
          <a:extLst>
            <a:ext uri="{28A0092B-C50C-407E-A947-70E740481C1C}">
              <a14:useLocalDpi xmlns:a14="http://schemas.microsoft.com/office/drawing/2010/main" val="0"/>
            </a:ext>
          </a:extLst>
        </a:blip>
        <a:srcRect/>
        <a:stretch>
          <a:fillRect/>
        </a:stretch>
      </xdr:blipFill>
      <xdr:spPr bwMode="auto">
        <a:xfrm>
          <a:off x="5206999" y="6572604"/>
          <a:ext cx="966611" cy="8247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3</xdr:col>
      <xdr:colOff>42334</xdr:colOff>
      <xdr:row>54</xdr:row>
      <xdr:rowOff>70555</xdr:rowOff>
    </xdr:from>
    <xdr:to>
      <xdr:col>8</xdr:col>
      <xdr:colOff>26247</xdr:colOff>
      <xdr:row>57</xdr:row>
      <xdr:rowOff>292382</xdr:rowOff>
    </xdr:to>
    <xdr:pic>
      <xdr:nvPicPr>
        <xdr:cNvPr id="3" name="38 Imagen">
          <a:extLst>
            <a:ext uri="{FF2B5EF4-FFF2-40B4-BE49-F238E27FC236}">
              <a16:creationId xmlns:a16="http://schemas.microsoft.com/office/drawing/2014/main" id="{206A9002-E523-4A51-A354-0D51817DEF34}"/>
            </a:ext>
          </a:extLst>
        </xdr:cNvPr>
        <xdr:cNvPicPr>
          <a:picLocks noChangeAspect="1" noChangeArrowheads="1"/>
        </xdr:cNvPicPr>
      </xdr:nvPicPr>
      <xdr:blipFill>
        <a:blip xmlns:r="http://schemas.openxmlformats.org/officeDocument/2006/relationships" r:embed="rId1">
          <a:clrChange>
            <a:clrFrom>
              <a:srgbClr val="FEFEFE"/>
            </a:clrFrom>
            <a:clrTo>
              <a:srgbClr val="FEFEFE">
                <a:alpha val="0"/>
              </a:srgbClr>
            </a:clrTo>
          </a:clrChange>
          <a:extLst>
            <a:ext uri="{28A0092B-C50C-407E-A947-70E740481C1C}">
              <a14:useLocalDpi xmlns:a14="http://schemas.microsoft.com/office/drawing/2010/main" val="0"/>
            </a:ext>
          </a:extLst>
        </a:blip>
        <a:srcRect/>
        <a:stretch>
          <a:fillRect/>
        </a:stretch>
      </xdr:blipFill>
      <xdr:spPr bwMode="auto">
        <a:xfrm>
          <a:off x="550334" y="8650111"/>
          <a:ext cx="830580" cy="7086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xdr:from>
      <xdr:col>4</xdr:col>
      <xdr:colOff>42334</xdr:colOff>
      <xdr:row>54</xdr:row>
      <xdr:rowOff>28222</xdr:rowOff>
    </xdr:from>
    <xdr:to>
      <xdr:col>9</xdr:col>
      <xdr:colOff>26247</xdr:colOff>
      <xdr:row>57</xdr:row>
      <xdr:rowOff>250048</xdr:rowOff>
    </xdr:to>
    <xdr:pic>
      <xdr:nvPicPr>
        <xdr:cNvPr id="3" name="38 Imagen">
          <a:extLst>
            <a:ext uri="{FF2B5EF4-FFF2-40B4-BE49-F238E27FC236}">
              <a16:creationId xmlns:a16="http://schemas.microsoft.com/office/drawing/2014/main" id="{5BC2B567-2D5A-4A1F-A37A-01A3306B1FBF}"/>
            </a:ext>
          </a:extLst>
        </xdr:cNvPr>
        <xdr:cNvPicPr>
          <a:picLocks noChangeAspect="1" noChangeArrowheads="1"/>
        </xdr:cNvPicPr>
      </xdr:nvPicPr>
      <xdr:blipFill>
        <a:blip xmlns:r="http://schemas.openxmlformats.org/officeDocument/2006/relationships" r:embed="rId1">
          <a:clrChange>
            <a:clrFrom>
              <a:srgbClr val="FEFEFE"/>
            </a:clrFrom>
            <a:clrTo>
              <a:srgbClr val="FEFEFE">
                <a:alpha val="0"/>
              </a:srgbClr>
            </a:clrTo>
          </a:clrChange>
          <a:extLst>
            <a:ext uri="{28A0092B-C50C-407E-A947-70E740481C1C}">
              <a14:useLocalDpi xmlns:a14="http://schemas.microsoft.com/office/drawing/2010/main" val="0"/>
            </a:ext>
          </a:extLst>
        </a:blip>
        <a:srcRect/>
        <a:stretch>
          <a:fillRect/>
        </a:stretch>
      </xdr:blipFill>
      <xdr:spPr bwMode="auto">
        <a:xfrm>
          <a:off x="719667" y="8643055"/>
          <a:ext cx="830580" cy="7086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xdr:from>
      <xdr:col>49</xdr:col>
      <xdr:colOff>133350</xdr:colOff>
      <xdr:row>32</xdr:row>
      <xdr:rowOff>57150</xdr:rowOff>
    </xdr:from>
    <xdr:to>
      <xdr:col>85</xdr:col>
      <xdr:colOff>47625</xdr:colOff>
      <xdr:row>34</xdr:row>
      <xdr:rowOff>133350</xdr:rowOff>
    </xdr:to>
    <xdr:pic>
      <xdr:nvPicPr>
        <xdr:cNvPr id="2" name="Picture 11">
          <a:extLst>
            <a:ext uri="{FF2B5EF4-FFF2-40B4-BE49-F238E27FC236}">
              <a16:creationId xmlns:a16="http://schemas.microsoft.com/office/drawing/2014/main" id="{21867D3F-2F0F-41D6-8A09-F14172D19D1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067675" y="5153025"/>
          <a:ext cx="5743575" cy="400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xdr:from>
      <xdr:col>0</xdr:col>
      <xdr:colOff>0</xdr:colOff>
      <xdr:row>0</xdr:row>
      <xdr:rowOff>0</xdr:rowOff>
    </xdr:from>
    <xdr:to>
      <xdr:col>10</xdr:col>
      <xdr:colOff>60960</xdr:colOff>
      <xdr:row>3</xdr:row>
      <xdr:rowOff>99060</xdr:rowOff>
    </xdr:to>
    <xdr:pic>
      <xdr:nvPicPr>
        <xdr:cNvPr id="3" name="Picture 118">
          <a:extLst>
            <a:ext uri="{FF2B5EF4-FFF2-40B4-BE49-F238E27FC236}">
              <a16:creationId xmlns:a16="http://schemas.microsoft.com/office/drawing/2014/main" id="{B650B8C0-AC13-48DF-89C1-3094A723491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2644140" cy="7848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84908</xdr:colOff>
      <xdr:row>31</xdr:row>
      <xdr:rowOff>31568</xdr:rowOff>
    </xdr:from>
    <xdr:to>
      <xdr:col>11</xdr:col>
      <xdr:colOff>95794</xdr:colOff>
      <xdr:row>34</xdr:row>
      <xdr:rowOff>191588</xdr:rowOff>
    </xdr:to>
    <xdr:pic>
      <xdr:nvPicPr>
        <xdr:cNvPr id="4" name="38 Imagen">
          <a:extLst>
            <a:ext uri="{FF2B5EF4-FFF2-40B4-BE49-F238E27FC236}">
              <a16:creationId xmlns:a16="http://schemas.microsoft.com/office/drawing/2014/main" id="{618C7213-E6A9-426F-A914-4E2DA1B38B25}"/>
            </a:ext>
          </a:extLst>
        </xdr:cNvPr>
        <xdr:cNvPicPr>
          <a:picLocks noChangeAspect="1" noChangeArrowheads="1"/>
        </xdr:cNvPicPr>
      </xdr:nvPicPr>
      <xdr:blipFill>
        <a:blip xmlns:r="http://schemas.openxmlformats.org/officeDocument/2006/relationships" r:embed="rId2">
          <a:clrChange>
            <a:clrFrom>
              <a:srgbClr val="FEFEFE"/>
            </a:clrFrom>
            <a:clrTo>
              <a:srgbClr val="FEFEFE">
                <a:alpha val="0"/>
              </a:srgbClr>
            </a:clrTo>
          </a:clrChange>
          <a:extLst>
            <a:ext uri="{28A0092B-C50C-407E-A947-70E740481C1C}">
              <a14:useLocalDpi xmlns:a14="http://schemas.microsoft.com/office/drawing/2010/main" val="0"/>
            </a:ext>
          </a:extLst>
        </a:blip>
        <a:srcRect/>
        <a:stretch>
          <a:fillRect/>
        </a:stretch>
      </xdr:blipFill>
      <xdr:spPr bwMode="auto">
        <a:xfrm>
          <a:off x="2000794" y="7118168"/>
          <a:ext cx="947057" cy="8458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xdr:twoCellAnchor>
    <xdr:from>
      <xdr:col>0</xdr:col>
      <xdr:colOff>0</xdr:colOff>
      <xdr:row>0</xdr:row>
      <xdr:rowOff>0</xdr:rowOff>
    </xdr:from>
    <xdr:to>
      <xdr:col>10</xdr:col>
      <xdr:colOff>60960</xdr:colOff>
      <xdr:row>3</xdr:row>
      <xdr:rowOff>99060</xdr:rowOff>
    </xdr:to>
    <xdr:pic>
      <xdr:nvPicPr>
        <xdr:cNvPr id="2" name="Picture 118">
          <a:extLst>
            <a:ext uri="{FF2B5EF4-FFF2-40B4-BE49-F238E27FC236}">
              <a16:creationId xmlns:a16="http://schemas.microsoft.com/office/drawing/2014/main" id="{96E4B412-084A-455D-B19F-76C4094AC27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2566035" cy="7848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84908</xdr:colOff>
      <xdr:row>31</xdr:row>
      <xdr:rowOff>31568</xdr:rowOff>
    </xdr:from>
    <xdr:to>
      <xdr:col>11</xdr:col>
      <xdr:colOff>95794</xdr:colOff>
      <xdr:row>34</xdr:row>
      <xdr:rowOff>191588</xdr:rowOff>
    </xdr:to>
    <xdr:pic>
      <xdr:nvPicPr>
        <xdr:cNvPr id="3" name="38 Imagen">
          <a:extLst>
            <a:ext uri="{FF2B5EF4-FFF2-40B4-BE49-F238E27FC236}">
              <a16:creationId xmlns:a16="http://schemas.microsoft.com/office/drawing/2014/main" id="{BB4B7DFA-27AF-4049-A8FC-095AD59B125F}"/>
            </a:ext>
          </a:extLst>
        </xdr:cNvPr>
        <xdr:cNvPicPr>
          <a:picLocks noChangeAspect="1" noChangeArrowheads="1"/>
        </xdr:cNvPicPr>
      </xdr:nvPicPr>
      <xdr:blipFill>
        <a:blip xmlns:r="http://schemas.openxmlformats.org/officeDocument/2006/relationships" r:embed="rId2">
          <a:clrChange>
            <a:clrFrom>
              <a:srgbClr val="FEFEFE"/>
            </a:clrFrom>
            <a:clrTo>
              <a:srgbClr val="FEFEFE">
                <a:alpha val="0"/>
              </a:srgbClr>
            </a:clrTo>
          </a:clrChange>
          <a:extLst>
            <a:ext uri="{28A0092B-C50C-407E-A947-70E740481C1C}">
              <a14:useLocalDpi xmlns:a14="http://schemas.microsoft.com/office/drawing/2010/main" val="0"/>
            </a:ext>
          </a:extLst>
        </a:blip>
        <a:srcRect/>
        <a:stretch>
          <a:fillRect/>
        </a:stretch>
      </xdr:blipFill>
      <xdr:spPr bwMode="auto">
        <a:xfrm>
          <a:off x="1913708" y="7118168"/>
          <a:ext cx="915761" cy="8458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Qube\chem-barge\BUQUES\VASCONIA%20CRUDE.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Qube\chem-barge\BUQUES\WINDOWS\Escritorio\Mi%20Malet&#237;n\Moscow\Moscalc.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Qube\chem-barge\BUQUES\ABORDO.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Qube\chem-barge\BUQUES\DELL\My%20Documents\VASCONIA%20CRUDE.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Qube\chem-barge\BUQUES\My%20Documents\CHOFF\VOY-10-REF.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NTRADA"/>
      <sheetName val="QVEF"/>
      <sheetName val="QOBQROB"/>
      <sheetName val="Q-VISINS"/>
      <sheetName val="Q-ORDERS"/>
      <sheetName val="SHIPTAR"/>
      <sheetName val="Q-SAMDIS"/>
      <sheetName val="Q-VOIDS"/>
      <sheetName val="Q-CKLSTL"/>
      <sheetName val="Q-GAGEHT"/>
      <sheetName val="Q-COMPAR."/>
      <sheetName val=" Q-BUNKER"/>
      <sheetName val="Q-GEN-INDEX"/>
      <sheetName val="Q-DOCREC"/>
      <sheetName val=" Q-TIMLOG"/>
      <sheetName val="QULLREP"/>
      <sheetName val="QCHEVAR"/>
      <sheetName val="Q-SUMRY"/>
      <sheetName val="SHOMET"/>
      <sheetName val=" Q-COA"/>
      <sheetName val="SAMPER"/>
      <sheetName val="TANULOD"/>
      <sheetName val="Q-DISCRP"/>
      <sheetName val="Q-LINDIS"/>
      <sheetName val="Q-LOP"/>
      <sheetName val="TELEX ECOPETROL"/>
      <sheetName val="TELEX COMERCIAL"/>
      <sheetName val="EXXONMOBIL"/>
      <sheetName val="SHICARGO"/>
      <sheetName val="VITOL"/>
      <sheetName val="MURPHY"/>
      <sheetName val="VALERO"/>
      <sheetName val="LYONDELL"/>
      <sheetName val="TOTAL"/>
      <sheetName val="KOCH"/>
      <sheetName val="Q-LOT"/>
      <sheetName val="TOSCO"/>
      <sheetName val="VALERO-TIME"/>
      <sheetName val="AMOCO"/>
      <sheetName val="EQUIVA"/>
      <sheetName val="MARATHONS"/>
      <sheetName val="Q-PARTIC"/>
      <sheetName val="TIERRA-3TKS"/>
      <sheetName val="TANULOD (2)"/>
      <sheetName val=" Q-TIMLOG (2)"/>
    </sheetNames>
    <sheetDataSet>
      <sheetData sheetId="0"/>
      <sheetData sheetId="1">
        <row r="1">
          <cell r="F1" t="str">
            <v>VESSEL EXPERIENCE FACTOR SEQUENTIAL VOYAGE</v>
          </cell>
          <cell r="R1" t="str">
            <v>JOB NO.</v>
          </cell>
          <cell r="T1" t="str">
            <v>0204-01-1-02BT01</v>
          </cell>
        </row>
        <row r="2">
          <cell r="A2" t="str">
            <v>VESSEL</v>
          </cell>
          <cell r="D2" t="str">
            <v>FRANKOPAN</v>
          </cell>
          <cell r="J2" t="str">
            <v xml:space="preserve"> CARGO</v>
          </cell>
          <cell r="L2" t="str">
            <v>VASCONIA CRUDE OIL</v>
          </cell>
          <cell r="S2" t="str">
            <v>DATE</v>
          </cell>
          <cell r="U2" t="str">
            <v>02/01/2002</v>
          </cell>
        </row>
        <row r="3">
          <cell r="A3" t="str">
            <v>TERMINAL/PORT</v>
          </cell>
          <cell r="D3" t="str">
            <v>COVEÑAS OFFSHORE PETROLEUM TLU-1/COVEÑAS</v>
          </cell>
          <cell r="J3" t="str">
            <v>CLIENT(S) REF.</v>
          </cell>
          <cell r="N3" t="str">
            <v>V-382</v>
          </cell>
        </row>
        <row r="4">
          <cell r="I4" t="str">
            <v xml:space="preserve">                 BARRELS [  X ]</v>
          </cell>
          <cell r="M4" t="str">
            <v xml:space="preserve">     CUBIC METERS [    ]</v>
          </cell>
          <cell r="S4" t="str">
            <v>LOAD</v>
          </cell>
        </row>
        <row r="5">
          <cell r="K5" t="str">
            <v xml:space="preserve">     VESSEL</v>
          </cell>
          <cell r="P5" t="str">
            <v>SHORE</v>
          </cell>
          <cell r="Q5" t="str">
            <v>V.C.F.</v>
          </cell>
          <cell r="S5" t="str">
            <v>VSL  RATIO</v>
          </cell>
          <cell r="V5" t="str">
            <v>QUAL.</v>
          </cell>
        </row>
        <row r="6">
          <cell r="A6" t="str">
            <v>VOYAGE</v>
          </cell>
          <cell r="B6" t="str">
            <v>CARGO</v>
          </cell>
          <cell r="Q6" t="str">
            <v>TABLE</v>
          </cell>
          <cell r="S6" t="str">
            <v>VESSEL  /</v>
          </cell>
          <cell r="V6" t="str">
            <v>VOY.?</v>
          </cell>
        </row>
        <row r="7">
          <cell r="B7" t="str">
            <v xml:space="preserve">  DESCRIPTION</v>
          </cell>
          <cell r="E7" t="str">
            <v xml:space="preserve">    TERMINAL</v>
          </cell>
          <cell r="G7" t="str">
            <v xml:space="preserve">   DATE</v>
          </cell>
          <cell r="Q7" t="str">
            <v>USED</v>
          </cell>
          <cell r="S7" t="str">
            <v>SHORE TCV</v>
          </cell>
          <cell r="V7" t="str">
            <v>(Y/N)</v>
          </cell>
        </row>
        <row r="8">
          <cell r="I8" t="str">
            <v xml:space="preserve"> SAIL        TCV</v>
          </cell>
          <cell r="K8" t="str">
            <v>MINUS</v>
          </cell>
          <cell r="L8" t="str">
            <v>=</v>
          </cell>
          <cell r="M8" t="str">
            <v>LOAD</v>
          </cell>
          <cell r="O8" t="str">
            <v>TCV</v>
          </cell>
          <cell r="P8" t="str">
            <v>TCV</v>
          </cell>
        </row>
        <row r="9">
          <cell r="A9" t="str">
            <v>LAST</v>
          </cell>
          <cell r="B9" t="str">
            <v>OLMECA CRUDE OIL</v>
          </cell>
          <cell r="E9" t="str">
            <v>COATZACOALCOS</v>
          </cell>
          <cell r="G9">
            <v>37272</v>
          </cell>
          <cell r="I9">
            <v>550498</v>
          </cell>
          <cell r="N9">
            <v>550498</v>
          </cell>
          <cell r="P9">
            <v>550034</v>
          </cell>
          <cell r="R9" t="str">
            <v>6A</v>
          </cell>
          <cell r="S9">
            <v>1.00084</v>
          </cell>
          <cell r="V9" t="str">
            <v>Y</v>
          </cell>
          <cell r="W9">
            <v>1.00084</v>
          </cell>
        </row>
        <row r="10">
          <cell r="A10" t="str">
            <v>2 ND</v>
          </cell>
          <cell r="B10" t="str">
            <v>MAYA CRUDE OIL</v>
          </cell>
          <cell r="E10" t="str">
            <v>CAYO ARCAS</v>
          </cell>
          <cell r="G10">
            <v>37250</v>
          </cell>
          <cell r="I10">
            <v>497266</v>
          </cell>
          <cell r="N10">
            <v>497266</v>
          </cell>
          <cell r="P10">
            <v>499112</v>
          </cell>
          <cell r="R10" t="str">
            <v>6A</v>
          </cell>
          <cell r="S10">
            <v>0.99629999999999996</v>
          </cell>
          <cell r="V10" t="str">
            <v>Y</v>
          </cell>
          <cell r="W10">
            <v>0.99629999999999996</v>
          </cell>
        </row>
        <row r="11">
          <cell r="A11" t="str">
            <v>3 RD</v>
          </cell>
          <cell r="B11" t="str">
            <v>ISTHMUS CRUDE OIL</v>
          </cell>
          <cell r="E11" t="str">
            <v>DOS BOCAS</v>
          </cell>
          <cell r="G11">
            <v>37240</v>
          </cell>
          <cell r="I11">
            <v>501235</v>
          </cell>
          <cell r="N11">
            <v>501235</v>
          </cell>
          <cell r="P11">
            <v>501036</v>
          </cell>
          <cell r="R11" t="str">
            <v>6A</v>
          </cell>
          <cell r="S11">
            <v>1.0004</v>
          </cell>
          <cell r="V11" t="str">
            <v>Y</v>
          </cell>
          <cell r="W11">
            <v>1.0004</v>
          </cell>
        </row>
        <row r="12">
          <cell r="A12" t="str">
            <v>4 TH</v>
          </cell>
          <cell r="B12" t="str">
            <v>OLMECA CRUDE OIL</v>
          </cell>
          <cell r="E12" t="str">
            <v>COATZACOALCOS</v>
          </cell>
          <cell r="G12">
            <v>37227</v>
          </cell>
          <cell r="I12">
            <v>545945</v>
          </cell>
          <cell r="N12">
            <v>545945</v>
          </cell>
          <cell r="P12">
            <v>545241</v>
          </cell>
          <cell r="R12" t="str">
            <v>6A</v>
          </cell>
          <cell r="S12">
            <v>1.00129</v>
          </cell>
          <cell r="V12" t="str">
            <v>Y</v>
          </cell>
          <cell r="W12">
            <v>1.00129</v>
          </cell>
        </row>
        <row r="13">
          <cell r="A13" t="str">
            <v>5 TH</v>
          </cell>
          <cell r="B13" t="str">
            <v>MAYA CRUDE OIL</v>
          </cell>
          <cell r="E13" t="str">
            <v>CAYO ARCAS</v>
          </cell>
          <cell r="G13">
            <v>37213</v>
          </cell>
          <cell r="I13">
            <v>510355</v>
          </cell>
          <cell r="N13">
            <v>510355</v>
          </cell>
          <cell r="P13">
            <v>510482</v>
          </cell>
          <cell r="R13" t="str">
            <v>6A</v>
          </cell>
          <cell r="S13">
            <v>0.99975000000000003</v>
          </cell>
          <cell r="V13" t="str">
            <v>Y</v>
          </cell>
          <cell r="W13">
            <v>0.99975000000000003</v>
          </cell>
        </row>
        <row r="14">
          <cell r="A14" t="str">
            <v>6 TH</v>
          </cell>
          <cell r="B14" t="str">
            <v>OLMECA CRUDE OIL</v>
          </cell>
          <cell r="E14" t="str">
            <v>COATZACOALCOS</v>
          </cell>
          <cell r="G14">
            <v>37203</v>
          </cell>
          <cell r="I14">
            <v>549634</v>
          </cell>
          <cell r="N14">
            <v>549634</v>
          </cell>
          <cell r="P14">
            <v>550150</v>
          </cell>
          <cell r="R14" t="str">
            <v>6A</v>
          </cell>
          <cell r="S14">
            <v>0.99905999999999995</v>
          </cell>
          <cell r="V14" t="str">
            <v>Y</v>
          </cell>
          <cell r="W14">
            <v>0.99905999999999995</v>
          </cell>
        </row>
        <row r="15">
          <cell r="A15" t="str">
            <v>7 TH</v>
          </cell>
          <cell r="B15" t="str">
            <v>MAYA CRUDE OIL</v>
          </cell>
          <cell r="E15" t="str">
            <v>CAYO ARCAS</v>
          </cell>
          <cell r="G15">
            <v>37184</v>
          </cell>
          <cell r="I15">
            <v>519475</v>
          </cell>
          <cell r="N15">
            <v>519475</v>
          </cell>
          <cell r="P15">
            <v>520611</v>
          </cell>
          <cell r="R15" t="str">
            <v>6A</v>
          </cell>
          <cell r="S15">
            <v>0.99782000000000004</v>
          </cell>
          <cell r="V15" t="str">
            <v>Y</v>
          </cell>
          <cell r="W15">
            <v>0.99782000000000004</v>
          </cell>
        </row>
        <row r="16">
          <cell r="A16" t="str">
            <v>8 TH</v>
          </cell>
          <cell r="B16" t="str">
            <v>OLMECA CRUDE OIL</v>
          </cell>
          <cell r="E16" t="str">
            <v>COATZACOALCOS</v>
          </cell>
          <cell r="G16">
            <v>37165</v>
          </cell>
          <cell r="I16">
            <v>544089</v>
          </cell>
          <cell r="N16">
            <v>544089</v>
          </cell>
          <cell r="P16">
            <v>545083</v>
          </cell>
          <cell r="R16" t="str">
            <v>6A</v>
          </cell>
          <cell r="S16">
            <v>0.99817999999999996</v>
          </cell>
          <cell r="V16" t="str">
            <v>Y</v>
          </cell>
          <cell r="W16">
            <v>0.99817999999999996</v>
          </cell>
        </row>
        <row r="17">
          <cell r="A17" t="str">
            <v>9 TH</v>
          </cell>
          <cell r="B17" t="str">
            <v>OLMECA CRUDE OIL</v>
          </cell>
          <cell r="E17" t="str">
            <v>COATZACOALCOS</v>
          </cell>
          <cell r="G17">
            <v>37155</v>
          </cell>
          <cell r="I17">
            <v>549551</v>
          </cell>
          <cell r="N17">
            <v>549551</v>
          </cell>
          <cell r="P17">
            <v>550079</v>
          </cell>
          <cell r="R17" t="str">
            <v>6A</v>
          </cell>
          <cell r="S17">
            <v>0.99904000000000004</v>
          </cell>
          <cell r="V17" t="str">
            <v>Y</v>
          </cell>
          <cell r="W17">
            <v>0.99904000000000004</v>
          </cell>
        </row>
        <row r="18">
          <cell r="A18" t="str">
            <v xml:space="preserve">10TH </v>
          </cell>
          <cell r="B18" t="str">
            <v>OLMECA CRUDE OIL</v>
          </cell>
          <cell r="E18" t="str">
            <v>COATZACOALCOS</v>
          </cell>
          <cell r="G18">
            <v>37144</v>
          </cell>
          <cell r="I18">
            <v>557852</v>
          </cell>
          <cell r="N18">
            <v>557852</v>
          </cell>
          <cell r="P18">
            <v>558024</v>
          </cell>
          <cell r="R18" t="str">
            <v>6A</v>
          </cell>
          <cell r="S18">
            <v>0.99968999999999997</v>
          </cell>
          <cell r="V18" t="str">
            <v>Y</v>
          </cell>
          <cell r="W18">
            <v>0.99968999999999997</v>
          </cell>
        </row>
        <row r="19">
          <cell r="A19" t="str">
            <v>11TH</v>
          </cell>
          <cell r="B19" t="str">
            <v>OLMECA CRUDE OIL</v>
          </cell>
          <cell r="E19" t="str">
            <v>COATZACOALCOS</v>
          </cell>
          <cell r="G19">
            <v>37134</v>
          </cell>
          <cell r="I19">
            <v>549750</v>
          </cell>
          <cell r="N19">
            <v>549750</v>
          </cell>
          <cell r="P19">
            <v>550042</v>
          </cell>
          <cell r="R19" t="str">
            <v>6A</v>
          </cell>
          <cell r="S19">
            <v>0.99946999999999997</v>
          </cell>
          <cell r="V19" t="str">
            <v>Y</v>
          </cell>
          <cell r="W19">
            <v>0.99946999999999997</v>
          </cell>
        </row>
        <row r="20">
          <cell r="A20" t="str">
            <v>12TH</v>
          </cell>
          <cell r="B20" t="str">
            <v>CAÑO LIMON CRUDE</v>
          </cell>
          <cell r="E20" t="str">
            <v>COVEÑAS</v>
          </cell>
          <cell r="G20">
            <v>37122</v>
          </cell>
          <cell r="I20">
            <v>510220</v>
          </cell>
          <cell r="N20">
            <v>510220</v>
          </cell>
          <cell r="P20">
            <v>510015</v>
          </cell>
          <cell r="R20" t="str">
            <v>6A</v>
          </cell>
          <cell r="S20">
            <v>1.0004</v>
          </cell>
          <cell r="V20" t="str">
            <v>Y</v>
          </cell>
          <cell r="W20">
            <v>1.0004</v>
          </cell>
        </row>
        <row r="21">
          <cell r="A21" t="str">
            <v>13TH</v>
          </cell>
          <cell r="B21" t="str">
            <v>OLMECA CRUDE OIL</v>
          </cell>
          <cell r="E21" t="str">
            <v>COATZACOALCOS</v>
          </cell>
          <cell r="G21">
            <v>37110</v>
          </cell>
          <cell r="I21">
            <v>550005</v>
          </cell>
          <cell r="N21">
            <v>550005</v>
          </cell>
          <cell r="P21">
            <v>550233</v>
          </cell>
          <cell r="R21" t="str">
            <v>6A</v>
          </cell>
          <cell r="S21">
            <v>0.99958999999999998</v>
          </cell>
          <cell r="V21" t="str">
            <v>Y</v>
          </cell>
          <cell r="W21">
            <v>0.99958999999999998</v>
          </cell>
        </row>
        <row r="22">
          <cell r="A22" t="str">
            <v>14TH</v>
          </cell>
          <cell r="B22" t="str">
            <v>OLMECA CRUDE OIL</v>
          </cell>
          <cell r="E22" t="str">
            <v>COATZACOALCOS</v>
          </cell>
          <cell r="G22">
            <v>37094</v>
          </cell>
          <cell r="I22">
            <v>544697</v>
          </cell>
          <cell r="N22">
            <v>544697</v>
          </cell>
          <cell r="P22">
            <v>545227</v>
          </cell>
          <cell r="R22" t="str">
            <v>6A</v>
          </cell>
          <cell r="S22">
            <v>0.99902999999999997</v>
          </cell>
          <cell r="V22" t="str">
            <v>Y</v>
          </cell>
          <cell r="W22">
            <v>0.99902999999999997</v>
          </cell>
        </row>
        <row r="23">
          <cell r="A23" t="str">
            <v>15TH</v>
          </cell>
          <cell r="B23" t="str">
            <v>OLMECA CRUDE OIL</v>
          </cell>
          <cell r="E23" t="str">
            <v>COATZACOALCOS</v>
          </cell>
          <cell r="G23">
            <v>37086</v>
          </cell>
          <cell r="I23">
            <v>544584</v>
          </cell>
          <cell r="N23">
            <v>544584</v>
          </cell>
          <cell r="P23">
            <v>545281</v>
          </cell>
          <cell r="R23" t="str">
            <v>6A</v>
          </cell>
          <cell r="S23">
            <v>0.99872000000000005</v>
          </cell>
          <cell r="V23" t="str">
            <v>Y</v>
          </cell>
          <cell r="W23">
            <v>0.99872000000000005</v>
          </cell>
        </row>
        <row r="24">
          <cell r="A24" t="str">
            <v>16TH</v>
          </cell>
          <cell r="B24" t="str">
            <v>OLMECA CRUDE OIL</v>
          </cell>
          <cell r="E24" t="str">
            <v>COATZACOALCOS</v>
          </cell>
          <cell r="G24">
            <v>37074</v>
          </cell>
          <cell r="I24">
            <v>544566</v>
          </cell>
          <cell r="N24">
            <v>544566</v>
          </cell>
          <cell r="P24">
            <v>545247</v>
          </cell>
          <cell r="R24" t="str">
            <v>6A</v>
          </cell>
          <cell r="S24">
            <v>0.99875000000000003</v>
          </cell>
          <cell r="V24" t="str">
            <v>Y</v>
          </cell>
          <cell r="W24">
            <v>0.99875000000000003</v>
          </cell>
        </row>
        <row r="25">
          <cell r="A25" t="str">
            <v>17TH</v>
          </cell>
          <cell r="B25" t="str">
            <v>MAYA CRUDE OIL</v>
          </cell>
          <cell r="E25" t="str">
            <v>CAYO ARCAS</v>
          </cell>
          <cell r="G25">
            <v>37067</v>
          </cell>
          <cell r="I25">
            <v>519960</v>
          </cell>
          <cell r="N25">
            <v>519960</v>
          </cell>
          <cell r="P25">
            <v>520583</v>
          </cell>
          <cell r="R25" t="str">
            <v>6A</v>
          </cell>
          <cell r="S25">
            <v>0.99880000000000002</v>
          </cell>
          <cell r="V25" t="str">
            <v>Y</v>
          </cell>
          <cell r="W25">
            <v>0.99880000000000002</v>
          </cell>
        </row>
        <row r="26">
          <cell r="A26" t="str">
            <v xml:space="preserve">18TH </v>
          </cell>
          <cell r="B26" t="str">
            <v>OLMECA CRUDE OIL</v>
          </cell>
          <cell r="E26" t="str">
            <v>COATZACOALCOS</v>
          </cell>
          <cell r="G26">
            <v>37059</v>
          </cell>
          <cell r="I26">
            <v>544255</v>
          </cell>
          <cell r="N26">
            <v>544255</v>
          </cell>
          <cell r="P26">
            <v>545020</v>
          </cell>
          <cell r="R26" t="str">
            <v>6A</v>
          </cell>
          <cell r="S26">
            <v>0.99860000000000004</v>
          </cell>
          <cell r="V26" t="str">
            <v>Y</v>
          </cell>
          <cell r="W26">
            <v>0.99860000000000004</v>
          </cell>
        </row>
        <row r="27">
          <cell r="A27" t="str">
            <v>19TH</v>
          </cell>
          <cell r="B27" t="str">
            <v>LEONA 25 CRUDE OIL</v>
          </cell>
          <cell r="E27" t="str">
            <v>JOSE PLATFORM</v>
          </cell>
          <cell r="G27">
            <v>37043</v>
          </cell>
          <cell r="I27">
            <v>492584</v>
          </cell>
          <cell r="N27">
            <v>492584</v>
          </cell>
          <cell r="P27">
            <v>492495</v>
          </cell>
          <cell r="R27" t="str">
            <v>6A</v>
          </cell>
          <cell r="S27">
            <v>1.0001800000000001</v>
          </cell>
          <cell r="V27" t="str">
            <v>Y</v>
          </cell>
          <cell r="W27">
            <v>1.0001800000000001</v>
          </cell>
        </row>
        <row r="28">
          <cell r="A28" t="str">
            <v>20TH</v>
          </cell>
          <cell r="B28" t="str">
            <v>OLMECA CRUDE OIL</v>
          </cell>
          <cell r="E28" t="str">
            <v>COATZACOALCOS</v>
          </cell>
          <cell r="G28">
            <v>40317</v>
          </cell>
          <cell r="I28">
            <v>521840</v>
          </cell>
          <cell r="N28">
            <v>521840</v>
          </cell>
          <cell r="P28">
            <v>522909</v>
          </cell>
          <cell r="R28" t="str">
            <v>6A</v>
          </cell>
          <cell r="S28">
            <v>0.99795999999999996</v>
          </cell>
          <cell r="V28" t="str">
            <v>Y</v>
          </cell>
          <cell r="W28">
            <v>0.99795999999999996</v>
          </cell>
        </row>
        <row r="30">
          <cell r="N30">
            <v>10648361</v>
          </cell>
          <cell r="P30">
            <v>10656904</v>
          </cell>
          <cell r="Q30" t="str">
            <v>TOTALS</v>
          </cell>
        </row>
        <row r="31">
          <cell r="A31" t="str">
            <v xml:space="preserve">        VESSEL/TERMINAL REPRESENTATIVE</v>
          </cell>
        </row>
        <row r="32">
          <cell r="P32">
            <v>0.99919999999999998</v>
          </cell>
          <cell r="Q32" t="str">
            <v>AVERAGE T.C.V. RATIO</v>
          </cell>
        </row>
        <row r="33">
          <cell r="A33" t="str">
            <v>SIGNATURE</v>
          </cell>
        </row>
        <row r="34">
          <cell r="N34">
            <v>10648361</v>
          </cell>
          <cell r="P34">
            <v>10656904</v>
          </cell>
          <cell r="Q34" t="str">
            <v>TTL. QUALIFYING VOYAGES</v>
          </cell>
        </row>
        <row r="35">
          <cell r="A35" t="str">
            <v>PRINT NAME</v>
          </cell>
          <cell r="C35" t="str">
            <v>MILAN ZUVIC</v>
          </cell>
        </row>
        <row r="36">
          <cell r="P36">
            <v>0.99919999999999998</v>
          </cell>
          <cell r="Q36" t="str">
            <v>VEF</v>
          </cell>
        </row>
        <row r="37">
          <cell r="A37" t="str">
            <v>POSITION</v>
          </cell>
          <cell r="C37" t="str">
            <v>CHIEF OFFICER</v>
          </cell>
        </row>
        <row r="38">
          <cell r="I38" t="str">
            <v xml:space="preserve">                   FOR INSPECTORATE:</v>
          </cell>
        </row>
        <row r="39">
          <cell r="A39" t="str">
            <v>Q-VEF REV #1-01/01</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YDROSTATIC TABLE"/>
    </sheetNames>
    <sheetDataSet>
      <sheetData sheetId="0"/>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NTRADA"/>
      <sheetName val="QOBQROB"/>
      <sheetName val="QVEF"/>
      <sheetName val="Q-VISINS"/>
      <sheetName val="Q-DOCREC"/>
      <sheetName val="Q-GEN-INDEX"/>
      <sheetName val="Q-ORDERS"/>
      <sheetName val="Q-SAMDIS"/>
      <sheetName val="Q-CKLSTL"/>
      <sheetName val="Q-VOIDS"/>
      <sheetName val="SHIPTAR"/>
      <sheetName val="Q-GAGEHT"/>
      <sheetName val=" Q-BUNKER"/>
      <sheetName val=" Q-TIMLOG"/>
      <sheetName val="QULLREP"/>
      <sheetName val="QCHEVAR"/>
      <sheetName val="Q-LINDIS"/>
      <sheetName val="Q-SUMRY"/>
      <sheetName val="Q-DISCRP"/>
      <sheetName val="TANULOD"/>
      <sheetName val="TELEX ECOPETROL"/>
      <sheetName val="Q-LOP"/>
      <sheetName val="SAMPER"/>
      <sheetName val="SHOMET"/>
      <sheetName val=" Q-COA"/>
      <sheetName val="2 parcelas"/>
      <sheetName val="3 parcelas"/>
      <sheetName val="TIERRA"/>
      <sheetName val="CERTIFICATE OF QUANTITY"/>
      <sheetName val="ENTRADA-DATOS"/>
      <sheetName val="SUMMARY"/>
      <sheetName val="1parcela"/>
      <sheetName val="EXXONMOBIL"/>
      <sheetName val="EXXON"/>
      <sheetName val="MURPHY"/>
      <sheetName val="TOTAL"/>
      <sheetName val="TELEX"/>
      <sheetName val="CONOCO"/>
      <sheetName val="VITOL"/>
      <sheetName val="EQUIVA"/>
      <sheetName val="MOBIL"/>
      <sheetName val="Q-LOT"/>
      <sheetName val="Q-PARTIC"/>
      <sheetName val="KOCH"/>
      <sheetName val="TOSCO"/>
      <sheetName val="VALERO-TIME"/>
      <sheetName val="VALERO"/>
      <sheetName val="AMOCO"/>
      <sheetName val="MARATHONS"/>
      <sheetName val="SHICARGO"/>
      <sheetName val="Q-COMPAR."/>
      <sheetName val="QCOVER"/>
      <sheetName val="OCENSA"/>
      <sheetName val="TELEX OCENSA"/>
      <sheetName val="TELEX COMERCIAL"/>
      <sheetName val="LYONDELL"/>
      <sheetName val=" PROVERS"/>
      <sheetName val="CERTIFICATE OF QUANTITY(2)"/>
      <sheetName val="CERTIFICATE OF QUANTITY (3)"/>
      <sheetName val=" 4PARCELAS"/>
      <sheetName val="CERTIFICATE OF QUANTITY (4)"/>
      <sheetName val=" 5-PARCELAS"/>
      <sheetName val="CERTIFICATE OF QUANTITY (5)"/>
      <sheetName val=" 6-PARCELAS"/>
      <sheetName val="CERTIFICATE OF QUANTITY (6)"/>
      <sheetName val="7-PARCELAS"/>
      <sheetName val="CERTIFICATE OF QUANTITY (7)"/>
      <sheetName val="8-PARCELAS"/>
      <sheetName val="CERTIFICATE OF QUANTITY (8)"/>
      <sheetName val="9-PARCELAS"/>
      <sheetName val="CERTIFICATE OF QUANTITY (9)"/>
      <sheetName val="10-PARCELAS"/>
      <sheetName val="CERTIFICATE OF QUANTITY (10)"/>
      <sheetName val="ENTRADA DE DATOS"/>
      <sheetName val="HOJA DE CALCULOS 1"/>
      <sheetName val="TIERRA-MAS DE 3TKS"/>
      <sheetName val="TIERRA-3TKS (2)"/>
      <sheetName val="TIERRA-3TK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sheetData sheetId="53" refreshError="1">
        <row r="1">
          <cell r="A1" t="str">
            <v>TO: Laureano Martinez/Claudia Otero</v>
          </cell>
        </row>
        <row r="2">
          <cell r="A2" t="str">
            <v>Coveñas,April 23,2001</v>
          </cell>
          <cell r="G2" t="str">
            <v>PRIORIDAD:</v>
          </cell>
          <cell r="H2" t="str">
            <v>RUTINARIO</v>
          </cell>
        </row>
        <row r="3">
          <cell r="A3" t="str">
            <v>Ref:</v>
          </cell>
          <cell r="B3" t="str">
            <v>C-839</v>
          </cell>
          <cell r="I3" t="str">
            <v>Tel:095-2880415</v>
          </cell>
        </row>
        <row r="4">
          <cell r="A4" t="str">
            <v>M/T:</v>
          </cell>
          <cell r="B4" t="str">
            <v>SKS TIETE</v>
          </cell>
          <cell r="H4" t="str">
            <v>Cel:7269455/7269453</v>
          </cell>
        </row>
        <row r="5">
          <cell r="A5" t="str">
            <v>PRODUCT:</v>
          </cell>
          <cell r="C5" t="str">
            <v>CUSIANA CRUDE OIL</v>
          </cell>
        </row>
        <row r="8">
          <cell r="A8" t="str">
            <v>1. TIME REPORT</v>
          </cell>
          <cell r="F8" t="str">
            <v>DATE</v>
          </cell>
          <cell r="H8" t="str">
            <v>HOUR</v>
          </cell>
        </row>
        <row r="9">
          <cell r="A9" t="str">
            <v>Vessel Arrived at coveñas(E.O.S.P)</v>
          </cell>
          <cell r="F9" t="str">
            <v>04/16/2001</v>
          </cell>
          <cell r="H9">
            <v>0.9375</v>
          </cell>
        </row>
        <row r="10">
          <cell r="A10" t="str">
            <v>Vessel Anchored</v>
          </cell>
          <cell r="F10" t="str">
            <v>04/16/2001</v>
          </cell>
          <cell r="H10">
            <v>0.96875</v>
          </cell>
        </row>
        <row r="11">
          <cell r="A11" t="str">
            <v>Anchor Aweigh</v>
          </cell>
          <cell r="F11" t="str">
            <v>04/17/2001</v>
          </cell>
          <cell r="H11">
            <v>0.72222222222222221</v>
          </cell>
        </row>
        <row r="12">
          <cell r="A12" t="str">
            <v>Pilot/Inspectorate on board</v>
          </cell>
          <cell r="F12" t="str">
            <v>04/17/2001</v>
          </cell>
          <cell r="H12">
            <v>0.7416666666666667</v>
          </cell>
        </row>
        <row r="13">
          <cell r="A13" t="str">
            <v>Key meeting started</v>
          </cell>
          <cell r="F13" t="str">
            <v>04/17/2001</v>
          </cell>
          <cell r="H13">
            <v>0.75694444444444453</v>
          </cell>
        </row>
        <row r="14">
          <cell r="A14" t="str">
            <v>Key meeting completed</v>
          </cell>
          <cell r="F14" t="str">
            <v>04/17/2001</v>
          </cell>
          <cell r="H14" t="str">
            <v>18:30</v>
          </cell>
        </row>
        <row r="15">
          <cell r="A15" t="str">
            <v>Pick up rope</v>
          </cell>
          <cell r="F15" t="str">
            <v>04/17/2001</v>
          </cell>
          <cell r="H15">
            <v>0.78749999999999998</v>
          </cell>
        </row>
        <row r="16">
          <cell r="A16" t="str">
            <v>All made fast at TLU#2</v>
          </cell>
          <cell r="F16" t="str">
            <v>04/17/2001</v>
          </cell>
          <cell r="H16">
            <v>0.79166666666666663</v>
          </cell>
        </row>
        <row r="17">
          <cell r="A17" t="str">
            <v>Cargo tanks inspected</v>
          </cell>
          <cell r="F17" t="str">
            <v>04/17/2001</v>
          </cell>
          <cell r="H17">
            <v>0.82291666666666663</v>
          </cell>
        </row>
        <row r="18">
          <cell r="A18" t="str">
            <v>Loading hoses connected(2x16")</v>
          </cell>
          <cell r="F18" t="str">
            <v>04/17/2001</v>
          </cell>
          <cell r="H18">
            <v>0.82916666666666661</v>
          </cell>
        </row>
        <row r="19">
          <cell r="A19" t="str">
            <v>Commenced loading of Cusiana C.O.</v>
          </cell>
          <cell r="F19" t="str">
            <v>04/17/2001</v>
          </cell>
          <cell r="H19" t="str">
            <v>20:24</v>
          </cell>
        </row>
        <row r="20">
          <cell r="A20" t="str">
            <v>Completed loading of Cusiana C.O.</v>
          </cell>
          <cell r="F20" t="str">
            <v>04/18/2001</v>
          </cell>
          <cell r="H20">
            <v>0.57916666666666672</v>
          </cell>
        </row>
        <row r="21">
          <cell r="A21" t="str">
            <v>Loading hoses disconnected(2x16")</v>
          </cell>
          <cell r="F21" t="str">
            <v>04/18/2001</v>
          </cell>
          <cell r="H21">
            <v>0.61250000000000004</v>
          </cell>
        </row>
        <row r="22">
          <cell r="A22" t="str">
            <v>Gauges,ullages &amp; temp.</v>
          </cell>
          <cell r="F22" t="str">
            <v>04/18/2001</v>
          </cell>
          <cell r="H22">
            <v>0.60833333333333328</v>
          </cell>
        </row>
        <row r="23">
          <cell r="A23" t="str">
            <v>Cargo calculated</v>
          </cell>
          <cell r="F23" t="str">
            <v>04/18/2001</v>
          </cell>
          <cell r="H23">
            <v>0.6875</v>
          </cell>
        </row>
        <row r="24">
          <cell r="A24" t="str">
            <v>Inspectorate document ready</v>
          </cell>
          <cell r="F24" t="str">
            <v>04/18/2001</v>
          </cell>
          <cell r="H24">
            <v>0.70138888888888884</v>
          </cell>
        </row>
        <row r="25">
          <cell r="A25" t="str">
            <v>Documents received</v>
          </cell>
          <cell r="F25" t="str">
            <v>04/18/2001</v>
          </cell>
          <cell r="H25">
            <v>0.70833333333333337</v>
          </cell>
        </row>
        <row r="26">
          <cell r="A26" t="str">
            <v>Left berth</v>
          </cell>
          <cell r="F26" t="str">
            <v>04/18/2001</v>
          </cell>
          <cell r="H26">
            <v>0.68333333333333324</v>
          </cell>
        </row>
        <row r="27">
          <cell r="A27" t="str">
            <v>Estimated time of departure</v>
          </cell>
          <cell r="F27" t="str">
            <v>04/18/2001</v>
          </cell>
          <cell r="H27">
            <v>0.79166666666666663</v>
          </cell>
        </row>
        <row r="29">
          <cell r="A29" t="str">
            <v>N.O.R. Tendered</v>
          </cell>
          <cell r="F29" t="str">
            <v>04/17/2001</v>
          </cell>
          <cell r="H29">
            <v>6.9444444444444447E-4</v>
          </cell>
        </row>
        <row r="30">
          <cell r="A30" t="str">
            <v>N.O.R. Accepted</v>
          </cell>
          <cell r="F30" t="str">
            <v>04/17/2001</v>
          </cell>
          <cell r="H30">
            <v>0.82916666666666661</v>
          </cell>
        </row>
        <row r="32">
          <cell r="A32" t="str">
            <v xml:space="preserve">B/L Date   </v>
          </cell>
          <cell r="C32" t="str">
            <v xml:space="preserve">             :</v>
          </cell>
          <cell r="D32" t="str">
            <v>04/18/2001</v>
          </cell>
        </row>
        <row r="34">
          <cell r="A34" t="str">
            <v>Loading rate requested by the Vesse   :</v>
          </cell>
          <cell r="F34">
            <v>60000</v>
          </cell>
          <cell r="G34" t="str">
            <v>Bls/hrs</v>
          </cell>
        </row>
        <row r="35">
          <cell r="A35" t="str">
            <v>Loading rate authorized by the terminal:</v>
          </cell>
          <cell r="F35">
            <v>40000</v>
          </cell>
          <cell r="G35" t="str">
            <v>Bls/hrs</v>
          </cell>
        </row>
        <row r="36">
          <cell r="A36" t="str">
            <v>Average loading rate in this loading     :</v>
          </cell>
          <cell r="F36">
            <v>35566</v>
          </cell>
          <cell r="G36" t="str">
            <v>Bls/hrs</v>
          </cell>
        </row>
        <row r="38">
          <cell r="A38" t="str">
            <v xml:space="preserve">Cargo terminated by   :  </v>
          </cell>
          <cell r="D38" t="str">
            <v>SHORE</v>
          </cell>
        </row>
        <row r="39">
          <cell r="A39" t="str">
            <v>Loading time hrs        :</v>
          </cell>
          <cell r="D39">
            <v>18.3</v>
          </cell>
        </row>
        <row r="42">
          <cell r="A42" t="str">
            <v>DELAYS  :</v>
          </cell>
          <cell r="C42" t="str">
            <v xml:space="preserve">Vessel dropped anchor on apr.16/at 22:30hrs and leave up anchor on apr.17/at 17:20hrs awaiting </v>
          </cell>
        </row>
        <row r="43">
          <cell r="C43" t="str">
            <v>terminal's instructions</v>
          </cell>
        </row>
        <row r="45">
          <cell r="A45" t="str">
            <v>STOPPAGES:</v>
          </cell>
        </row>
        <row r="49">
          <cell r="A49" t="str">
            <v>TO: Laureano Martinez/Claudia Otero</v>
          </cell>
        </row>
        <row r="50">
          <cell r="A50" t="str">
            <v>Ref:</v>
          </cell>
          <cell r="B50" t="str">
            <v>C-839</v>
          </cell>
        </row>
        <row r="51">
          <cell r="A51" t="str">
            <v>M/T:</v>
          </cell>
          <cell r="B51" t="str">
            <v>SKS TIETE</v>
          </cell>
        </row>
        <row r="52">
          <cell r="A52" t="str">
            <v>PRODUCT:</v>
          </cell>
          <cell r="C52" t="str">
            <v>CUSIANA CRUDE OIL</v>
          </cell>
          <cell r="J52" t="str">
            <v>TEL:095-2880415</v>
          </cell>
        </row>
        <row r="53">
          <cell r="J53" t="str">
            <v>CEL:7269455/7269453</v>
          </cell>
        </row>
        <row r="54">
          <cell r="D54" t="str">
            <v>ASTM</v>
          </cell>
          <cell r="F54" t="str">
            <v>IN LINE</v>
          </cell>
          <cell r="G54" t="str">
            <v>LINE</v>
          </cell>
          <cell r="H54" t="str">
            <v>WEIGHTED</v>
          </cell>
        </row>
        <row r="55">
          <cell r="A55" t="str">
            <v xml:space="preserve">2. QUALITY             METHOD              </v>
          </cell>
          <cell r="F55" t="str">
            <v>AUTOSAMP</v>
          </cell>
          <cell r="G55" t="str">
            <v>CONTENT</v>
          </cell>
          <cell r="H55" t="str">
            <v>VOLUMETRIC</v>
          </cell>
        </row>
        <row r="56">
          <cell r="A56" t="str">
            <v>API gravity at 60oF</v>
          </cell>
          <cell r="D56" t="str">
            <v>D-1298</v>
          </cell>
          <cell r="F56">
            <v>42.7</v>
          </cell>
          <cell r="G56">
            <v>41.7</v>
          </cell>
          <cell r="H56">
            <v>42.6</v>
          </cell>
        </row>
        <row r="57">
          <cell r="A57" t="str">
            <v>Water by dist vol pct</v>
          </cell>
          <cell r="D57" t="str">
            <v>D-4006</v>
          </cell>
          <cell r="F57">
            <v>2.5000000000000001E-2</v>
          </cell>
          <cell r="G57">
            <v>0.05</v>
          </cell>
          <cell r="H57">
            <v>2.8000000000000001E-2</v>
          </cell>
        </row>
        <row r="58">
          <cell r="A58" t="str">
            <v>Sediment, vol pct</v>
          </cell>
          <cell r="D58" t="str">
            <v>D-473</v>
          </cell>
          <cell r="F58">
            <v>2E-3</v>
          </cell>
          <cell r="G58">
            <v>3.0000000000000001E-3</v>
          </cell>
          <cell r="H58">
            <v>2E-3</v>
          </cell>
        </row>
        <row r="59">
          <cell r="A59" t="str">
            <v>Salt content, PTB</v>
          </cell>
          <cell r="D59" t="str">
            <v>D-3230</v>
          </cell>
          <cell r="F59">
            <v>2.2000000000000002</v>
          </cell>
          <cell r="G59">
            <v>1.3</v>
          </cell>
          <cell r="H59">
            <v>2.1</v>
          </cell>
        </row>
        <row r="60">
          <cell r="A60" t="str">
            <v>Sulphur content, wt pct</v>
          </cell>
          <cell r="D60" t="str">
            <v>D-4294</v>
          </cell>
          <cell r="F60">
            <v>0.13</v>
          </cell>
          <cell r="G60">
            <v>0.15</v>
          </cell>
          <cell r="H60">
            <v>0.13</v>
          </cell>
        </row>
        <row r="61">
          <cell r="A61" t="str">
            <v>The above result were obtained by Auto sampler in line</v>
          </cell>
        </row>
        <row r="62">
          <cell r="A62" t="str">
            <v>Above analysis results were performed by INSPECTORATE  using its own Lab/personnel/equipment.</v>
          </cell>
        </row>
        <row r="63">
          <cell r="A63" t="str">
            <v>Above analysis results were performed by INSPECTORATE  using its own Lab/personnel/equipment.</v>
          </cell>
        </row>
        <row r="65">
          <cell r="A65" t="str">
            <v>Sampler Performance*</v>
          </cell>
          <cell r="D65" t="str">
            <v>Factor:</v>
          </cell>
          <cell r="E65" t="str">
            <v>N/A</v>
          </cell>
          <cell r="G65" t="str">
            <v>Sampler vol:</v>
          </cell>
          <cell r="H65" t="str">
            <v>N/A</v>
          </cell>
          <cell r="I65" t="str">
            <v>Ltrs</v>
          </cell>
        </row>
        <row r="66">
          <cell r="A66" t="str">
            <v>Shore tanks used to load</v>
          </cell>
          <cell r="D66" t="str">
            <v>TK 7313</v>
          </cell>
          <cell r="F66" t="str">
            <v>TK 7314</v>
          </cell>
          <cell r="G66" t="str">
            <v>Tk 12020</v>
          </cell>
          <cell r="H66" t="str">
            <v>TK 7310</v>
          </cell>
        </row>
        <row r="69">
          <cell r="A69" t="str">
            <v xml:space="preserve">3. B/L QUANTITIES                                                                                                                   </v>
          </cell>
          <cell r="G69" t="str">
            <v>GSV</v>
          </cell>
          <cell r="I69" t="str">
            <v>NSV</v>
          </cell>
        </row>
        <row r="70">
          <cell r="A70" t="str">
            <v>US barrels at 60oF</v>
          </cell>
          <cell r="G70">
            <v>650851</v>
          </cell>
          <cell r="I70">
            <v>650539</v>
          </cell>
        </row>
        <row r="71">
          <cell r="A71" t="str">
            <v>Long tons</v>
          </cell>
          <cell r="G71">
            <v>82625.534450000006</v>
          </cell>
          <cell r="I71">
            <v>82585.926050000009</v>
          </cell>
        </row>
        <row r="72">
          <cell r="A72" t="str">
            <v>Metric tons</v>
          </cell>
          <cell r="G72">
            <v>83953.270489999995</v>
          </cell>
          <cell r="I72">
            <v>83913.025609999997</v>
          </cell>
        </row>
        <row r="73">
          <cell r="A73" t="str">
            <v>U.S Gallons at 60oF</v>
          </cell>
          <cell r="G73">
            <v>27335742</v>
          </cell>
          <cell r="I73">
            <v>27322638</v>
          </cell>
        </row>
        <row r="75">
          <cell r="A75" t="str">
            <v>TCV/Bbls</v>
          </cell>
          <cell r="G75">
            <v>650851</v>
          </cell>
        </row>
        <row r="76">
          <cell r="A76" t="str">
            <v>Free water from shore:</v>
          </cell>
          <cell r="G76">
            <v>0</v>
          </cell>
        </row>
        <row r="77">
          <cell r="A77" t="str">
            <v>Shore average temp.  :</v>
          </cell>
          <cell r="G77">
            <v>91.149999999999991</v>
          </cell>
        </row>
        <row r="80">
          <cell r="A80" t="str">
            <v>4. NOTES</v>
          </cell>
        </row>
        <row r="81">
          <cell r="A81" t="str">
            <v>*BSW factor=(1-(%sed+water)100)</v>
          </cell>
        </row>
        <row r="82">
          <cell r="A82" t="str">
            <v>*Net estándar volume results from multypliying gross standard volume by BSW factor.</v>
          </cell>
        </row>
        <row r="83">
          <cell r="A83" t="str">
            <v>*B/L figures established by shore  meters readings.</v>
          </cell>
        </row>
        <row r="86">
          <cell r="A86" t="str">
            <v>5.-METER FACTOR USED</v>
          </cell>
        </row>
        <row r="87">
          <cell r="B87" t="str">
            <v>METER #</v>
          </cell>
          <cell r="D87" t="str">
            <v>PREVIOUS FACTOR</v>
          </cell>
          <cell r="H87" t="str">
            <v>ACTUAL FACTOR</v>
          </cell>
        </row>
        <row r="88">
          <cell r="B88">
            <v>1</v>
          </cell>
          <cell r="D88" t="str">
            <v>N/A</v>
          </cell>
          <cell r="H88" t="str">
            <v>N/A</v>
          </cell>
        </row>
        <row r="89">
          <cell r="B89">
            <v>2</v>
          </cell>
          <cell r="D89" t="str">
            <v>N/A</v>
          </cell>
          <cell r="H89" t="str">
            <v>N/A</v>
          </cell>
        </row>
        <row r="90">
          <cell r="B90">
            <v>3</v>
          </cell>
          <cell r="D90" t="str">
            <v>N/A</v>
          </cell>
          <cell r="H90" t="str">
            <v>N/A</v>
          </cell>
        </row>
        <row r="91">
          <cell r="B91">
            <v>4</v>
          </cell>
          <cell r="D91" t="str">
            <v>N/A</v>
          </cell>
          <cell r="H91" t="str">
            <v>N/A</v>
          </cell>
        </row>
        <row r="92">
          <cell r="B92">
            <v>5</v>
          </cell>
          <cell r="D92" t="str">
            <v>N/A</v>
          </cell>
          <cell r="H92" t="str">
            <v>N/A</v>
          </cell>
        </row>
        <row r="93">
          <cell r="B93">
            <v>6</v>
          </cell>
          <cell r="D93" t="str">
            <v>N/A</v>
          </cell>
          <cell r="H93" t="str">
            <v>N/A</v>
          </cell>
        </row>
        <row r="95">
          <cell r="A95" t="str">
            <v>TO: Laureano Martinez/Claudia Otero</v>
          </cell>
        </row>
        <row r="96">
          <cell r="A96" t="str">
            <v>Ref:</v>
          </cell>
          <cell r="B96" t="str">
            <v>C-839</v>
          </cell>
        </row>
        <row r="97">
          <cell r="A97" t="str">
            <v>M/T:</v>
          </cell>
          <cell r="B97" t="str">
            <v>SKS TIETE</v>
          </cell>
        </row>
        <row r="98">
          <cell r="A98" t="str">
            <v>PRODUCT:</v>
          </cell>
          <cell r="C98" t="str">
            <v>CUSIANA CRUDE OIL</v>
          </cell>
          <cell r="J98" t="str">
            <v>TEL:095-2880415</v>
          </cell>
        </row>
        <row r="99">
          <cell r="J99" t="str">
            <v>CEL:7269455/7269453</v>
          </cell>
        </row>
        <row r="100">
          <cell r="A100" t="str">
            <v>6. SHIP FIGURES</v>
          </cell>
          <cell r="G100" t="str">
            <v>GSV</v>
          </cell>
          <cell r="I100" t="str">
            <v>NSV</v>
          </cell>
        </row>
        <row r="101">
          <cell r="A101" t="str">
            <v>US barrels at 60oF</v>
          </cell>
          <cell r="G101">
            <v>649267</v>
          </cell>
          <cell r="I101">
            <v>648955</v>
          </cell>
        </row>
        <row r="102">
          <cell r="A102" t="str">
            <v>T.C.V barrels</v>
          </cell>
          <cell r="G102">
            <v>649267</v>
          </cell>
        </row>
        <row r="103">
          <cell r="A103" t="str">
            <v>T.R.V barrels</v>
          </cell>
          <cell r="G103">
            <v>649267</v>
          </cell>
        </row>
        <row r="104">
          <cell r="A104" t="str">
            <v>Long tons</v>
          </cell>
          <cell r="G104">
            <v>82424.45</v>
          </cell>
          <cell r="I104">
            <v>82384.84</v>
          </cell>
        </row>
        <row r="105">
          <cell r="A105" t="str">
            <v>Metric tons</v>
          </cell>
          <cell r="G105">
            <v>83748.95</v>
          </cell>
          <cell r="I105">
            <v>83708.705000000002</v>
          </cell>
        </row>
        <row r="106">
          <cell r="A106" t="str">
            <v>Free water,bbls</v>
          </cell>
          <cell r="G106">
            <v>0</v>
          </cell>
        </row>
        <row r="107">
          <cell r="A107" t="str">
            <v>Average temp oF     :</v>
          </cell>
          <cell r="G107">
            <v>92.085714285714289</v>
          </cell>
        </row>
        <row r="109">
          <cell r="A109" t="str">
            <v>TCV=GSV+FREE WATER</v>
          </cell>
        </row>
        <row r="110">
          <cell r="A110" t="str">
            <v>TRV=TCV-OBQ</v>
          </cell>
        </row>
        <row r="111">
          <cell r="A111" t="str">
            <v>(*)ship net standard volume calculated by applying mathematical average values sediment and water</v>
          </cell>
        </row>
        <row r="112">
          <cell r="A112" t="str">
            <v xml:space="preserve">     results of the Auto sampler in line.</v>
          </cell>
        </row>
        <row r="114">
          <cell r="A114" t="str">
            <v>Cargo tanks:</v>
          </cell>
          <cell r="G114" t="str">
            <v>THREE LAST CARGOES</v>
          </cell>
        </row>
        <row r="115">
          <cell r="A115" t="str">
            <v>1,2,3,4,5,6 &amp;7HOLD TANKS</v>
          </cell>
          <cell r="G115" t="str">
            <v>Last cargo:</v>
          </cell>
          <cell r="H115" t="str">
            <v>QUA IBOE LIGHT</v>
          </cell>
        </row>
        <row r="116">
          <cell r="A116" t="str">
            <v>AND SLOP WINGS TANKS</v>
          </cell>
          <cell r="G116" t="str">
            <v>Second last:</v>
          </cell>
          <cell r="H116" t="str">
            <v>ALGERIAN CONDENSATE</v>
          </cell>
        </row>
        <row r="117">
          <cell r="G117" t="str">
            <v>Third last :</v>
          </cell>
          <cell r="H117" t="str">
            <v>ALGERIAN CONDENSATE</v>
          </cell>
        </row>
        <row r="119">
          <cell r="A119" t="str">
            <v>7. INSPECTION ON BOARD</v>
          </cell>
        </row>
        <row r="121">
          <cell r="A121" t="str">
            <v>O.B.Q. Total        =</v>
          </cell>
          <cell r="D121">
            <v>0</v>
          </cell>
        </row>
        <row r="122">
          <cell r="A122" t="str">
            <v>O.B.Q. To be deducted   =</v>
          </cell>
          <cell r="D122">
            <v>0</v>
          </cell>
        </row>
        <row r="125">
          <cell r="A125" t="str">
            <v>8.LOAD PORT VOYAGE ANALYSIS</v>
          </cell>
        </row>
        <row r="126">
          <cell r="A126" t="str">
            <v>V.E.F.</v>
          </cell>
          <cell r="F126">
            <v>0.99939999999999996</v>
          </cell>
        </row>
        <row r="127">
          <cell r="A127" t="str">
            <v>T.O.V.</v>
          </cell>
          <cell r="F127">
            <v>660236</v>
          </cell>
        </row>
        <row r="128">
          <cell r="A128" t="str">
            <v>Less free water after loading</v>
          </cell>
          <cell r="F128">
            <v>0</v>
          </cell>
        </row>
        <row r="129">
          <cell r="A129" t="str">
            <v>G.O.V.</v>
          </cell>
          <cell r="F129">
            <v>660236</v>
          </cell>
        </row>
        <row r="130">
          <cell r="A130" t="str">
            <v>Total GSV on board after loading</v>
          </cell>
          <cell r="F130">
            <v>649267</v>
          </cell>
        </row>
        <row r="131">
          <cell r="A131" t="str">
            <v>Plus free water loaded</v>
          </cell>
          <cell r="F131">
            <v>0</v>
          </cell>
        </row>
        <row r="132">
          <cell r="A132" t="str">
            <v>TCV total  on board</v>
          </cell>
          <cell r="F132">
            <v>649267</v>
          </cell>
        </row>
        <row r="133">
          <cell r="A133" t="str">
            <v>Minus OBQ</v>
          </cell>
          <cell r="F133">
            <v>0</v>
          </cell>
        </row>
        <row r="134">
          <cell r="A134" t="str">
            <v>TCV  loaded</v>
          </cell>
          <cell r="F134">
            <v>649267</v>
          </cell>
        </row>
        <row r="135">
          <cell r="A135" t="str">
            <v>Divided by VEF</v>
          </cell>
          <cell r="F135">
            <v>0.99939999999999996</v>
          </cell>
        </row>
        <row r="136">
          <cell r="A136" t="str">
            <v>Adjusted TCV loaded</v>
          </cell>
          <cell r="F136">
            <v>649657</v>
          </cell>
        </row>
        <row r="137">
          <cell r="A137" t="str">
            <v>Actual B/L TCV</v>
          </cell>
          <cell r="F137">
            <v>650851</v>
          </cell>
        </row>
        <row r="138">
          <cell r="A138" t="str">
            <v>Difference</v>
          </cell>
          <cell r="F138">
            <v>-1194</v>
          </cell>
        </row>
        <row r="139">
          <cell r="A139" t="str">
            <v>Pct</v>
          </cell>
          <cell r="F139">
            <v>-0.18</v>
          </cell>
        </row>
        <row r="141">
          <cell r="A141" t="str">
            <v>TO: Laureano Martinez/Claudia Otero</v>
          </cell>
        </row>
        <row r="142">
          <cell r="A142" t="str">
            <v>Ref:</v>
          </cell>
          <cell r="B142" t="str">
            <v>C-839</v>
          </cell>
        </row>
        <row r="143">
          <cell r="A143" t="str">
            <v>M/T:</v>
          </cell>
          <cell r="B143" t="str">
            <v>SKS TIETE</v>
          </cell>
        </row>
        <row r="144">
          <cell r="A144" t="str">
            <v>PRODUCT:</v>
          </cell>
          <cell r="C144" t="str">
            <v>CUSIANA CRUDE OIL</v>
          </cell>
          <cell r="J144" t="str">
            <v>TEL:095-2880415</v>
          </cell>
        </row>
        <row r="145">
          <cell r="J145" t="str">
            <v>CEL:7269455/7269453</v>
          </cell>
        </row>
        <row r="147">
          <cell r="B147" t="str">
            <v>BOL FIGURES</v>
          </cell>
          <cell r="E147" t="str">
            <v>SHIP TCV LOADED</v>
          </cell>
          <cell r="H147" t="str">
            <v>DIFFERENCE</v>
          </cell>
          <cell r="J147" t="str">
            <v>PCT</v>
          </cell>
        </row>
        <row r="148">
          <cell r="B148">
            <v>650851</v>
          </cell>
          <cell r="F148">
            <v>649267</v>
          </cell>
          <cell r="H148">
            <v>-1584</v>
          </cell>
          <cell r="J148">
            <v>-0.24</v>
          </cell>
        </row>
        <row r="150">
          <cell r="B150" t="str">
            <v>BOL FIGURES</v>
          </cell>
          <cell r="E150" t="str">
            <v>THEORETICAL- TCV(VEF)</v>
          </cell>
          <cell r="H150" t="str">
            <v>DIFFERENCE</v>
          </cell>
          <cell r="J150" t="str">
            <v>PCT</v>
          </cell>
        </row>
        <row r="151">
          <cell r="B151">
            <v>650851</v>
          </cell>
          <cell r="F151">
            <v>649657</v>
          </cell>
          <cell r="H151">
            <v>-1194</v>
          </cell>
          <cell r="J151">
            <v>-0.18</v>
          </cell>
        </row>
        <row r="154">
          <cell r="A154" t="str">
            <v>9. BUNKER</v>
          </cell>
          <cell r="F154" t="str">
            <v>BEFORE</v>
          </cell>
          <cell r="H154" t="str">
            <v>AFTER</v>
          </cell>
          <cell r="I154" t="str">
            <v>COMPSUPTION MT</v>
          </cell>
        </row>
        <row r="155">
          <cell r="A155" t="str">
            <v>Fuel Oil</v>
          </cell>
        </row>
        <row r="156">
          <cell r="A156" t="str">
            <v>GSV, Bbls</v>
          </cell>
          <cell r="F156">
            <v>4692</v>
          </cell>
          <cell r="H156">
            <v>4667</v>
          </cell>
        </row>
        <row r="157">
          <cell r="A157" t="str">
            <v>Metric Tons</v>
          </cell>
          <cell r="F157">
            <v>0.15731999999999999</v>
          </cell>
          <cell r="H157">
            <v>734.21199999999999</v>
          </cell>
          <cell r="I157">
            <v>3.9329999999999927</v>
          </cell>
        </row>
        <row r="158">
          <cell r="A158" t="str">
            <v xml:space="preserve">Diesel </v>
          </cell>
        </row>
        <row r="159">
          <cell r="A159" t="str">
            <v>GSV, Bbls</v>
          </cell>
          <cell r="F159">
            <v>768</v>
          </cell>
          <cell r="H159">
            <v>762</v>
          </cell>
        </row>
        <row r="160">
          <cell r="A160" t="str">
            <v>Metric Tons</v>
          </cell>
          <cell r="F160">
            <v>108.15</v>
          </cell>
          <cell r="H160">
            <v>107.30500000000001</v>
          </cell>
          <cell r="I160">
            <v>0.84499999999999886</v>
          </cell>
        </row>
        <row r="163">
          <cell r="A163" t="str">
            <v>10. DRAFT</v>
          </cell>
          <cell r="F163" t="str">
            <v>ARRIVAL</v>
          </cell>
          <cell r="H163" t="str">
            <v>SAILING</v>
          </cell>
        </row>
        <row r="164">
          <cell r="A164" t="str">
            <v>Fore(m)</v>
          </cell>
          <cell r="F164" t="str">
            <v>7.20 M</v>
          </cell>
          <cell r="H164" t="str">
            <v>12.60M</v>
          </cell>
        </row>
        <row r="165">
          <cell r="A165" t="str">
            <v>Afetr(m)</v>
          </cell>
          <cell r="F165" t="str">
            <v>9.20 M</v>
          </cell>
          <cell r="H165" t="str">
            <v>13.10M</v>
          </cell>
        </row>
        <row r="168">
          <cell r="A168" t="str">
            <v>11.  BALLAST</v>
          </cell>
        </row>
        <row r="169">
          <cell r="A169" t="str">
            <v>Tank number</v>
          </cell>
          <cell r="F169" t="str">
            <v>QUANTITY</v>
          </cell>
        </row>
        <row r="170">
          <cell r="A170" t="str">
            <v>F.P.T</v>
          </cell>
          <cell r="F170" t="str">
            <v>EMPTY</v>
          </cell>
        </row>
        <row r="171">
          <cell r="A171" t="str">
            <v>1 WINGS</v>
          </cell>
          <cell r="F171" t="str">
            <v>5271  MT</v>
          </cell>
        </row>
        <row r="172">
          <cell r="A172" t="str">
            <v>2 WINGS</v>
          </cell>
          <cell r="F172" t="str">
            <v>12236  MT</v>
          </cell>
        </row>
        <row r="173">
          <cell r="A173" t="str">
            <v>3 WINGS</v>
          </cell>
          <cell r="F173" t="str">
            <v>6205  MT</v>
          </cell>
        </row>
        <row r="174">
          <cell r="A174" t="str">
            <v>4 WINGS</v>
          </cell>
          <cell r="F174" t="str">
            <v>7508  MT</v>
          </cell>
        </row>
        <row r="175">
          <cell r="A175" t="str">
            <v>5 WINGS</v>
          </cell>
          <cell r="F175" t="str">
            <v>10373  MT</v>
          </cell>
        </row>
        <row r="176">
          <cell r="A176" t="str">
            <v>A.P.T</v>
          </cell>
          <cell r="F176" t="str">
            <v>EMPTY</v>
          </cell>
        </row>
        <row r="177">
          <cell r="A177" t="str">
            <v>A.P.T</v>
          </cell>
          <cell r="F177" t="str">
            <v>EMPTY</v>
          </cell>
        </row>
        <row r="183">
          <cell r="A183" t="str">
            <v>TOTAL ............................</v>
          </cell>
          <cell r="F183" t="str">
            <v>41593  MT</v>
          </cell>
        </row>
        <row r="184">
          <cell r="A184" t="str">
            <v>DEPARTURE</v>
          </cell>
          <cell r="F184" t="str">
            <v>EMPTY</v>
          </cell>
        </row>
        <row r="186">
          <cell r="A186" t="str">
            <v>TO: Laureano Martinez/Claudia Otero</v>
          </cell>
        </row>
        <row r="187">
          <cell r="A187" t="str">
            <v>Ref:</v>
          </cell>
          <cell r="B187" t="str">
            <v>C-839</v>
          </cell>
        </row>
        <row r="188">
          <cell r="A188" t="str">
            <v>M/T:</v>
          </cell>
          <cell r="B188" t="str">
            <v>SKS TIETE</v>
          </cell>
        </row>
        <row r="189">
          <cell r="A189" t="str">
            <v>PRODUCT:</v>
          </cell>
          <cell r="C189" t="str">
            <v>CUSIANA CRUDE OIL</v>
          </cell>
          <cell r="J189" t="str">
            <v>TEL:095-2880415</v>
          </cell>
        </row>
        <row r="190">
          <cell r="J190" t="str">
            <v>CEL:7269455/7269453</v>
          </cell>
        </row>
        <row r="191">
          <cell r="A191" t="str">
            <v>12.SAMPLE REPORT</v>
          </cell>
        </row>
        <row r="192">
          <cell r="A192" t="str">
            <v>DESCRIPTION</v>
          </cell>
          <cell r="F192" t="str">
            <v>SIZE</v>
          </cell>
          <cell r="H192" t="str">
            <v>SEAL</v>
          </cell>
        </row>
        <row r="193">
          <cell r="A193" t="str">
            <v xml:space="preserve">SHIP'S TANKS COMPOSITE </v>
          </cell>
          <cell r="F193" t="str">
            <v>1 GALLON</v>
          </cell>
          <cell r="H193" t="str">
            <v>781746</v>
          </cell>
        </row>
        <row r="194">
          <cell r="A194" t="str">
            <v>BUNKER FUEL OIL</v>
          </cell>
          <cell r="F194" t="str">
            <v>1/4 GALLON</v>
          </cell>
          <cell r="H194" t="str">
            <v>781554</v>
          </cell>
        </row>
        <row r="195">
          <cell r="A195" t="str">
            <v>BUNKER DIESEL OIL</v>
          </cell>
          <cell r="F195" t="str">
            <v>1/4 GALLON</v>
          </cell>
          <cell r="H195" t="str">
            <v>781040</v>
          </cell>
        </row>
        <row r="196">
          <cell r="A196" t="str">
            <v>SHORE LINE CONTENT(4 Hold)</v>
          </cell>
          <cell r="F196" t="str">
            <v>1/4 GALLON</v>
          </cell>
          <cell r="H196" t="str">
            <v>781626</v>
          </cell>
        </row>
        <row r="197">
          <cell r="A197" t="str">
            <v>SHORE TANK 7313</v>
          </cell>
          <cell r="F197" t="str">
            <v>1 GALLON</v>
          </cell>
          <cell r="H197" t="str">
            <v>781999</v>
          </cell>
        </row>
        <row r="198">
          <cell r="A198" t="str">
            <v>SHORE TANK 7314</v>
          </cell>
          <cell r="F198" t="str">
            <v>1 GALLON</v>
          </cell>
          <cell r="H198" t="str">
            <v>782000</v>
          </cell>
        </row>
        <row r="199">
          <cell r="A199" t="str">
            <v>SHORE TANK 12020</v>
          </cell>
          <cell r="F199" t="str">
            <v>1 GALLON</v>
          </cell>
          <cell r="H199" t="str">
            <v>781203</v>
          </cell>
        </row>
        <row r="200">
          <cell r="A200" t="str">
            <v>SLOPS</v>
          </cell>
        </row>
        <row r="201">
          <cell r="A201" t="str">
            <v>SLOPS</v>
          </cell>
          <cell r="F201" t="str">
            <v>SLOP P</v>
          </cell>
          <cell r="H201" t="str">
            <v>SLOP S</v>
          </cell>
        </row>
        <row r="202">
          <cell r="A202" t="str">
            <v>TANK NUMBER</v>
          </cell>
          <cell r="F202" t="str">
            <v>SLOP P</v>
          </cell>
          <cell r="H202" t="str">
            <v>SLOP S</v>
          </cell>
        </row>
        <row r="203">
          <cell r="A203" t="str">
            <v>Total contents, TOV</v>
          </cell>
          <cell r="F203">
            <v>11</v>
          </cell>
          <cell r="H203">
            <v>83</v>
          </cell>
        </row>
        <row r="204">
          <cell r="A204" t="str">
            <v>Free water,Bbls</v>
          </cell>
          <cell r="F204">
            <v>0</v>
          </cell>
          <cell r="H204">
            <v>0</v>
          </cell>
        </row>
        <row r="205">
          <cell r="A205" t="str">
            <v>Total GOV,Bbls</v>
          </cell>
          <cell r="F205">
            <v>11</v>
          </cell>
          <cell r="H205">
            <v>83</v>
          </cell>
        </row>
        <row r="206">
          <cell r="A206" t="str">
            <v>Loaded on top</v>
          </cell>
          <cell r="F206" t="str">
            <v>NOT</v>
          </cell>
          <cell r="H206" t="str">
            <v>NOT</v>
          </cell>
        </row>
        <row r="208">
          <cell r="A208" t="str">
            <v>13.NOTES</v>
          </cell>
        </row>
        <row r="209">
          <cell r="A209" t="str">
            <v>13.NOTES</v>
          </cell>
        </row>
        <row r="210">
          <cell r="A210" t="str">
            <v>Samples representing cargo in tks at the time for delivered will be retained for 45 days as per referee</v>
          </cell>
        </row>
        <row r="211">
          <cell r="A211" t="str">
            <v>purposes</v>
          </cell>
        </row>
        <row r="212">
          <cell r="A212" t="str">
            <v>Sea valves closing and sealing report:</v>
          </cell>
          <cell r="F212" t="str">
            <v>SEA CHEST(S)</v>
          </cell>
          <cell r="H212" t="str">
            <v>781252</v>
          </cell>
        </row>
        <row r="213">
          <cell r="A213" t="str">
            <v>Sea valves closing and sealing report:</v>
          </cell>
          <cell r="F213" t="str">
            <v>SEA CHEST(P)</v>
          </cell>
          <cell r="H213" t="str">
            <v>NONE</v>
          </cell>
        </row>
        <row r="214">
          <cell r="F214" t="str">
            <v>SEA CHEST(S)</v>
          </cell>
          <cell r="H214" t="str">
            <v>NONE</v>
          </cell>
        </row>
        <row r="215">
          <cell r="F215" t="str">
            <v>OVERBOARD(P)</v>
          </cell>
          <cell r="H215" t="str">
            <v>781254</v>
          </cell>
        </row>
        <row r="218">
          <cell r="A218" t="str">
            <v>LAST PORT:</v>
          </cell>
          <cell r="D218" t="str">
            <v>PAULSBORO,PHILADELPHIA</v>
          </cell>
        </row>
        <row r="219">
          <cell r="A219" t="str">
            <v>LAST PORT:</v>
          </cell>
          <cell r="D219" t="str">
            <v>BEUMONT, NEDERLAND.TX</v>
          </cell>
        </row>
        <row r="220">
          <cell r="A220" t="str">
            <v>NEXT PORT:</v>
          </cell>
          <cell r="D220" t="str">
            <v>CORPUS CHRISTI, TEXAS</v>
          </cell>
        </row>
        <row r="221">
          <cell r="A221" t="str">
            <v>SCAD CODE:</v>
          </cell>
          <cell r="D221" t="str">
            <v>SKSB10180401,01</v>
          </cell>
        </row>
        <row r="222">
          <cell r="A222" t="str">
            <v>ETA             :</v>
          </cell>
          <cell r="D222" t="str">
            <v>04/23/01 AM</v>
          </cell>
        </row>
        <row r="224">
          <cell r="A224" t="str">
            <v>14.  LETTER OF PROTEST/NOTE OF APPARENT DISCREPANCY</v>
          </cell>
        </row>
        <row r="225">
          <cell r="A225" t="str">
            <v>14.  LETTER OF PROTEST/NOTE OF APPARENT DISCREPANCY</v>
          </cell>
        </row>
        <row r="226">
          <cell r="A226" t="str">
            <v xml:space="preserve"> </v>
          </cell>
        </row>
        <row r="227">
          <cell r="A227" t="str">
            <v xml:space="preserve"> Discreppancy for difference between ship/after before applied VEF</v>
          </cell>
        </row>
        <row r="231">
          <cell r="A231" t="str">
            <v>TO: Laureano Martinez/Claudia Otero</v>
          </cell>
        </row>
        <row r="232">
          <cell r="A232" t="str">
            <v>Ref:</v>
          </cell>
          <cell r="B232" t="str">
            <v>C-839</v>
          </cell>
        </row>
        <row r="233">
          <cell r="A233" t="str">
            <v>M/T:</v>
          </cell>
          <cell r="B233" t="str">
            <v>SKS TIETE</v>
          </cell>
        </row>
        <row r="234">
          <cell r="A234" t="str">
            <v>PRODUCT:</v>
          </cell>
          <cell r="C234" t="str">
            <v>CUSIANA CRUDE OIL</v>
          </cell>
          <cell r="J234" t="str">
            <v>TEL:095-2880415</v>
          </cell>
        </row>
        <row r="235">
          <cell r="J235" t="str">
            <v>CEL:7269455/7269453</v>
          </cell>
        </row>
        <row r="237">
          <cell r="A237" t="str">
            <v>15.LINE DISPLACEMENT REPORT</v>
          </cell>
        </row>
        <row r="239">
          <cell r="B239" t="str">
            <v>TOTAL RECEIVED ON BOARD          :</v>
          </cell>
          <cell r="G239" t="str">
            <v>N/A</v>
          </cell>
          <cell r="H239" t="str">
            <v>BBLS</v>
          </cell>
        </row>
        <row r="240">
          <cell r="B240" t="str">
            <v>TOTAL DELIVERED FROM SHORE  :</v>
          </cell>
          <cell r="G240" t="str">
            <v>N/A</v>
          </cell>
          <cell r="H240" t="str">
            <v>BBLS</v>
          </cell>
        </row>
        <row r="241">
          <cell r="B241" t="str">
            <v xml:space="preserve">DIFFERENCE </v>
          </cell>
          <cell r="F241" t="str">
            <v xml:space="preserve">                :</v>
          </cell>
          <cell r="G241" t="str">
            <v>N/A</v>
          </cell>
          <cell r="H241" t="str">
            <v>BBLS</v>
          </cell>
        </row>
        <row r="242">
          <cell r="B242" t="str">
            <v>*BY AUTOMATIC MEASURING(SHORE)</v>
          </cell>
        </row>
        <row r="246">
          <cell r="A246" t="str">
            <v>16.DOCUMENTS DISTRIBUTION REPORT:</v>
          </cell>
          <cell r="G246" t="str">
            <v>ONE COPY OF EACH DOCUMENT DELIVERED TO THE</v>
          </cell>
        </row>
        <row r="247">
          <cell r="A247" t="str">
            <v>MASTER FOR THIS OWN USE, ORIGINAL TO TERMINAL COVEÑAS AND ONE COPY TO INSPECTORATE</v>
          </cell>
        </row>
        <row r="248">
          <cell r="A248" t="str">
            <v>COVEÑAS.</v>
          </cell>
        </row>
        <row r="256">
          <cell r="A256" t="str">
            <v>ALVARO CANTER D</v>
          </cell>
        </row>
        <row r="257">
          <cell r="A257" t="str">
            <v>SUPERVISOR DE OPERACIONES</v>
          </cell>
        </row>
        <row r="258">
          <cell r="A258" t="str">
            <v>INSPECTORATE COVEÑAS</v>
          </cell>
        </row>
      </sheetData>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NTRADA"/>
      <sheetName val="QOBQROB"/>
      <sheetName val="QVEF"/>
      <sheetName val="Q-VISINS"/>
      <sheetName val="Q-ORDERS"/>
      <sheetName val="Q-SAMDIS"/>
      <sheetName val="Q-VOIDS"/>
      <sheetName val="SHIPTAR"/>
      <sheetName val="Q-GAGEHT"/>
      <sheetName val="Q-CKLSTL"/>
      <sheetName val="Q-COMPAR."/>
      <sheetName val=" Q-BUNKER"/>
      <sheetName val="Q-GEN-INDEX"/>
      <sheetName val=" Q-COA"/>
      <sheetName val="Q-DOCREC"/>
      <sheetName val=" Q-TIMLOG"/>
      <sheetName val="QULLREP"/>
      <sheetName val="SHOMET"/>
      <sheetName val="SAMPER"/>
      <sheetName val="QCHEVAR"/>
      <sheetName val="Q-SUMRY"/>
      <sheetName val="TANULOD"/>
      <sheetName val="Q-DISCRP"/>
      <sheetName val="Q-LOP"/>
      <sheetName val="Q-LINDIS"/>
      <sheetName val="SHICARGO"/>
      <sheetName val="TELEX ECOPETROL"/>
      <sheetName val="TELEX COMERCIAL"/>
      <sheetName val="KOCH"/>
      <sheetName val="VITOL"/>
      <sheetName val="TIERRA-3TKS"/>
      <sheetName val="EXXONMOBIL"/>
      <sheetName val="MURPHY"/>
      <sheetName val="VALERO"/>
      <sheetName val="LYONDELL"/>
      <sheetName val="MOBIL"/>
      <sheetName val="TOTAL"/>
      <sheetName val="Q-LOT"/>
      <sheetName val="TOSCO"/>
      <sheetName val="VALERO-TIME"/>
      <sheetName val="BP AMOCO"/>
      <sheetName val="AMOCO"/>
      <sheetName val="EQUIVA"/>
      <sheetName val="MARATHONS"/>
      <sheetName val="Q-PARTIC"/>
      <sheetName val=" PROVERS"/>
      <sheetName val="TANULOD (2)"/>
      <sheetName val=" Q-TIMLOG (2)"/>
      <sheetName val="QCOVE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ow r="3">
          <cell r="E3" t="str">
            <v>TANKS NOT USED FOR</v>
          </cell>
        </row>
        <row r="4">
          <cell r="E4" t="str">
            <v>LOADING/DISCHARGE</v>
          </cell>
          <cell r="I4" t="str">
            <v>VESSEL:</v>
          </cell>
          <cell r="J4" t="str">
            <v>GLENROSS</v>
          </cell>
        </row>
        <row r="5">
          <cell r="I5" t="str">
            <v>PORT:</v>
          </cell>
          <cell r="J5" t="str">
            <v>COVENAS,COLOMBIA</v>
          </cell>
        </row>
        <row r="6">
          <cell r="I6" t="str">
            <v>PRODUCT:</v>
          </cell>
          <cell r="J6" t="str">
            <v>VASCONIA CRUDE OIL</v>
          </cell>
        </row>
        <row r="7">
          <cell r="D7" t="str">
            <v xml:space="preserve">FWD: </v>
          </cell>
          <cell r="E7" t="str">
            <v>5.40 m</v>
          </cell>
          <cell r="I7" t="str">
            <v>JOB No:</v>
          </cell>
          <cell r="J7" t="str">
            <v>0204-01-1-01BT02</v>
          </cell>
        </row>
        <row r="8">
          <cell r="A8" t="str">
            <v>Before loading/Discharge</v>
          </cell>
          <cell r="D8" t="str">
            <v>AFT:</v>
          </cell>
          <cell r="E8" t="str">
            <v>8.40 m</v>
          </cell>
          <cell r="I8" t="str">
            <v>DATE:</v>
          </cell>
          <cell r="J8" t="str">
            <v>01/10/2002</v>
          </cell>
        </row>
        <row r="9">
          <cell r="E9" t="str">
            <v>GROSS</v>
          </cell>
          <cell r="F9" t="str">
            <v>INNAGE</v>
          </cell>
          <cell r="G9" t="str">
            <v>WATER</v>
          </cell>
          <cell r="H9" t="str">
            <v>TEMP</v>
          </cell>
          <cell r="I9" t="str">
            <v>GROSS</v>
          </cell>
          <cell r="J9" t="str">
            <v>VCF</v>
          </cell>
        </row>
        <row r="10">
          <cell r="A10" t="str">
            <v>TANK</v>
          </cell>
          <cell r="B10" t="str">
            <v>CONTENTS</v>
          </cell>
          <cell r="C10" t="str">
            <v>ULLAGE</v>
          </cell>
          <cell r="D10" t="str">
            <v>INNAGE</v>
          </cell>
          <cell r="E10" t="str">
            <v>VOLUME</v>
          </cell>
          <cell r="F10" t="str">
            <v>WATER</v>
          </cell>
          <cell r="G10" t="str">
            <v>VOLUME</v>
          </cell>
          <cell r="H10" t="str">
            <v>oF</v>
          </cell>
          <cell r="I10" t="str">
            <v>BBLS</v>
          </cell>
          <cell r="J10" t="str">
            <v>T-6A</v>
          </cell>
          <cell r="K10" t="str">
            <v>BARRELS AT 60oF</v>
          </cell>
        </row>
        <row r="11">
          <cell r="A11" t="str">
            <v>SLOP PORT</v>
          </cell>
          <cell r="B11" t="str">
            <v>OIL/WATER</v>
          </cell>
          <cell r="C11">
            <v>16.690000000000001</v>
          </cell>
          <cell r="E11">
            <v>101</v>
          </cell>
          <cell r="F11">
            <v>17.010000000000002</v>
          </cell>
          <cell r="G11">
            <v>68</v>
          </cell>
          <cell r="I11">
            <v>33</v>
          </cell>
        </row>
        <row r="12">
          <cell r="A12" t="str">
            <v>SLOP STBD</v>
          </cell>
          <cell r="B12" t="str">
            <v>OIL/WATER</v>
          </cell>
          <cell r="C12">
            <v>9.3000000000000007</v>
          </cell>
          <cell r="E12">
            <v>1649</v>
          </cell>
          <cell r="F12">
            <v>13.9</v>
          </cell>
          <cell r="G12">
            <v>602</v>
          </cell>
          <cell r="I12">
            <v>1047</v>
          </cell>
        </row>
        <row r="21">
          <cell r="D21" t="str">
            <v>FWD:</v>
          </cell>
          <cell r="E21" t="str">
            <v>11.40 m</v>
          </cell>
        </row>
        <row r="22">
          <cell r="A22" t="str">
            <v>After loading/Discharge</v>
          </cell>
          <cell r="D22" t="str">
            <v>AFT:</v>
          </cell>
          <cell r="E22" t="str">
            <v>11.40 m</v>
          </cell>
        </row>
        <row r="23">
          <cell r="E23" t="str">
            <v>GROSS</v>
          </cell>
          <cell r="F23" t="str">
            <v>INNAGE</v>
          </cell>
          <cell r="G23" t="str">
            <v>WATER</v>
          </cell>
          <cell r="H23" t="str">
            <v>TEMP</v>
          </cell>
          <cell r="I23" t="str">
            <v>GROSS</v>
          </cell>
          <cell r="J23" t="str">
            <v>VCF</v>
          </cell>
        </row>
        <row r="24">
          <cell r="A24" t="str">
            <v>TANK</v>
          </cell>
          <cell r="B24" t="str">
            <v>CONTENTS</v>
          </cell>
          <cell r="C24" t="str">
            <v>ULLAGE</v>
          </cell>
          <cell r="D24" t="str">
            <v>INNAGE</v>
          </cell>
          <cell r="E24" t="str">
            <v>VOLUME</v>
          </cell>
          <cell r="F24" t="str">
            <v>WATER</v>
          </cell>
          <cell r="G24" t="str">
            <v>VOLUME</v>
          </cell>
          <cell r="H24" t="str">
            <v>oF</v>
          </cell>
          <cell r="I24" t="str">
            <v>BBLS</v>
          </cell>
          <cell r="J24" t="str">
            <v>T-6A</v>
          </cell>
          <cell r="K24" t="str">
            <v>BARRELS AT 60oF</v>
          </cell>
        </row>
        <row r="25">
          <cell r="A25" t="str">
            <v>SLOP PORT</v>
          </cell>
          <cell r="B25" t="str">
            <v>OIL/WATER</v>
          </cell>
          <cell r="C25">
            <v>16.690000000000001</v>
          </cell>
          <cell r="E25">
            <v>101</v>
          </cell>
          <cell r="F25">
            <v>17.010000000000002</v>
          </cell>
          <cell r="G25">
            <v>68</v>
          </cell>
          <cell r="I25">
            <v>33</v>
          </cell>
        </row>
        <row r="26">
          <cell r="A26" t="str">
            <v>SLOP STBD</v>
          </cell>
          <cell r="B26" t="str">
            <v>OIL/WATER</v>
          </cell>
          <cell r="C26">
            <v>9.3000000000000007</v>
          </cell>
          <cell r="E26">
            <v>1649</v>
          </cell>
          <cell r="F26">
            <v>13.9</v>
          </cell>
          <cell r="G26">
            <v>602</v>
          </cell>
          <cell r="I26">
            <v>1047</v>
          </cell>
        </row>
        <row r="34">
          <cell r="A34" t="str">
            <v>Trim/list correction applied/not applied</v>
          </cell>
        </row>
        <row r="35">
          <cell r="A35" t="str">
            <v>TANULOD</v>
          </cell>
          <cell r="E35" t="str">
            <v>VESSEL</v>
          </cell>
          <cell r="H35" t="str">
            <v xml:space="preserve">           INSPECTORATE</v>
          </cell>
        </row>
      </sheetData>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VEF"/>
      <sheetName val="VOY DATA"/>
      <sheetName val="VOY ABS BAL"/>
      <sheetName val="NOR LOAD"/>
      <sheetName val="TLX SAM ARR BAL"/>
      <sheetName val="ULL LOAD"/>
      <sheetName val="LOP for BoL"/>
      <sheetName val="PORT LOG ABST"/>
      <sheetName val="TLX DEP LOAD"/>
      <sheetName val="VOY ABS LOAD"/>
      <sheetName val="HEATING LOG"/>
      <sheetName val="PORTLOGABST DIS"/>
      <sheetName val="NOR DISP"/>
      <sheetName val="ULL DIS"/>
      <sheetName val="TLX SAM ARR LOAD"/>
      <sheetName val="TLX DEP DISC"/>
      <sheetName val="Voy Abst. Page 2"/>
      <sheetName val="DOCS TRANSMISSION"/>
      <sheetName val="NEWPORT"/>
      <sheetName val="Fleet"/>
      <sheetName val="Agencies"/>
    </sheetNames>
    <sheetDataSet>
      <sheetData sheetId="0">
        <row r="3">
          <cell r="B3" t="str">
            <v>M/T FOUR SEAS</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4.bin"/><Relationship Id="rId1" Type="http://schemas.openxmlformats.org/officeDocument/2006/relationships/hyperlink" Target="mailto:pabel.mslogistics@yahoo.com" TargetMode="Externa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4.xml"/><Relationship Id="rId1" Type="http://schemas.openxmlformats.org/officeDocument/2006/relationships/printerSettings" Target="../printerSettings/printerSettings5.bin"/><Relationship Id="rId4" Type="http://schemas.openxmlformats.org/officeDocument/2006/relationships/comments" Target="../comments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9D9E3F-CF7A-4242-95F9-061749BDA26F}">
  <sheetPr>
    <pageSetUpPr fitToPage="1"/>
  </sheetPr>
  <dimension ref="A1:AO58"/>
  <sheetViews>
    <sheetView showGridLines="0" showZeros="0" topLeftCell="A16" zoomScale="108" workbookViewId="0">
      <selection activeCell="BD32" sqref="BD32"/>
    </sheetView>
  </sheetViews>
  <sheetFormatPr baseColWidth="10" defaultRowHeight="12.75" x14ac:dyDescent="0.2"/>
  <cols>
    <col min="1" max="178" width="2.42578125" customWidth="1"/>
    <col min="257" max="434" width="2.42578125" customWidth="1"/>
    <col min="513" max="690" width="2.42578125" customWidth="1"/>
    <col min="769" max="946" width="2.42578125" customWidth="1"/>
    <col min="1025" max="1202" width="2.42578125" customWidth="1"/>
    <col min="1281" max="1458" width="2.42578125" customWidth="1"/>
    <col min="1537" max="1714" width="2.42578125" customWidth="1"/>
    <col min="1793" max="1970" width="2.42578125" customWidth="1"/>
    <col min="2049" max="2226" width="2.42578125" customWidth="1"/>
    <col min="2305" max="2482" width="2.42578125" customWidth="1"/>
    <col min="2561" max="2738" width="2.42578125" customWidth="1"/>
    <col min="2817" max="2994" width="2.42578125" customWidth="1"/>
    <col min="3073" max="3250" width="2.42578125" customWidth="1"/>
    <col min="3329" max="3506" width="2.42578125" customWidth="1"/>
    <col min="3585" max="3762" width="2.42578125" customWidth="1"/>
    <col min="3841" max="4018" width="2.42578125" customWidth="1"/>
    <col min="4097" max="4274" width="2.42578125" customWidth="1"/>
    <col min="4353" max="4530" width="2.42578125" customWidth="1"/>
    <col min="4609" max="4786" width="2.42578125" customWidth="1"/>
    <col min="4865" max="5042" width="2.42578125" customWidth="1"/>
    <col min="5121" max="5298" width="2.42578125" customWidth="1"/>
    <col min="5377" max="5554" width="2.42578125" customWidth="1"/>
    <col min="5633" max="5810" width="2.42578125" customWidth="1"/>
    <col min="5889" max="6066" width="2.42578125" customWidth="1"/>
    <col min="6145" max="6322" width="2.42578125" customWidth="1"/>
    <col min="6401" max="6578" width="2.42578125" customWidth="1"/>
    <col min="6657" max="6834" width="2.42578125" customWidth="1"/>
    <col min="6913" max="7090" width="2.42578125" customWidth="1"/>
    <col min="7169" max="7346" width="2.42578125" customWidth="1"/>
    <col min="7425" max="7602" width="2.42578125" customWidth="1"/>
    <col min="7681" max="7858" width="2.42578125" customWidth="1"/>
    <col min="7937" max="8114" width="2.42578125" customWidth="1"/>
    <col min="8193" max="8370" width="2.42578125" customWidth="1"/>
    <col min="8449" max="8626" width="2.42578125" customWidth="1"/>
    <col min="8705" max="8882" width="2.42578125" customWidth="1"/>
    <col min="8961" max="9138" width="2.42578125" customWidth="1"/>
    <col min="9217" max="9394" width="2.42578125" customWidth="1"/>
    <col min="9473" max="9650" width="2.42578125" customWidth="1"/>
    <col min="9729" max="9906" width="2.42578125" customWidth="1"/>
    <col min="9985" max="10162" width="2.42578125" customWidth="1"/>
    <col min="10241" max="10418" width="2.42578125" customWidth="1"/>
    <col min="10497" max="10674" width="2.42578125" customWidth="1"/>
    <col min="10753" max="10930" width="2.42578125" customWidth="1"/>
    <col min="11009" max="11186" width="2.42578125" customWidth="1"/>
    <col min="11265" max="11442" width="2.42578125" customWidth="1"/>
    <col min="11521" max="11698" width="2.42578125" customWidth="1"/>
    <col min="11777" max="11954" width="2.42578125" customWidth="1"/>
    <col min="12033" max="12210" width="2.42578125" customWidth="1"/>
    <col min="12289" max="12466" width="2.42578125" customWidth="1"/>
    <col min="12545" max="12722" width="2.42578125" customWidth="1"/>
    <col min="12801" max="12978" width="2.42578125" customWidth="1"/>
    <col min="13057" max="13234" width="2.42578125" customWidth="1"/>
    <col min="13313" max="13490" width="2.42578125" customWidth="1"/>
    <col min="13569" max="13746" width="2.42578125" customWidth="1"/>
    <col min="13825" max="14002" width="2.42578125" customWidth="1"/>
    <col min="14081" max="14258" width="2.42578125" customWidth="1"/>
    <col min="14337" max="14514" width="2.42578125" customWidth="1"/>
    <col min="14593" max="14770" width="2.42578125" customWidth="1"/>
    <col min="14849" max="15026" width="2.42578125" customWidth="1"/>
    <col min="15105" max="15282" width="2.42578125" customWidth="1"/>
    <col min="15361" max="15538" width="2.42578125" customWidth="1"/>
    <col min="15617" max="15794" width="2.42578125" customWidth="1"/>
    <col min="15873" max="16050" width="2.42578125" customWidth="1"/>
    <col min="16129" max="16306" width="2.42578125" customWidth="1"/>
  </cols>
  <sheetData>
    <row r="1" spans="1:41" ht="12.75" customHeight="1" x14ac:dyDescent="0.25">
      <c r="A1" s="333" t="s">
        <v>0</v>
      </c>
      <c r="B1" s="333"/>
      <c r="C1" s="333"/>
      <c r="D1" s="333"/>
      <c r="E1" s="333"/>
      <c r="F1" s="333"/>
      <c r="G1" s="333"/>
      <c r="H1" s="333"/>
      <c r="I1" s="333"/>
      <c r="J1" s="333"/>
      <c r="K1" s="333"/>
      <c r="L1" s="333"/>
      <c r="M1" s="333"/>
      <c r="N1" s="333"/>
      <c r="O1" s="333"/>
      <c r="P1" s="333"/>
      <c r="Q1" s="333"/>
      <c r="R1" s="333"/>
      <c r="S1" s="333"/>
      <c r="T1" s="333"/>
      <c r="U1" s="333"/>
      <c r="V1" s="333"/>
      <c r="W1" s="333"/>
      <c r="X1" s="333"/>
      <c r="Y1" s="333"/>
      <c r="Z1" s="333"/>
      <c r="AA1" s="333"/>
      <c r="AB1" s="333"/>
      <c r="AC1" s="333"/>
      <c r="AD1" s="333"/>
      <c r="AE1" s="333"/>
      <c r="AF1" s="333"/>
      <c r="AG1" s="333"/>
      <c r="AH1" s="333"/>
      <c r="AI1" s="333"/>
      <c r="AJ1" s="333"/>
      <c r="AK1" s="333"/>
      <c r="AL1" s="333"/>
      <c r="AM1" s="333"/>
      <c r="AN1" s="333"/>
      <c r="AO1" s="333"/>
    </row>
    <row r="2" spans="1:41" ht="12.75" customHeight="1" x14ac:dyDescent="0.2">
      <c r="A2" s="334"/>
      <c r="B2" s="335"/>
      <c r="C2" s="335"/>
      <c r="D2" s="335"/>
      <c r="E2" s="335"/>
      <c r="F2" s="335"/>
      <c r="G2" s="335"/>
      <c r="H2" s="335"/>
      <c r="I2" s="335"/>
      <c r="J2" s="335"/>
      <c r="K2" s="335"/>
      <c r="L2" s="335"/>
      <c r="M2" s="335"/>
      <c r="N2" s="335"/>
      <c r="O2" s="335"/>
      <c r="P2" s="335"/>
      <c r="Q2" s="335"/>
      <c r="R2" s="335"/>
      <c r="S2" s="335"/>
      <c r="T2" s="335"/>
      <c r="U2" s="335"/>
      <c r="V2" s="335"/>
      <c r="W2" s="335"/>
      <c r="X2" s="335"/>
      <c r="Y2" s="336"/>
      <c r="Z2" s="336"/>
      <c r="AA2" s="336"/>
      <c r="AB2" s="336"/>
      <c r="AC2" s="336"/>
      <c r="AD2" s="336"/>
      <c r="AE2" s="336"/>
      <c r="AF2" s="336"/>
      <c r="AG2" s="336"/>
      <c r="AH2" s="337"/>
      <c r="AI2" s="338" t="s">
        <v>1</v>
      </c>
      <c r="AJ2" s="339"/>
      <c r="AK2" s="339"/>
      <c r="AL2" s="339"/>
      <c r="AM2" s="339"/>
      <c r="AN2" s="339"/>
      <c r="AO2" s="340"/>
    </row>
    <row r="3" spans="1:41" ht="12.75" customHeight="1" x14ac:dyDescent="0.2">
      <c r="A3" s="347" t="s">
        <v>2</v>
      </c>
      <c r="B3" s="348"/>
      <c r="C3" s="348"/>
      <c r="D3" s="348"/>
      <c r="E3" s="348"/>
      <c r="F3" s="348"/>
      <c r="G3" s="348"/>
      <c r="H3" s="348"/>
      <c r="I3" s="348"/>
      <c r="J3" s="348"/>
      <c r="K3" s="348"/>
      <c r="L3" s="348"/>
      <c r="M3" s="348"/>
      <c r="N3" s="348"/>
      <c r="O3" s="348"/>
      <c r="P3" s="348"/>
      <c r="Q3" s="348"/>
      <c r="R3" s="348"/>
      <c r="S3" s="348"/>
      <c r="T3" s="348"/>
      <c r="U3" s="348"/>
      <c r="V3" s="348"/>
      <c r="W3" s="348"/>
      <c r="X3" s="348"/>
      <c r="Y3" s="349"/>
      <c r="Z3" s="2" t="str">
        <f>+Draft!AN3</f>
        <v>X</v>
      </c>
      <c r="AA3" s="350" t="s">
        <v>3</v>
      </c>
      <c r="AB3" s="351"/>
      <c r="AC3" s="351"/>
      <c r="AD3" s="351"/>
      <c r="AE3" s="351"/>
      <c r="AF3" s="351"/>
      <c r="AG3" s="351"/>
      <c r="AH3" s="352"/>
      <c r="AI3" s="341"/>
      <c r="AJ3" s="342"/>
      <c r="AK3" s="342"/>
      <c r="AL3" s="342"/>
      <c r="AM3" s="342"/>
      <c r="AN3" s="342"/>
      <c r="AO3" s="343"/>
    </row>
    <row r="4" spans="1:41" ht="12.75" customHeight="1" x14ac:dyDescent="0.2">
      <c r="A4" s="353"/>
      <c r="B4" s="354"/>
      <c r="C4" s="354"/>
      <c r="D4" s="354"/>
      <c r="E4" s="354"/>
      <c r="F4" s="354"/>
      <c r="G4" s="354"/>
      <c r="H4" s="354"/>
      <c r="I4" s="354"/>
      <c r="J4" s="354"/>
      <c r="K4" s="354"/>
      <c r="L4" s="354"/>
      <c r="M4" s="354"/>
      <c r="N4" s="354"/>
      <c r="O4" s="354"/>
      <c r="P4" s="354"/>
      <c r="Q4" s="354"/>
      <c r="R4" s="354"/>
      <c r="S4" s="354"/>
      <c r="T4" s="354"/>
      <c r="U4" s="354"/>
      <c r="V4" s="354"/>
      <c r="W4" s="354"/>
      <c r="X4" s="354"/>
      <c r="Y4" s="355"/>
      <c r="Z4" s="2">
        <f>+Draft!AN4</f>
        <v>0</v>
      </c>
      <c r="AA4" s="356" t="s">
        <v>4</v>
      </c>
      <c r="AB4" s="357"/>
      <c r="AC4" s="357"/>
      <c r="AD4" s="357"/>
      <c r="AE4" s="357"/>
      <c r="AF4" s="357"/>
      <c r="AG4" s="357"/>
      <c r="AH4" s="358"/>
      <c r="AI4" s="344"/>
      <c r="AJ4" s="345"/>
      <c r="AK4" s="345"/>
      <c r="AL4" s="345"/>
      <c r="AM4" s="345"/>
      <c r="AN4" s="345"/>
      <c r="AO4" s="346"/>
    </row>
    <row r="5" spans="1:41" ht="12.75" customHeight="1" x14ac:dyDescent="0.2">
      <c r="A5" s="6"/>
      <c r="B5" s="322" t="s">
        <v>5</v>
      </c>
      <c r="C5" s="322"/>
      <c r="D5" s="322"/>
      <c r="E5" s="322"/>
      <c r="F5" s="322"/>
      <c r="G5" s="322"/>
      <c r="H5" s="322"/>
      <c r="I5" s="322"/>
      <c r="J5" s="322"/>
      <c r="K5" s="322"/>
      <c r="L5" s="322"/>
      <c r="M5" s="322"/>
      <c r="N5" s="322"/>
      <c r="O5" s="322"/>
      <c r="P5" s="322"/>
      <c r="Q5" s="322"/>
      <c r="R5" s="322"/>
      <c r="S5" s="322"/>
      <c r="T5" s="322"/>
      <c r="U5" s="322"/>
      <c r="V5" s="322"/>
      <c r="W5" s="322"/>
      <c r="X5" s="322"/>
      <c r="Y5" s="322"/>
      <c r="Z5" s="322"/>
      <c r="AA5" s="322"/>
      <c r="AB5" s="322"/>
      <c r="AC5" s="322"/>
      <c r="AD5" s="322"/>
      <c r="AE5" s="322"/>
      <c r="AF5" s="322"/>
      <c r="AG5" s="322"/>
      <c r="AH5" s="322"/>
      <c r="AI5" s="322"/>
      <c r="AJ5" s="322"/>
      <c r="AK5" s="322"/>
      <c r="AL5" s="322"/>
      <c r="AM5" s="322"/>
      <c r="AN5" s="322"/>
      <c r="AO5" s="323"/>
    </row>
    <row r="6" spans="1:41" ht="12.75" customHeight="1" x14ac:dyDescent="0.2">
      <c r="A6" s="8"/>
      <c r="B6" s="274" t="s">
        <v>6</v>
      </c>
      <c r="C6" s="274"/>
      <c r="D6" s="274"/>
      <c r="E6" s="274"/>
      <c r="F6" s="274"/>
      <c r="G6" s="274"/>
      <c r="H6" s="274"/>
      <c r="I6" s="274"/>
      <c r="J6" s="274"/>
      <c r="K6" s="274"/>
      <c r="L6" s="274"/>
      <c r="M6" s="274"/>
      <c r="N6" s="274"/>
      <c r="O6" s="274"/>
      <c r="P6" s="274"/>
      <c r="Q6" s="274"/>
      <c r="R6" s="274"/>
      <c r="S6" s="274"/>
      <c r="T6" s="274"/>
      <c r="U6" s="274"/>
      <c r="V6" s="274"/>
      <c r="W6" s="274"/>
      <c r="X6" s="274"/>
      <c r="Y6" s="274"/>
      <c r="Z6" s="274"/>
      <c r="AA6" s="274"/>
      <c r="AB6" s="274"/>
      <c r="AC6" s="274"/>
      <c r="AD6" s="274"/>
      <c r="AE6" s="274"/>
      <c r="AF6" s="274"/>
      <c r="AG6" s="274"/>
      <c r="AH6" s="274"/>
      <c r="AI6" s="274"/>
      <c r="AJ6" s="274"/>
      <c r="AK6" s="274"/>
      <c r="AL6" s="274"/>
      <c r="AM6" s="274"/>
      <c r="AN6" s="274"/>
      <c r="AO6" s="359"/>
    </row>
    <row r="7" spans="1:41" x14ac:dyDescent="0.2">
      <c r="A7" s="6"/>
      <c r="B7" s="322" t="s">
        <v>7</v>
      </c>
      <c r="C7" s="322"/>
      <c r="D7" s="322"/>
      <c r="E7" s="322"/>
      <c r="F7" s="322"/>
      <c r="G7" s="322"/>
      <c r="H7" s="322"/>
      <c r="I7" s="322"/>
      <c r="J7" s="322"/>
      <c r="K7" s="322"/>
      <c r="L7" s="322"/>
      <c r="M7" s="322"/>
      <c r="N7" s="322"/>
      <c r="O7" s="322"/>
      <c r="P7" s="322"/>
      <c r="Q7" s="322"/>
      <c r="R7" s="322"/>
      <c r="S7" s="322"/>
      <c r="T7" s="322"/>
      <c r="U7" s="322"/>
      <c r="V7" s="322"/>
      <c r="W7" s="322"/>
      <c r="X7" s="322"/>
      <c r="Y7" s="322"/>
      <c r="Z7" s="322"/>
      <c r="AA7" s="322"/>
      <c r="AB7" s="322"/>
      <c r="AC7" s="322"/>
      <c r="AD7" s="322"/>
      <c r="AE7" s="322"/>
      <c r="AF7" s="322"/>
      <c r="AG7" s="322"/>
      <c r="AH7" s="322"/>
      <c r="AI7" s="322"/>
      <c r="AJ7" s="322"/>
      <c r="AK7" s="322"/>
      <c r="AL7" s="322"/>
      <c r="AM7" s="322"/>
      <c r="AN7" s="322"/>
      <c r="AO7" s="323"/>
    </row>
    <row r="8" spans="1:41" x14ac:dyDescent="0.2">
      <c r="A8" s="8"/>
      <c r="B8" s="360" t="str">
        <f>+General!A52</f>
        <v>Villa Bonita, Centro Comercial Villa Plaza Local N 6, Alajuela - Costa Rica</v>
      </c>
      <c r="C8" s="360"/>
      <c r="D8" s="360"/>
      <c r="E8" s="360"/>
      <c r="F8" s="360"/>
      <c r="G8" s="360"/>
      <c r="H8" s="360"/>
      <c r="I8" s="360"/>
      <c r="J8" s="360"/>
      <c r="K8" s="360"/>
      <c r="L8" s="360"/>
      <c r="M8" s="360"/>
      <c r="N8" s="360"/>
      <c r="O8" s="360"/>
      <c r="P8" s="360"/>
      <c r="Q8" s="360"/>
      <c r="R8" s="360"/>
      <c r="S8" s="360"/>
      <c r="T8" s="360"/>
      <c r="U8" s="360"/>
      <c r="V8" s="360"/>
      <c r="W8" s="360"/>
      <c r="X8" s="360"/>
      <c r="Y8" s="360"/>
      <c r="Z8" s="360"/>
      <c r="AA8" s="360"/>
      <c r="AB8" s="360"/>
      <c r="AC8" s="360"/>
      <c r="AD8" s="360"/>
      <c r="AE8" s="360"/>
      <c r="AF8" s="360"/>
      <c r="AG8" s="360"/>
      <c r="AH8" s="360"/>
      <c r="AI8" s="360"/>
      <c r="AJ8" s="360"/>
      <c r="AK8" s="360"/>
      <c r="AL8" s="360"/>
      <c r="AM8" s="360"/>
      <c r="AN8" s="360"/>
      <c r="AO8" s="361"/>
    </row>
    <row r="9" spans="1:41" ht="12.75" customHeight="1" x14ac:dyDescent="0.2">
      <c r="A9" s="6"/>
      <c r="B9" s="7" t="s">
        <v>8</v>
      </c>
      <c r="C9" s="11"/>
      <c r="D9" s="12"/>
      <c r="E9" s="13"/>
      <c r="F9" s="13"/>
      <c r="G9" s="13"/>
      <c r="H9" s="13"/>
      <c r="I9" s="13"/>
      <c r="J9" s="13"/>
      <c r="K9" s="13"/>
      <c r="L9" s="13"/>
      <c r="M9" s="13"/>
      <c r="N9" s="13"/>
      <c r="O9" s="13"/>
      <c r="P9" s="12"/>
      <c r="Q9" s="7" t="s">
        <v>9</v>
      </c>
      <c r="R9" s="12"/>
      <c r="S9" s="12"/>
      <c r="T9" s="12"/>
      <c r="U9" s="12"/>
      <c r="V9" s="12"/>
      <c r="W9" s="12"/>
      <c r="X9" s="12"/>
      <c r="Y9" s="12"/>
      <c r="Z9" s="12"/>
      <c r="AA9" s="12"/>
      <c r="AB9" s="12"/>
      <c r="AC9" s="12"/>
      <c r="AD9" s="7" t="s">
        <v>10</v>
      </c>
      <c r="AE9" s="12"/>
      <c r="AF9" s="12"/>
      <c r="AG9" s="12"/>
      <c r="AH9" s="12"/>
      <c r="AI9" s="12"/>
      <c r="AJ9" s="12"/>
      <c r="AK9" s="12"/>
      <c r="AL9" s="12"/>
      <c r="AM9" s="12"/>
      <c r="AN9" s="12"/>
      <c r="AO9" s="14"/>
    </row>
    <row r="10" spans="1:41" x14ac:dyDescent="0.2">
      <c r="A10" s="8"/>
      <c r="B10" s="15" t="str">
        <f>++General!A54</f>
        <v>506- 2441 6408 Mobile: 506- 8814 0784</v>
      </c>
      <c r="C10" s="15"/>
      <c r="D10" s="16"/>
      <c r="E10" s="17"/>
      <c r="F10" s="17"/>
      <c r="G10" s="9"/>
      <c r="H10" s="17"/>
      <c r="I10" s="17"/>
      <c r="J10" s="17"/>
      <c r="K10" s="17"/>
      <c r="L10" s="17"/>
      <c r="M10" s="17"/>
      <c r="N10" s="17"/>
      <c r="O10" s="17"/>
      <c r="P10" s="17"/>
      <c r="Q10" s="16" t="str">
        <f>+General!P54</f>
        <v>506 - 2441 6408 / 506- 2441 6408</v>
      </c>
      <c r="R10" s="16"/>
      <c r="T10" s="18"/>
      <c r="U10" s="16"/>
      <c r="V10" s="16"/>
      <c r="W10" s="16"/>
      <c r="X10" s="16"/>
      <c r="Y10" s="16"/>
      <c r="Z10" s="16"/>
      <c r="AA10" s="16"/>
      <c r="AB10" s="16"/>
      <c r="AC10" s="16"/>
      <c r="AD10" s="19" t="str">
        <f>+General!AC54</f>
        <v>pabel.mslogistics@yahoo.com</v>
      </c>
      <c r="AE10" s="16"/>
      <c r="AF10" s="16"/>
      <c r="AG10" s="16"/>
      <c r="AH10" s="16"/>
      <c r="AI10" s="16"/>
      <c r="AJ10" s="16"/>
      <c r="AK10" s="16"/>
      <c r="AL10" s="16"/>
      <c r="AM10" s="16"/>
      <c r="AN10" s="16"/>
      <c r="AO10" s="20"/>
    </row>
    <row r="11" spans="1:41" x14ac:dyDescent="0.2">
      <c r="A11" s="6"/>
      <c r="B11" s="12" t="s">
        <v>11</v>
      </c>
      <c r="C11" s="11"/>
      <c r="D11" s="12"/>
      <c r="E11" s="13"/>
      <c r="F11" s="13"/>
      <c r="G11" s="13"/>
      <c r="H11" s="13"/>
      <c r="I11" s="13"/>
      <c r="J11" s="13"/>
      <c r="K11" s="13"/>
      <c r="L11" s="13"/>
      <c r="M11" s="13"/>
      <c r="N11" s="13"/>
      <c r="O11" s="13"/>
      <c r="P11" s="12"/>
      <c r="Q11" s="7" t="s">
        <v>12</v>
      </c>
      <c r="R11" s="12"/>
      <c r="S11" s="12"/>
      <c r="T11" s="12"/>
      <c r="U11" s="12"/>
      <c r="V11" s="12"/>
      <c r="AA11" s="12"/>
      <c r="AB11" s="12"/>
      <c r="AC11" s="12"/>
      <c r="AD11" s="12" t="s">
        <v>13</v>
      </c>
      <c r="AE11" s="12"/>
      <c r="AF11" s="12"/>
      <c r="AG11" s="12"/>
      <c r="AH11" s="12"/>
      <c r="AI11" s="12"/>
      <c r="AJ11" s="12"/>
      <c r="AK11" s="12"/>
      <c r="AL11" s="12"/>
      <c r="AM11" s="12"/>
      <c r="AN11" s="12"/>
      <c r="AO11" s="14"/>
    </row>
    <row r="12" spans="1:41" ht="12.75" customHeight="1" x14ac:dyDescent="0.2">
      <c r="A12" s="8"/>
      <c r="B12" s="15"/>
      <c r="C12" s="15"/>
      <c r="D12" s="15"/>
      <c r="E12" s="17"/>
      <c r="F12" s="17"/>
      <c r="G12" s="21" t="str">
        <f>+Draft!AB1</f>
        <v>MV SANTA CAROLINA</v>
      </c>
      <c r="H12" s="17"/>
      <c r="I12" s="17"/>
      <c r="J12" s="17"/>
      <c r="K12" s="17"/>
      <c r="L12" s="17"/>
      <c r="M12" s="17"/>
      <c r="N12" s="17"/>
      <c r="O12" s="17"/>
      <c r="P12" s="17"/>
      <c r="Q12" s="17"/>
      <c r="R12" s="16"/>
      <c r="S12" s="16"/>
      <c r="T12" s="21" t="str">
        <f>+General!AI3</f>
        <v>C6WC3</v>
      </c>
      <c r="U12" s="16"/>
      <c r="V12" s="16"/>
      <c r="AA12" s="16"/>
      <c r="AB12" s="16"/>
      <c r="AC12" s="16"/>
      <c r="AD12" s="16"/>
      <c r="AE12" s="16"/>
      <c r="AF12" s="16"/>
      <c r="AG12" s="21" t="str">
        <f>+General!X3</f>
        <v>2207-1407-2026</v>
      </c>
      <c r="AH12" s="16"/>
      <c r="AI12" s="16"/>
      <c r="AJ12" s="16"/>
      <c r="AK12" s="16"/>
      <c r="AL12" s="16"/>
      <c r="AM12" s="16"/>
      <c r="AN12" s="16"/>
      <c r="AO12" s="20"/>
    </row>
    <row r="13" spans="1:41" x14ac:dyDescent="0.2">
      <c r="A13" s="6"/>
      <c r="B13" s="12" t="s">
        <v>14</v>
      </c>
      <c r="C13" s="11"/>
      <c r="D13" s="12"/>
      <c r="E13" s="13"/>
      <c r="F13" s="13"/>
      <c r="G13" s="13"/>
      <c r="H13" s="13"/>
      <c r="I13" s="13"/>
      <c r="J13" s="13"/>
      <c r="K13" s="13"/>
      <c r="L13" s="13"/>
      <c r="M13" s="13"/>
      <c r="N13" s="13"/>
      <c r="O13" s="13"/>
      <c r="P13" s="12"/>
      <c r="Q13" s="12"/>
      <c r="R13" s="12"/>
      <c r="S13" s="12"/>
      <c r="T13" s="12"/>
      <c r="U13" s="12"/>
      <c r="V13" s="12"/>
      <c r="W13" s="7"/>
      <c r="X13" s="12"/>
      <c r="Y13" s="12"/>
      <c r="Z13" s="12"/>
      <c r="AA13" s="12"/>
      <c r="AB13" s="12"/>
      <c r="AC13" s="12"/>
      <c r="AD13" s="12" t="s">
        <v>15</v>
      </c>
      <c r="AE13" s="12"/>
      <c r="AF13" s="12"/>
      <c r="AG13" s="12"/>
      <c r="AH13" s="12"/>
      <c r="AI13" s="12"/>
      <c r="AJ13" s="12"/>
      <c r="AK13" s="12"/>
      <c r="AL13" s="12"/>
      <c r="AM13" s="12"/>
      <c r="AN13" s="12"/>
      <c r="AO13" s="14"/>
    </row>
    <row r="14" spans="1:41" x14ac:dyDescent="0.2">
      <c r="A14" s="8"/>
      <c r="B14" s="21">
        <f>+General!J6</f>
        <v>0</v>
      </c>
      <c r="C14" s="15"/>
      <c r="D14" s="16"/>
      <c r="E14" s="17"/>
      <c r="F14" s="17"/>
      <c r="G14" s="17"/>
      <c r="H14" s="17"/>
      <c r="I14" s="17"/>
      <c r="J14" s="17"/>
      <c r="K14" s="17"/>
      <c r="L14" s="17"/>
      <c r="M14" s="17"/>
      <c r="N14" s="17"/>
      <c r="O14" s="17"/>
      <c r="P14" s="16"/>
      <c r="Q14" s="16"/>
      <c r="R14" s="16"/>
      <c r="S14" s="16"/>
      <c r="T14" s="16"/>
      <c r="U14" s="16"/>
      <c r="V14" s="16"/>
      <c r="W14" s="16"/>
      <c r="X14" s="16"/>
      <c r="Y14" s="16"/>
      <c r="Z14" s="16"/>
      <c r="AA14" s="16"/>
      <c r="AB14" s="16"/>
      <c r="AC14" s="16"/>
      <c r="AD14" s="16"/>
      <c r="AE14" s="16"/>
      <c r="AF14" s="16"/>
      <c r="AG14" s="21" t="str">
        <f>+General!M8</f>
        <v>XXXXX</v>
      </c>
      <c r="AH14" s="16"/>
      <c r="AI14" s="16"/>
      <c r="AJ14" s="16"/>
      <c r="AK14" s="16"/>
      <c r="AL14" s="16"/>
      <c r="AM14" s="16"/>
      <c r="AN14" s="16"/>
      <c r="AO14" s="20"/>
    </row>
    <row r="15" spans="1:41" x14ac:dyDescent="0.2">
      <c r="A15" s="6"/>
      <c r="B15" s="12" t="s">
        <v>16</v>
      </c>
      <c r="C15" s="11"/>
      <c r="D15" s="12"/>
      <c r="E15" s="13"/>
      <c r="F15" s="13"/>
      <c r="G15" s="13"/>
      <c r="H15" s="13"/>
      <c r="I15" s="13"/>
      <c r="J15" s="13"/>
      <c r="K15" s="12" t="s">
        <v>17</v>
      </c>
      <c r="L15" s="13"/>
      <c r="M15" s="13"/>
      <c r="N15" s="13"/>
      <c r="O15" s="13"/>
      <c r="P15" s="13"/>
      <c r="Q15" s="13"/>
      <c r="R15" s="13"/>
      <c r="S15" s="13"/>
      <c r="T15" s="13"/>
      <c r="U15" s="13"/>
      <c r="V15" s="13"/>
      <c r="W15" s="13"/>
      <c r="X15" s="12"/>
      <c r="Y15" s="12"/>
      <c r="Z15" s="12"/>
      <c r="AA15" s="12"/>
      <c r="AB15" s="12"/>
      <c r="AC15" s="12"/>
      <c r="AD15" s="12" t="s">
        <v>18</v>
      </c>
      <c r="AE15" s="12"/>
      <c r="AF15" s="12"/>
      <c r="AG15" s="12"/>
      <c r="AH15" s="12"/>
      <c r="AI15" s="12"/>
      <c r="AJ15" s="12"/>
      <c r="AK15" s="12"/>
      <c r="AL15" s="12"/>
      <c r="AM15" s="12"/>
      <c r="AN15" s="12"/>
      <c r="AO15" s="14"/>
    </row>
    <row r="16" spans="1:41" x14ac:dyDescent="0.2">
      <c r="A16" s="8"/>
      <c r="B16" s="362" t="str">
        <f>+General!W8</f>
        <v>XXXX</v>
      </c>
      <c r="C16" s="362"/>
      <c r="D16" s="362"/>
      <c r="E16" s="17"/>
      <c r="F16" s="17"/>
      <c r="G16" s="17"/>
      <c r="H16" s="17"/>
      <c r="I16" s="17"/>
      <c r="J16" s="17"/>
      <c r="K16" s="9" t="str">
        <f>+General!AA8</f>
        <v>ZHEJIANG OUHUA SHIPBUILDING CO. LTD</v>
      </c>
      <c r="L16" s="17"/>
      <c r="M16" s="17"/>
      <c r="N16" s="17"/>
      <c r="O16" s="17"/>
      <c r="P16" s="17"/>
      <c r="Q16" s="17"/>
      <c r="R16" s="17"/>
      <c r="S16" s="17"/>
      <c r="T16" s="17"/>
      <c r="U16" s="17"/>
      <c r="V16" s="17"/>
      <c r="W16" s="17"/>
      <c r="X16" s="16"/>
      <c r="Y16" s="16"/>
      <c r="Z16" s="16"/>
      <c r="AA16" s="16"/>
      <c r="AB16" s="16"/>
      <c r="AC16" s="16"/>
      <c r="AD16" s="16"/>
      <c r="AE16" s="16"/>
      <c r="AF16" s="16"/>
      <c r="AG16" s="9" t="str">
        <f>+General!C8</f>
        <v>XXXX</v>
      </c>
      <c r="AH16" s="16"/>
      <c r="AI16" s="16"/>
      <c r="AJ16" s="16"/>
      <c r="AK16" s="16"/>
      <c r="AL16" s="16"/>
      <c r="AM16" s="16"/>
      <c r="AN16" s="16"/>
      <c r="AO16" s="20"/>
    </row>
    <row r="17" spans="1:41" x14ac:dyDescent="0.2">
      <c r="A17" s="6"/>
      <c r="B17" s="11" t="s">
        <v>19</v>
      </c>
      <c r="C17" s="11"/>
      <c r="D17" s="12"/>
      <c r="E17" s="13"/>
      <c r="F17" s="13"/>
      <c r="G17" s="13"/>
      <c r="H17" s="13"/>
      <c r="I17" s="13"/>
      <c r="J17" s="13"/>
      <c r="K17" s="22" t="str">
        <f>+General!AB12</f>
        <v>MMSL</v>
      </c>
      <c r="L17" s="13"/>
      <c r="M17" s="13"/>
      <c r="N17" s="13"/>
      <c r="O17" s="13"/>
      <c r="P17" s="13"/>
      <c r="Q17" s="13"/>
      <c r="R17" s="13"/>
      <c r="S17" s="13"/>
      <c r="T17" s="13"/>
      <c r="U17" s="13"/>
      <c r="V17" s="13"/>
      <c r="W17" s="13"/>
      <c r="X17" s="13"/>
      <c r="Y17" s="13"/>
      <c r="Z17" s="13"/>
      <c r="AA17" s="13"/>
      <c r="AB17" s="13"/>
      <c r="AC17" s="12"/>
      <c r="AD17" s="12"/>
      <c r="AE17" s="12"/>
      <c r="AF17" s="12"/>
      <c r="AG17" s="12"/>
      <c r="AH17" s="12"/>
      <c r="AI17" s="12"/>
      <c r="AJ17" s="12"/>
      <c r="AK17" s="12"/>
      <c r="AL17" s="12"/>
      <c r="AM17" s="12"/>
      <c r="AN17" s="12"/>
      <c r="AO17" s="14"/>
    </row>
    <row r="18" spans="1:41" x14ac:dyDescent="0.2">
      <c r="A18" s="23"/>
      <c r="B18" s="24" t="s">
        <v>20</v>
      </c>
      <c r="C18" s="24"/>
      <c r="D18" s="25"/>
      <c r="K18" s="26">
        <f>+General!AB13</f>
        <v>0</v>
      </c>
      <c r="AC18" s="25"/>
      <c r="AD18" s="25"/>
      <c r="AE18" s="25"/>
      <c r="AF18" s="25"/>
      <c r="AG18" s="25"/>
      <c r="AH18" s="25"/>
      <c r="AI18" s="25"/>
      <c r="AJ18" s="25"/>
      <c r="AK18" s="25"/>
      <c r="AL18" s="25"/>
      <c r="AM18" s="25"/>
      <c r="AN18" s="25"/>
      <c r="AO18" s="27"/>
    </row>
    <row r="19" spans="1:41" x14ac:dyDescent="0.2">
      <c r="A19" s="23"/>
      <c r="B19" s="28" t="s">
        <v>21</v>
      </c>
      <c r="C19" s="24"/>
      <c r="D19" s="25"/>
      <c r="F19" s="329">
        <f>+General!A42</f>
        <v>0</v>
      </c>
      <c r="G19" s="329"/>
      <c r="H19" s="329"/>
      <c r="I19" s="329"/>
      <c r="J19" s="329"/>
      <c r="K19" s="329"/>
      <c r="L19" s="329"/>
      <c r="M19" s="329"/>
      <c r="N19" s="329"/>
      <c r="O19" s="329"/>
      <c r="P19" s="329"/>
      <c r="Q19" s="329"/>
      <c r="R19" s="329"/>
      <c r="S19" s="329"/>
      <c r="T19" s="329"/>
      <c r="U19" s="329"/>
      <c r="V19" s="329"/>
      <c r="W19" s="329"/>
      <c r="X19" s="329"/>
      <c r="Y19" s="329"/>
      <c r="Z19" s="329"/>
      <c r="AA19" s="329"/>
      <c r="AB19" s="329"/>
      <c r="AC19" s="329"/>
      <c r="AD19" s="329"/>
      <c r="AE19" s="329"/>
      <c r="AF19" s="329"/>
      <c r="AG19" s="329"/>
      <c r="AH19" s="329"/>
      <c r="AI19" s="329"/>
      <c r="AJ19" s="329"/>
      <c r="AK19" s="329"/>
      <c r="AL19" s="329"/>
      <c r="AM19" s="329"/>
      <c r="AN19" s="329"/>
      <c r="AO19" s="330"/>
    </row>
    <row r="20" spans="1:41" x14ac:dyDescent="0.2">
      <c r="A20" s="23"/>
      <c r="B20" s="24"/>
      <c r="C20" s="24"/>
      <c r="D20" s="25"/>
      <c r="F20" s="329"/>
      <c r="G20" s="329"/>
      <c r="H20" s="329"/>
      <c r="I20" s="329"/>
      <c r="J20" s="329"/>
      <c r="K20" s="329"/>
      <c r="L20" s="329"/>
      <c r="M20" s="329"/>
      <c r="N20" s="329"/>
      <c r="O20" s="329"/>
      <c r="P20" s="329"/>
      <c r="Q20" s="329"/>
      <c r="R20" s="329"/>
      <c r="S20" s="329"/>
      <c r="T20" s="329"/>
      <c r="U20" s="329"/>
      <c r="V20" s="329"/>
      <c r="W20" s="329"/>
      <c r="X20" s="329"/>
      <c r="Y20" s="329"/>
      <c r="Z20" s="329"/>
      <c r="AA20" s="329"/>
      <c r="AB20" s="329"/>
      <c r="AC20" s="329"/>
      <c r="AD20" s="329"/>
      <c r="AE20" s="329"/>
      <c r="AF20" s="329"/>
      <c r="AG20" s="329"/>
      <c r="AH20" s="329"/>
      <c r="AI20" s="329"/>
      <c r="AJ20" s="329"/>
      <c r="AK20" s="329"/>
      <c r="AL20" s="329"/>
      <c r="AM20" s="329"/>
      <c r="AN20" s="329"/>
      <c r="AO20" s="330"/>
    </row>
    <row r="21" spans="1:41" x14ac:dyDescent="0.2">
      <c r="A21" s="23"/>
      <c r="B21" s="24"/>
      <c r="C21" s="24"/>
      <c r="D21" s="25"/>
      <c r="F21" s="329"/>
      <c r="G21" s="329"/>
      <c r="H21" s="329"/>
      <c r="I21" s="329"/>
      <c r="J21" s="329"/>
      <c r="K21" s="329"/>
      <c r="L21" s="329"/>
      <c r="M21" s="329"/>
      <c r="N21" s="329"/>
      <c r="O21" s="329"/>
      <c r="P21" s="329"/>
      <c r="Q21" s="329"/>
      <c r="R21" s="329"/>
      <c r="S21" s="329"/>
      <c r="T21" s="329"/>
      <c r="U21" s="329"/>
      <c r="V21" s="329"/>
      <c r="W21" s="329"/>
      <c r="X21" s="329"/>
      <c r="Y21" s="329"/>
      <c r="Z21" s="329"/>
      <c r="AA21" s="329"/>
      <c r="AB21" s="329"/>
      <c r="AC21" s="329"/>
      <c r="AD21" s="329"/>
      <c r="AE21" s="329"/>
      <c r="AF21" s="329"/>
      <c r="AG21" s="329"/>
      <c r="AH21" s="329"/>
      <c r="AI21" s="329"/>
      <c r="AJ21" s="329"/>
      <c r="AK21" s="329"/>
      <c r="AL21" s="329"/>
      <c r="AM21" s="329"/>
      <c r="AN21" s="329"/>
      <c r="AO21" s="330"/>
    </row>
    <row r="22" spans="1:41" x14ac:dyDescent="0.2">
      <c r="A22" s="8"/>
      <c r="B22" s="15"/>
      <c r="C22" s="15"/>
      <c r="D22" s="16"/>
      <c r="E22" s="17"/>
      <c r="F22" s="331"/>
      <c r="G22" s="331"/>
      <c r="H22" s="331"/>
      <c r="I22" s="331"/>
      <c r="J22" s="331"/>
      <c r="K22" s="331"/>
      <c r="L22" s="331"/>
      <c r="M22" s="331"/>
      <c r="N22" s="331"/>
      <c r="O22" s="331"/>
      <c r="P22" s="331"/>
      <c r="Q22" s="331"/>
      <c r="R22" s="331"/>
      <c r="S22" s="331"/>
      <c r="T22" s="331"/>
      <c r="U22" s="331"/>
      <c r="V22" s="331"/>
      <c r="W22" s="331"/>
      <c r="X22" s="331"/>
      <c r="Y22" s="331"/>
      <c r="Z22" s="331"/>
      <c r="AA22" s="331"/>
      <c r="AB22" s="331"/>
      <c r="AC22" s="331"/>
      <c r="AD22" s="331"/>
      <c r="AE22" s="331"/>
      <c r="AF22" s="331"/>
      <c r="AG22" s="331"/>
      <c r="AH22" s="331"/>
      <c r="AI22" s="331"/>
      <c r="AJ22" s="331"/>
      <c r="AK22" s="331"/>
      <c r="AL22" s="331"/>
      <c r="AM22" s="331"/>
      <c r="AN22" s="331"/>
      <c r="AO22" s="332"/>
    </row>
    <row r="23" spans="1:41" x14ac:dyDescent="0.2">
      <c r="A23" s="6"/>
      <c r="B23" s="11"/>
      <c r="C23" s="11"/>
      <c r="D23" s="12"/>
      <c r="E23" s="13"/>
      <c r="F23" s="13"/>
      <c r="G23" s="13"/>
      <c r="H23" s="13"/>
      <c r="I23" s="13"/>
      <c r="J23" s="13"/>
      <c r="K23" s="13"/>
      <c r="L23" s="13"/>
      <c r="M23" s="13"/>
      <c r="N23" s="13"/>
      <c r="O23" s="13"/>
      <c r="P23" s="12"/>
      <c r="Q23" s="12"/>
      <c r="R23" s="12"/>
      <c r="S23" s="12"/>
      <c r="T23" s="12"/>
      <c r="U23" s="12"/>
      <c r="V23" s="12"/>
      <c r="W23" s="12"/>
      <c r="X23" s="12"/>
      <c r="Y23" s="12"/>
      <c r="Z23" s="12"/>
      <c r="AA23" s="12"/>
      <c r="AB23" s="12"/>
      <c r="AC23" s="12"/>
      <c r="AD23" s="12"/>
      <c r="AE23" s="12"/>
      <c r="AF23" s="12"/>
      <c r="AG23" s="12"/>
      <c r="AH23" s="12"/>
      <c r="AI23" s="12"/>
      <c r="AJ23" s="12"/>
      <c r="AK23" s="12"/>
      <c r="AL23" s="12"/>
      <c r="AM23" s="12"/>
      <c r="AN23" s="12"/>
      <c r="AO23" s="14"/>
    </row>
    <row r="24" spans="1:41" x14ac:dyDescent="0.2">
      <c r="A24" s="23"/>
      <c r="B24" s="29" t="s">
        <v>22</v>
      </c>
      <c r="C24" s="24"/>
      <c r="D24" s="25"/>
      <c r="P24" s="25"/>
      <c r="Q24" s="25"/>
      <c r="R24" s="25"/>
      <c r="S24" s="25"/>
      <c r="T24" s="25"/>
      <c r="U24" s="25"/>
      <c r="V24" s="25"/>
      <c r="W24" s="25"/>
      <c r="X24" s="25"/>
      <c r="Y24" s="25"/>
      <c r="Z24" s="25"/>
      <c r="AA24" s="25"/>
      <c r="AB24" s="25"/>
      <c r="AC24" s="25"/>
      <c r="AD24" s="25"/>
      <c r="AE24" s="25"/>
      <c r="AF24" s="25"/>
      <c r="AG24" s="25"/>
      <c r="AH24" s="25"/>
      <c r="AI24" s="25"/>
      <c r="AJ24" s="25"/>
      <c r="AK24" s="25"/>
      <c r="AL24" s="25"/>
      <c r="AM24" s="25"/>
      <c r="AN24" s="25"/>
      <c r="AO24" s="27"/>
    </row>
    <row r="25" spans="1:41" x14ac:dyDescent="0.2">
      <c r="A25" s="23"/>
      <c r="B25" s="24" t="s">
        <v>23</v>
      </c>
      <c r="C25" s="24"/>
      <c r="D25" s="25"/>
      <c r="G25" s="16"/>
      <c r="H25" s="16" t="str">
        <f>IF(Draft!AN3="X",Draft!AB3,Draft!AB4)</f>
        <v xml:space="preserve">NEW ORLEANS,  LA, EUA </v>
      </c>
      <c r="I25" s="16"/>
      <c r="J25" s="16"/>
      <c r="K25" s="16"/>
      <c r="L25" s="16"/>
      <c r="M25" s="16"/>
      <c r="N25" s="16"/>
      <c r="O25" s="16"/>
      <c r="P25" s="16"/>
      <c r="Q25" s="16"/>
      <c r="R25" s="24" t="s">
        <v>24</v>
      </c>
      <c r="S25" s="25"/>
      <c r="T25" s="25"/>
      <c r="U25" s="25"/>
      <c r="V25" s="25"/>
      <c r="W25" s="25"/>
      <c r="X25" s="25"/>
      <c r="Y25" s="25"/>
      <c r="Z25" s="25"/>
      <c r="AA25" s="25"/>
      <c r="AB25" s="25"/>
      <c r="AC25" s="25"/>
      <c r="AD25" s="25"/>
      <c r="AE25" s="25"/>
      <c r="AF25" s="25"/>
      <c r="AG25" s="25"/>
      <c r="AH25" s="27"/>
      <c r="AO25" s="30"/>
    </row>
    <row r="26" spans="1:41" x14ac:dyDescent="0.2">
      <c r="A26" s="23"/>
      <c r="B26" s="24" t="s">
        <v>25</v>
      </c>
      <c r="C26" s="24"/>
      <c r="D26" s="25"/>
      <c r="F26" s="16"/>
      <c r="G26" s="31" t="str">
        <f>+E!Y18&amp;+" MT"</f>
        <v>51122,54 MT</v>
      </c>
      <c r="H26" s="32"/>
      <c r="I26" s="32"/>
      <c r="J26" s="32"/>
      <c r="K26" s="32"/>
      <c r="L26" s="32"/>
      <c r="M26" s="32"/>
      <c r="N26" s="32"/>
      <c r="O26" s="32"/>
      <c r="P26" s="32"/>
      <c r="Q26" s="32"/>
      <c r="R26" s="32"/>
      <c r="S26" s="32"/>
      <c r="T26" s="32"/>
      <c r="U26" s="32"/>
      <c r="V26" s="32"/>
      <c r="W26" s="32"/>
      <c r="X26" s="32"/>
      <c r="Y26" s="32"/>
      <c r="Z26" s="32"/>
      <c r="AA26" s="32"/>
      <c r="AB26" s="32"/>
      <c r="AC26" s="32"/>
      <c r="AD26" s="32"/>
      <c r="AE26" s="16"/>
      <c r="AF26" s="31"/>
      <c r="AG26" s="32"/>
      <c r="AH26" s="32"/>
      <c r="AI26" s="32"/>
      <c r="AJ26" s="32"/>
      <c r="AK26" s="32"/>
      <c r="AL26" s="32"/>
      <c r="AM26" s="32"/>
      <c r="AN26" s="32"/>
      <c r="AO26" s="27"/>
    </row>
    <row r="27" spans="1:41" x14ac:dyDescent="0.2">
      <c r="A27" s="23"/>
      <c r="B27" s="24" t="s">
        <v>26</v>
      </c>
      <c r="C27" s="24"/>
      <c r="D27" s="25"/>
      <c r="K27" s="21" t="s">
        <v>27</v>
      </c>
      <c r="L27" s="21"/>
      <c r="M27" s="21"/>
      <c r="N27" s="21"/>
      <c r="O27" s="21"/>
      <c r="P27" s="21"/>
      <c r="Q27" s="16"/>
      <c r="R27" s="16"/>
      <c r="S27" s="16"/>
      <c r="T27" s="16"/>
      <c r="U27" s="16"/>
      <c r="V27" s="16"/>
      <c r="W27" s="29" t="s">
        <v>28</v>
      </c>
      <c r="X27" s="25"/>
      <c r="Y27" s="25"/>
      <c r="Z27" s="25"/>
      <c r="AA27" s="25"/>
      <c r="AB27" s="25"/>
      <c r="AC27" s="25"/>
      <c r="AD27" s="25"/>
      <c r="AE27" s="25"/>
      <c r="AF27" s="25"/>
      <c r="AG27" s="25"/>
      <c r="AH27" s="25"/>
      <c r="AI27" s="25"/>
      <c r="AJ27" s="12"/>
      <c r="AO27" s="30"/>
    </row>
    <row r="28" spans="1:41" x14ac:dyDescent="0.2">
      <c r="A28" s="23"/>
      <c r="B28" s="29" t="s">
        <v>29</v>
      </c>
      <c r="C28" s="24"/>
      <c r="D28" s="25"/>
      <c r="P28" s="25"/>
      <c r="Q28" s="25"/>
      <c r="R28" s="25"/>
      <c r="S28" s="25"/>
      <c r="T28" s="25"/>
      <c r="U28" s="25"/>
      <c r="V28" s="25"/>
      <c r="W28" s="25"/>
      <c r="X28" s="25"/>
      <c r="Y28" s="25"/>
      <c r="Z28" s="25"/>
      <c r="AA28" s="25"/>
      <c r="AB28" s="25"/>
      <c r="AC28" s="25"/>
      <c r="AD28" s="25"/>
      <c r="AE28" s="25"/>
      <c r="AF28" s="25"/>
      <c r="AG28" s="25"/>
      <c r="AH28" s="25"/>
      <c r="AI28" s="25"/>
      <c r="AJ28" s="25"/>
      <c r="AK28" s="25"/>
      <c r="AL28" s="25"/>
      <c r="AM28" s="25"/>
      <c r="AN28" s="25"/>
      <c r="AO28" s="27"/>
    </row>
    <row r="29" spans="1:41" x14ac:dyDescent="0.2">
      <c r="A29" s="23"/>
      <c r="B29" s="24" t="s">
        <v>30</v>
      </c>
      <c r="C29" s="24"/>
      <c r="D29" s="25"/>
      <c r="P29" s="25"/>
      <c r="Q29" s="25"/>
      <c r="R29" s="25"/>
      <c r="S29" s="25"/>
      <c r="T29" s="25"/>
      <c r="U29" s="25"/>
      <c r="V29" s="25"/>
      <c r="W29" s="25"/>
      <c r="X29" s="25"/>
      <c r="Y29" s="25"/>
      <c r="Z29" s="25"/>
      <c r="AA29" s="25"/>
      <c r="AB29" s="25"/>
      <c r="AC29" s="25"/>
      <c r="AD29" s="25"/>
      <c r="AE29" s="25"/>
      <c r="AF29" s="25"/>
      <c r="AG29" s="25"/>
      <c r="AH29" s="25"/>
      <c r="AI29" s="25"/>
      <c r="AJ29" s="25"/>
      <c r="AK29" s="25"/>
      <c r="AL29" s="25"/>
      <c r="AM29" s="25"/>
      <c r="AN29" s="25"/>
      <c r="AO29" s="27"/>
    </row>
    <row r="30" spans="1:41" x14ac:dyDescent="0.2">
      <c r="A30" s="23"/>
      <c r="G30" s="25"/>
      <c r="H30" s="25"/>
      <c r="I30" s="363" t="s">
        <v>31</v>
      </c>
      <c r="J30" s="364"/>
      <c r="K30" s="364"/>
      <c r="L30" s="364"/>
      <c r="M30" s="364"/>
      <c r="N30" s="364"/>
      <c r="O30" s="364"/>
      <c r="P30" s="364"/>
      <c r="Q30" s="364"/>
      <c r="R30" s="364"/>
      <c r="S30" s="364"/>
      <c r="T30" s="364"/>
      <c r="U30" s="364"/>
      <c r="V30" s="364"/>
      <c r="W30" s="365"/>
      <c r="Z30" s="363" t="s">
        <v>32</v>
      </c>
      <c r="AA30" s="364"/>
      <c r="AB30" s="364"/>
      <c r="AC30" s="364"/>
      <c r="AD30" s="364"/>
      <c r="AE30" s="364"/>
      <c r="AF30" s="364"/>
      <c r="AG30" s="364"/>
      <c r="AH30" s="364"/>
      <c r="AI30" s="364"/>
      <c r="AJ30" s="364"/>
      <c r="AK30" s="364"/>
      <c r="AL30" s="364"/>
      <c r="AM30" s="364"/>
      <c r="AN30" s="365"/>
      <c r="AO30" s="27"/>
    </row>
    <row r="31" spans="1:41" x14ac:dyDescent="0.2">
      <c r="A31" s="23"/>
      <c r="G31" s="25"/>
      <c r="H31" s="33" t="s">
        <v>33</v>
      </c>
      <c r="I31" s="366" t="s">
        <v>34</v>
      </c>
      <c r="J31" s="367"/>
      <c r="K31" s="367"/>
      <c r="L31" s="367"/>
      <c r="M31" s="367"/>
      <c r="N31" s="368">
        <f>+Draft!T2</f>
        <v>46217</v>
      </c>
      <c r="O31" s="368"/>
      <c r="P31" s="368"/>
      <c r="Q31" s="368"/>
      <c r="R31" s="368"/>
      <c r="S31" s="368"/>
      <c r="T31" s="368"/>
      <c r="U31" s="368"/>
      <c r="V31" s="368"/>
      <c r="W31" s="369"/>
      <c r="Z31" s="366" t="s">
        <v>34</v>
      </c>
      <c r="AA31" s="367"/>
      <c r="AB31" s="367"/>
      <c r="AC31" s="367"/>
      <c r="AD31" s="367"/>
      <c r="AE31" s="368">
        <f>+Draft!AS2</f>
        <v>46221</v>
      </c>
      <c r="AF31" s="368"/>
      <c r="AG31" s="368"/>
      <c r="AH31" s="368"/>
      <c r="AI31" s="368"/>
      <c r="AJ31" s="368"/>
      <c r="AK31" s="368"/>
      <c r="AL31" s="368"/>
      <c r="AM31" s="368"/>
      <c r="AN31" s="369"/>
      <c r="AO31" s="27"/>
    </row>
    <row r="32" spans="1:41" x14ac:dyDescent="0.2">
      <c r="A32" s="23"/>
      <c r="G32" s="25"/>
      <c r="H32" s="34"/>
      <c r="I32" s="376" t="s">
        <v>35</v>
      </c>
      <c r="J32" s="370"/>
      <c r="K32" s="370"/>
      <c r="L32" s="370"/>
      <c r="M32" s="370"/>
      <c r="N32" s="371">
        <f>Draft!T3</f>
        <v>0.63888888888888884</v>
      </c>
      <c r="O32" s="372"/>
      <c r="P32" s="372"/>
      <c r="Q32" s="372"/>
      <c r="R32" s="370" t="s">
        <v>36</v>
      </c>
      <c r="S32" s="370"/>
      <c r="T32" s="371">
        <f>Draft!T4</f>
        <v>0.68055555555555558</v>
      </c>
      <c r="U32" s="372"/>
      <c r="V32" s="372"/>
      <c r="W32" s="373"/>
      <c r="Z32" s="376" t="s">
        <v>35</v>
      </c>
      <c r="AA32" s="370"/>
      <c r="AB32" s="370"/>
      <c r="AC32" s="370"/>
      <c r="AD32" s="370"/>
      <c r="AE32" s="371">
        <f>Draft!AS3</f>
        <v>0.66666666666666663</v>
      </c>
      <c r="AF32" s="372"/>
      <c r="AG32" s="372"/>
      <c r="AH32" s="372"/>
      <c r="AI32" s="370" t="s">
        <v>36</v>
      </c>
      <c r="AJ32" s="370"/>
      <c r="AK32" s="371">
        <f>Draft!AS4</f>
        <v>0.69444444444444442</v>
      </c>
      <c r="AL32" s="372"/>
      <c r="AM32" s="372"/>
      <c r="AN32" s="373"/>
      <c r="AO32" s="27"/>
    </row>
    <row r="33" spans="1:41" x14ac:dyDescent="0.2">
      <c r="A33" s="23"/>
      <c r="G33" s="25"/>
      <c r="H33" s="33" t="s">
        <v>37</v>
      </c>
      <c r="I33" s="35"/>
      <c r="J33" s="374" t="str">
        <f>+General!AB10</f>
        <v xml:space="preserve">MANFRED BOLAÑOS </v>
      </c>
      <c r="K33" s="374"/>
      <c r="L33" s="374"/>
      <c r="M33" s="374"/>
      <c r="N33" s="374"/>
      <c r="O33" s="374"/>
      <c r="P33" s="374"/>
      <c r="Q33" s="374"/>
      <c r="R33" s="374"/>
      <c r="S33" s="374"/>
      <c r="T33" s="374"/>
      <c r="U33" s="374"/>
      <c r="V33" s="374"/>
      <c r="W33" s="375"/>
      <c r="Z33" s="35"/>
      <c r="AA33" s="374" t="str">
        <f>+General!AB11</f>
        <v xml:space="preserve">MANFRED BOLAÑOS </v>
      </c>
      <c r="AB33" s="374"/>
      <c r="AC33" s="374"/>
      <c r="AD33" s="374"/>
      <c r="AE33" s="374"/>
      <c r="AF33" s="374"/>
      <c r="AG33" s="374"/>
      <c r="AH33" s="374"/>
      <c r="AI33" s="374"/>
      <c r="AJ33" s="374"/>
      <c r="AK33" s="374"/>
      <c r="AL33" s="374"/>
      <c r="AM33" s="374"/>
      <c r="AN33" s="375"/>
      <c r="AO33" s="27"/>
    </row>
    <row r="34" spans="1:41" x14ac:dyDescent="0.2">
      <c r="A34" s="23"/>
      <c r="G34" s="25"/>
      <c r="H34" s="34" t="s">
        <v>38</v>
      </c>
      <c r="I34" s="35"/>
      <c r="J34" s="374" t="str">
        <f>+General!H10</f>
        <v>Sunday Val m. Sobremonte</v>
      </c>
      <c r="K34" s="374"/>
      <c r="L34" s="374"/>
      <c r="M34" s="374"/>
      <c r="N34" s="374"/>
      <c r="O34" s="374"/>
      <c r="P34" s="374"/>
      <c r="Q34" s="374"/>
      <c r="R34" s="374"/>
      <c r="S34" s="374"/>
      <c r="T34" s="374"/>
      <c r="U34" s="374"/>
      <c r="V34" s="374"/>
      <c r="W34" s="375"/>
      <c r="Z34" s="35"/>
      <c r="AA34" s="374" t="str">
        <f>+J34</f>
        <v>Sunday Val m. Sobremonte</v>
      </c>
      <c r="AB34" s="374"/>
      <c r="AC34" s="374"/>
      <c r="AD34" s="374"/>
      <c r="AE34" s="374"/>
      <c r="AF34" s="374"/>
      <c r="AG34" s="374"/>
      <c r="AH34" s="374"/>
      <c r="AI34" s="374"/>
      <c r="AJ34" s="374"/>
      <c r="AK34" s="374"/>
      <c r="AL34" s="374"/>
      <c r="AM34" s="374"/>
      <c r="AN34" s="375"/>
      <c r="AO34" s="27"/>
    </row>
    <row r="35" spans="1:41" x14ac:dyDescent="0.2">
      <c r="A35" s="23"/>
      <c r="G35" s="25"/>
      <c r="H35" s="34"/>
      <c r="I35" s="35"/>
      <c r="J35" s="374"/>
      <c r="K35" s="374"/>
      <c r="L35" s="374"/>
      <c r="M35" s="374"/>
      <c r="N35" s="374"/>
      <c r="O35" s="374"/>
      <c r="P35" s="374"/>
      <c r="Q35" s="374"/>
      <c r="R35" s="374"/>
      <c r="S35" s="374"/>
      <c r="T35" s="374"/>
      <c r="U35" s="374"/>
      <c r="V35" s="374"/>
      <c r="W35" s="375"/>
      <c r="Z35" s="35"/>
      <c r="AA35" s="374">
        <f t="shared" ref="AA35:AA40" si="0">+J35</f>
        <v>0</v>
      </c>
      <c r="AB35" s="374"/>
      <c r="AC35" s="374"/>
      <c r="AD35" s="374"/>
      <c r="AE35" s="374"/>
      <c r="AF35" s="374"/>
      <c r="AG35" s="374"/>
      <c r="AH35" s="374"/>
      <c r="AI35" s="374"/>
      <c r="AJ35" s="374"/>
      <c r="AK35" s="374"/>
      <c r="AL35" s="374"/>
      <c r="AM35" s="374"/>
      <c r="AN35" s="375"/>
      <c r="AO35" s="27"/>
    </row>
    <row r="36" spans="1:41" x14ac:dyDescent="0.2">
      <c r="A36" s="23"/>
      <c r="G36" s="25"/>
      <c r="H36" s="34" t="s">
        <v>39</v>
      </c>
      <c r="I36" s="35"/>
      <c r="J36" s="374" t="str">
        <f>+General!H11</f>
        <v>Velez Rene Boy Enriquez</v>
      </c>
      <c r="K36" s="374"/>
      <c r="L36" s="374"/>
      <c r="M36" s="374"/>
      <c r="N36" s="374"/>
      <c r="O36" s="374"/>
      <c r="P36" s="374"/>
      <c r="Q36" s="374"/>
      <c r="R36" s="374"/>
      <c r="S36" s="374"/>
      <c r="T36" s="374"/>
      <c r="U36" s="374"/>
      <c r="V36" s="374"/>
      <c r="W36" s="375"/>
      <c r="Z36" s="35"/>
      <c r="AA36" s="374" t="str">
        <f t="shared" si="0"/>
        <v>Velez Rene Boy Enriquez</v>
      </c>
      <c r="AB36" s="374"/>
      <c r="AC36" s="374"/>
      <c r="AD36" s="374"/>
      <c r="AE36" s="374"/>
      <c r="AF36" s="374"/>
      <c r="AG36" s="374"/>
      <c r="AH36" s="374"/>
      <c r="AI36" s="374"/>
      <c r="AJ36" s="374"/>
      <c r="AK36" s="374"/>
      <c r="AL36" s="374"/>
      <c r="AM36" s="374"/>
      <c r="AN36" s="375"/>
      <c r="AO36" s="27"/>
    </row>
    <row r="37" spans="1:41" x14ac:dyDescent="0.2">
      <c r="A37" s="23"/>
      <c r="G37" s="25"/>
      <c r="H37" s="34" t="s">
        <v>40</v>
      </c>
      <c r="I37" s="35"/>
      <c r="J37" s="374">
        <f>+General!H12</f>
        <v>0</v>
      </c>
      <c r="K37" s="374"/>
      <c r="L37" s="374"/>
      <c r="M37" s="374"/>
      <c r="N37" s="374"/>
      <c r="O37" s="374"/>
      <c r="P37" s="374"/>
      <c r="Q37" s="374"/>
      <c r="R37" s="374"/>
      <c r="S37" s="374"/>
      <c r="T37" s="374"/>
      <c r="U37" s="374"/>
      <c r="V37" s="374"/>
      <c r="W37" s="375"/>
      <c r="Z37" s="35"/>
      <c r="AA37" s="374">
        <f t="shared" si="0"/>
        <v>0</v>
      </c>
      <c r="AB37" s="374"/>
      <c r="AC37" s="374"/>
      <c r="AD37" s="374"/>
      <c r="AE37" s="374"/>
      <c r="AF37" s="374"/>
      <c r="AG37" s="374"/>
      <c r="AH37" s="374"/>
      <c r="AI37" s="374"/>
      <c r="AJ37" s="374"/>
      <c r="AK37" s="374"/>
      <c r="AL37" s="374"/>
      <c r="AM37" s="374"/>
      <c r="AN37" s="375"/>
      <c r="AO37" s="27"/>
    </row>
    <row r="38" spans="1:41" x14ac:dyDescent="0.2">
      <c r="A38" s="23"/>
      <c r="G38" s="25"/>
      <c r="H38" s="34" t="s">
        <v>41</v>
      </c>
      <c r="I38" s="35"/>
      <c r="J38" s="374">
        <f>+General!H13</f>
        <v>0</v>
      </c>
      <c r="K38" s="374"/>
      <c r="L38" s="374"/>
      <c r="M38" s="374"/>
      <c r="N38" s="374"/>
      <c r="O38" s="374"/>
      <c r="P38" s="374"/>
      <c r="Q38" s="374"/>
      <c r="R38" s="374"/>
      <c r="S38" s="374"/>
      <c r="T38" s="374"/>
      <c r="U38" s="374"/>
      <c r="V38" s="374"/>
      <c r="W38" s="375"/>
      <c r="Z38" s="35"/>
      <c r="AA38" s="374">
        <f t="shared" si="0"/>
        <v>0</v>
      </c>
      <c r="AB38" s="374"/>
      <c r="AC38" s="374"/>
      <c r="AD38" s="374"/>
      <c r="AE38" s="374"/>
      <c r="AF38" s="374"/>
      <c r="AG38" s="374"/>
      <c r="AH38" s="374"/>
      <c r="AI38" s="374"/>
      <c r="AJ38" s="374"/>
      <c r="AK38" s="374"/>
      <c r="AL38" s="374"/>
      <c r="AM38" s="374"/>
      <c r="AN38" s="375"/>
      <c r="AO38" s="27"/>
    </row>
    <row r="39" spans="1:41" x14ac:dyDescent="0.2">
      <c r="A39" s="23"/>
      <c r="G39" s="25"/>
      <c r="H39" s="34"/>
      <c r="I39" s="35"/>
      <c r="J39" s="374"/>
      <c r="K39" s="374"/>
      <c r="L39" s="374"/>
      <c r="M39" s="374"/>
      <c r="N39" s="374"/>
      <c r="O39" s="374"/>
      <c r="P39" s="374"/>
      <c r="Q39" s="374"/>
      <c r="R39" s="374"/>
      <c r="S39" s="374"/>
      <c r="T39" s="374"/>
      <c r="U39" s="374"/>
      <c r="V39" s="374"/>
      <c r="W39" s="375"/>
      <c r="Z39" s="35"/>
      <c r="AA39" s="374">
        <f t="shared" si="0"/>
        <v>0</v>
      </c>
      <c r="AB39" s="374"/>
      <c r="AC39" s="374"/>
      <c r="AD39" s="374"/>
      <c r="AE39" s="374"/>
      <c r="AF39" s="374"/>
      <c r="AG39" s="374"/>
      <c r="AH39" s="374"/>
      <c r="AI39" s="374"/>
      <c r="AJ39" s="374"/>
      <c r="AK39" s="374"/>
      <c r="AL39" s="374"/>
      <c r="AM39" s="374"/>
      <c r="AN39" s="375"/>
      <c r="AO39" s="27"/>
    </row>
    <row r="40" spans="1:41" x14ac:dyDescent="0.2">
      <c r="A40" s="23"/>
      <c r="G40" s="25"/>
      <c r="H40" s="34" t="s">
        <v>42</v>
      </c>
      <c r="I40" s="35"/>
      <c r="J40" s="374">
        <f>+General!H14</f>
        <v>0</v>
      </c>
      <c r="K40" s="374"/>
      <c r="L40" s="374"/>
      <c r="M40" s="374"/>
      <c r="N40" s="374"/>
      <c r="O40" s="374"/>
      <c r="P40" s="374"/>
      <c r="Q40" s="374"/>
      <c r="R40" s="374"/>
      <c r="S40" s="374"/>
      <c r="T40" s="374"/>
      <c r="U40" s="374"/>
      <c r="V40" s="374"/>
      <c r="W40" s="375"/>
      <c r="Z40" s="35"/>
      <c r="AA40" s="374">
        <f t="shared" si="0"/>
        <v>0</v>
      </c>
      <c r="AB40" s="374"/>
      <c r="AC40" s="374"/>
      <c r="AD40" s="374"/>
      <c r="AE40" s="374"/>
      <c r="AF40" s="374"/>
      <c r="AG40" s="374"/>
      <c r="AH40" s="374"/>
      <c r="AI40" s="374"/>
      <c r="AJ40" s="374"/>
      <c r="AK40" s="374"/>
      <c r="AL40" s="374"/>
      <c r="AM40" s="374"/>
      <c r="AN40" s="375"/>
      <c r="AO40" s="27"/>
    </row>
    <row r="41" spans="1:41" x14ac:dyDescent="0.2">
      <c r="A41" s="23"/>
      <c r="G41" s="25"/>
      <c r="H41" s="34"/>
      <c r="I41" s="36"/>
      <c r="J41" s="36"/>
      <c r="K41" s="36"/>
      <c r="L41" s="36"/>
      <c r="M41" s="36"/>
      <c r="N41" s="36"/>
      <c r="S41" s="36"/>
      <c r="T41" s="36"/>
      <c r="U41" s="36"/>
      <c r="V41" s="36"/>
      <c r="W41" s="36"/>
      <c r="Z41" s="36"/>
      <c r="AA41" s="36"/>
      <c r="AB41" s="36"/>
      <c r="AC41" s="36"/>
      <c r="AD41" s="36"/>
      <c r="AE41" s="36"/>
      <c r="AF41" s="36"/>
      <c r="AG41" s="36"/>
      <c r="AL41" s="36"/>
      <c r="AM41" s="36"/>
      <c r="AN41" s="36"/>
      <c r="AO41" s="27"/>
    </row>
    <row r="42" spans="1:41" x14ac:dyDescent="0.2">
      <c r="A42" s="23"/>
      <c r="G42" s="25"/>
      <c r="H42" s="34" t="s">
        <v>43</v>
      </c>
      <c r="I42" s="35"/>
      <c r="J42" s="374" t="str">
        <f>+General!H16</f>
        <v>PUERTO CALDERA</v>
      </c>
      <c r="K42" s="374"/>
      <c r="L42" s="374"/>
      <c r="M42" s="374"/>
      <c r="N42" s="374"/>
      <c r="O42" s="374"/>
      <c r="P42" s="374"/>
      <c r="Q42" s="374"/>
      <c r="R42" s="374"/>
      <c r="S42" s="374"/>
      <c r="T42" s="374"/>
      <c r="U42" s="374"/>
      <c r="V42" s="374"/>
      <c r="W42" s="375"/>
      <c r="Z42" s="35"/>
      <c r="AA42" s="374" t="str">
        <f>+General!AB16</f>
        <v>PUERTO CALDERA</v>
      </c>
      <c r="AB42" s="374"/>
      <c r="AC42" s="374"/>
      <c r="AD42" s="374"/>
      <c r="AE42" s="374"/>
      <c r="AF42" s="374"/>
      <c r="AG42" s="374"/>
      <c r="AH42" s="374"/>
      <c r="AI42" s="374"/>
      <c r="AJ42" s="374"/>
      <c r="AK42" s="374"/>
      <c r="AL42" s="374"/>
      <c r="AM42" s="374"/>
      <c r="AN42" s="375"/>
      <c r="AO42" s="27"/>
    </row>
    <row r="43" spans="1:41" x14ac:dyDescent="0.2">
      <c r="A43" s="23"/>
      <c r="G43" s="25"/>
      <c r="H43" s="34" t="s">
        <v>44</v>
      </c>
      <c r="I43" s="35"/>
      <c r="J43" s="374"/>
      <c r="K43" s="374"/>
      <c r="L43" s="374"/>
      <c r="M43" s="374"/>
      <c r="N43" s="374"/>
      <c r="O43" s="374"/>
      <c r="P43" s="374"/>
      <c r="Q43" s="374"/>
      <c r="R43" s="374"/>
      <c r="S43" s="374"/>
      <c r="T43" s="374"/>
      <c r="U43" s="374"/>
      <c r="V43" s="374"/>
      <c r="W43" s="375"/>
      <c r="Z43" s="35"/>
      <c r="AA43" s="374">
        <v>0</v>
      </c>
      <c r="AB43" s="374"/>
      <c r="AC43" s="374"/>
      <c r="AD43" s="374"/>
      <c r="AE43" s="374"/>
      <c r="AF43" s="374"/>
      <c r="AG43" s="374"/>
      <c r="AH43" s="374"/>
      <c r="AI43" s="374"/>
      <c r="AJ43" s="374"/>
      <c r="AK43" s="374"/>
      <c r="AL43" s="374"/>
      <c r="AM43" s="374"/>
      <c r="AN43" s="375"/>
      <c r="AO43" s="27"/>
    </row>
    <row r="44" spans="1:41" x14ac:dyDescent="0.2">
      <c r="A44" s="23"/>
      <c r="G44" s="25"/>
      <c r="H44" s="37"/>
      <c r="I44" s="35"/>
      <c r="J44" s="374"/>
      <c r="K44" s="374"/>
      <c r="L44" s="374"/>
      <c r="M44" s="374"/>
      <c r="N44" s="374"/>
      <c r="O44" s="374"/>
      <c r="P44" s="374"/>
      <c r="Q44" s="374"/>
      <c r="R44" s="374"/>
      <c r="S44" s="374"/>
      <c r="T44" s="374"/>
      <c r="U44" s="374"/>
      <c r="V44" s="374"/>
      <c r="W44" s="375"/>
      <c r="Z44" s="35"/>
      <c r="AA44" s="374"/>
      <c r="AB44" s="374"/>
      <c r="AC44" s="374"/>
      <c r="AD44" s="374"/>
      <c r="AE44" s="374"/>
      <c r="AF44" s="374"/>
      <c r="AG44" s="374"/>
      <c r="AH44" s="374"/>
      <c r="AI44" s="374"/>
      <c r="AJ44" s="374"/>
      <c r="AK44" s="374"/>
      <c r="AL44" s="374"/>
      <c r="AM44" s="374"/>
      <c r="AN44" s="375"/>
      <c r="AO44" s="27"/>
    </row>
    <row r="45" spans="1:41" x14ac:dyDescent="0.2">
      <c r="A45" s="23"/>
      <c r="G45" s="25"/>
      <c r="H45" s="34" t="s">
        <v>45</v>
      </c>
      <c r="I45" s="35"/>
      <c r="J45" s="374" t="str">
        <f>IF(Draft!I32="x","GOOD",IF(Draft!J32="X","LIGHT SHOPPY",IF(Draft!K32="X","HEAVY SHOPPY / SWELL"," ")))</f>
        <v>LIGHT SHOPPY</v>
      </c>
      <c r="K45" s="374"/>
      <c r="L45" s="374"/>
      <c r="M45" s="374"/>
      <c r="N45" s="374"/>
      <c r="O45" s="374"/>
      <c r="P45" s="374"/>
      <c r="Q45" s="374"/>
      <c r="R45" s="374"/>
      <c r="S45" s="374"/>
      <c r="T45" s="374"/>
      <c r="U45" s="374"/>
      <c r="V45" s="374"/>
      <c r="W45" s="375"/>
      <c r="Z45" s="35"/>
      <c r="AA45" s="374" t="str">
        <f>IF(Draft!I33="x","GOOD",IF(Draft!J33="X","LIGHT SHOPPY",IF(Draft!K33="X","HEAVY SHOPPY / SWELL"," ")))</f>
        <v>LIGHT SHOPPY</v>
      </c>
      <c r="AB45" s="374"/>
      <c r="AC45" s="374"/>
      <c r="AD45" s="374"/>
      <c r="AE45" s="374"/>
      <c r="AF45" s="374"/>
      <c r="AG45" s="374"/>
      <c r="AH45" s="374"/>
      <c r="AI45" s="374"/>
      <c r="AJ45" s="374"/>
      <c r="AK45" s="374"/>
      <c r="AL45" s="374"/>
      <c r="AM45" s="374"/>
      <c r="AN45" s="375"/>
      <c r="AO45" s="27"/>
    </row>
    <row r="46" spans="1:41" x14ac:dyDescent="0.2">
      <c r="A46" s="23"/>
      <c r="G46" s="25"/>
      <c r="H46" s="34" t="s">
        <v>46</v>
      </c>
      <c r="I46" s="35"/>
      <c r="J46" s="374" t="str">
        <f>IF(Draft!A8=0,0,"ALONGSIDE BERTH")</f>
        <v>ALONGSIDE BERTH</v>
      </c>
      <c r="K46" s="374"/>
      <c r="L46" s="374"/>
      <c r="M46" s="374"/>
      <c r="N46" s="374"/>
      <c r="O46" s="374"/>
      <c r="P46" s="374"/>
      <c r="Q46" s="374"/>
      <c r="R46" s="374"/>
      <c r="S46" s="374"/>
      <c r="T46" s="374"/>
      <c r="U46" s="374"/>
      <c r="V46" s="374"/>
      <c r="W46" s="375"/>
      <c r="Z46" s="35"/>
      <c r="AA46" s="374" t="str">
        <f>IF(Draft!Z8=0,0,"ALONGSIDE BERTH")</f>
        <v>ALONGSIDE BERTH</v>
      </c>
      <c r="AB46" s="374"/>
      <c r="AC46" s="374"/>
      <c r="AD46" s="374"/>
      <c r="AE46" s="374"/>
      <c r="AF46" s="374"/>
      <c r="AG46" s="374"/>
      <c r="AH46" s="374"/>
      <c r="AI46" s="374"/>
      <c r="AJ46" s="374"/>
      <c r="AK46" s="374"/>
      <c r="AL46" s="374"/>
      <c r="AM46" s="374"/>
      <c r="AN46" s="375"/>
      <c r="AO46" s="27"/>
    </row>
    <row r="47" spans="1:41" x14ac:dyDescent="0.2">
      <c r="A47" s="23"/>
      <c r="G47" s="25"/>
      <c r="H47" s="37"/>
      <c r="I47" s="35"/>
      <c r="J47" s="374"/>
      <c r="K47" s="374"/>
      <c r="L47" s="374"/>
      <c r="M47" s="374"/>
      <c r="N47" s="374"/>
      <c r="O47" s="374"/>
      <c r="P47" s="374"/>
      <c r="Q47" s="374"/>
      <c r="R47" s="374"/>
      <c r="S47" s="374"/>
      <c r="T47" s="374"/>
      <c r="U47" s="374"/>
      <c r="V47" s="374"/>
      <c r="W47" s="375"/>
      <c r="Z47" s="35"/>
      <c r="AA47" s="374"/>
      <c r="AB47" s="374"/>
      <c r="AC47" s="374"/>
      <c r="AD47" s="374"/>
      <c r="AE47" s="374"/>
      <c r="AF47" s="374"/>
      <c r="AG47" s="374"/>
      <c r="AH47" s="374"/>
      <c r="AI47" s="374"/>
      <c r="AJ47" s="374"/>
      <c r="AK47" s="374"/>
      <c r="AL47" s="374"/>
      <c r="AM47" s="374"/>
      <c r="AN47" s="375"/>
      <c r="AO47" s="27"/>
    </row>
    <row r="48" spans="1:41" x14ac:dyDescent="0.2">
      <c r="A48" s="23"/>
      <c r="G48" s="25"/>
      <c r="H48" s="34" t="s">
        <v>47</v>
      </c>
      <c r="I48" s="35"/>
      <c r="J48" s="374"/>
      <c r="K48" s="374"/>
      <c r="L48" s="374"/>
      <c r="M48" s="374"/>
      <c r="N48" s="374"/>
      <c r="O48" s="374"/>
      <c r="P48" s="374"/>
      <c r="Q48" s="374"/>
      <c r="R48" s="374"/>
      <c r="S48" s="374"/>
      <c r="T48" s="374"/>
      <c r="U48" s="374"/>
      <c r="V48" s="374"/>
      <c r="W48" s="375"/>
      <c r="Z48" s="35"/>
      <c r="AA48" s="374"/>
      <c r="AB48" s="374"/>
      <c r="AC48" s="374"/>
      <c r="AD48" s="374"/>
      <c r="AE48" s="374"/>
      <c r="AF48" s="374"/>
      <c r="AG48" s="374"/>
      <c r="AH48" s="374"/>
      <c r="AI48" s="374"/>
      <c r="AJ48" s="374"/>
      <c r="AK48" s="374"/>
      <c r="AL48" s="374"/>
      <c r="AM48" s="374"/>
      <c r="AN48" s="375"/>
      <c r="AO48" s="27"/>
    </row>
    <row r="49" spans="1:41" x14ac:dyDescent="0.2">
      <c r="A49" s="23"/>
      <c r="G49" s="25"/>
      <c r="H49" s="34" t="s">
        <v>48</v>
      </c>
      <c r="I49" s="35"/>
      <c r="J49" s="374"/>
      <c r="K49" s="374"/>
      <c r="L49" s="374"/>
      <c r="M49" s="374"/>
      <c r="N49" s="374"/>
      <c r="O49" s="374"/>
      <c r="P49" s="374"/>
      <c r="Q49" s="374"/>
      <c r="R49" s="374"/>
      <c r="S49" s="374"/>
      <c r="T49" s="374"/>
      <c r="U49" s="374"/>
      <c r="V49" s="374"/>
      <c r="W49" s="375"/>
      <c r="Z49" s="35"/>
      <c r="AA49" s="374"/>
      <c r="AB49" s="374"/>
      <c r="AC49" s="374"/>
      <c r="AD49" s="374"/>
      <c r="AE49" s="374"/>
      <c r="AF49" s="374"/>
      <c r="AG49" s="374"/>
      <c r="AH49" s="374"/>
      <c r="AI49" s="374"/>
      <c r="AJ49" s="374"/>
      <c r="AK49" s="374"/>
      <c r="AL49" s="374"/>
      <c r="AM49" s="374"/>
      <c r="AN49" s="375"/>
      <c r="AO49" s="27"/>
    </row>
    <row r="50" spans="1:41" x14ac:dyDescent="0.2">
      <c r="A50" s="23"/>
      <c r="G50" s="25"/>
      <c r="H50" s="34" t="s">
        <v>49</v>
      </c>
      <c r="I50" s="35"/>
      <c r="J50" s="374"/>
      <c r="K50" s="374"/>
      <c r="L50" s="374"/>
      <c r="M50" s="374"/>
      <c r="N50" s="374"/>
      <c r="O50" s="374"/>
      <c r="P50" s="374"/>
      <c r="Q50" s="374"/>
      <c r="R50" s="374"/>
      <c r="S50" s="374"/>
      <c r="T50" s="374"/>
      <c r="U50" s="374"/>
      <c r="V50" s="374"/>
      <c r="W50" s="375"/>
      <c r="Z50" s="35"/>
      <c r="AA50" s="374"/>
      <c r="AB50" s="374"/>
      <c r="AC50" s="374"/>
      <c r="AD50" s="374"/>
      <c r="AE50" s="374"/>
      <c r="AF50" s="374"/>
      <c r="AG50" s="374"/>
      <c r="AH50" s="374"/>
      <c r="AI50" s="374"/>
      <c r="AJ50" s="374"/>
      <c r="AK50" s="374"/>
      <c r="AL50" s="374"/>
      <c r="AM50" s="374"/>
      <c r="AN50" s="375"/>
      <c r="AO50" s="27"/>
    </row>
    <row r="51" spans="1:41" x14ac:dyDescent="0.2">
      <c r="A51" s="23"/>
      <c r="G51" s="25"/>
      <c r="H51" s="34" t="s">
        <v>50</v>
      </c>
      <c r="I51" s="35"/>
      <c r="J51" s="374"/>
      <c r="K51" s="374"/>
      <c r="L51" s="374"/>
      <c r="M51" s="374"/>
      <c r="N51" s="374"/>
      <c r="O51" s="374"/>
      <c r="P51" s="374"/>
      <c r="Q51" s="374"/>
      <c r="R51" s="374"/>
      <c r="S51" s="374"/>
      <c r="T51" s="374"/>
      <c r="U51" s="374"/>
      <c r="V51" s="374"/>
      <c r="W51" s="375"/>
      <c r="Z51" s="35"/>
      <c r="AA51" s="374"/>
      <c r="AB51" s="374"/>
      <c r="AC51" s="374"/>
      <c r="AD51" s="374"/>
      <c r="AE51" s="374"/>
      <c r="AF51" s="374"/>
      <c r="AG51" s="374"/>
      <c r="AH51" s="374"/>
      <c r="AI51" s="374"/>
      <c r="AJ51" s="374"/>
      <c r="AK51" s="374"/>
      <c r="AL51" s="374"/>
      <c r="AM51" s="374"/>
      <c r="AN51" s="375"/>
      <c r="AO51" s="27"/>
    </row>
    <row r="52" spans="1:41" ht="4.5" customHeight="1" x14ac:dyDescent="0.2">
      <c r="A52" s="8"/>
      <c r="B52" s="15"/>
      <c r="C52" s="15"/>
      <c r="D52" s="16"/>
      <c r="E52" s="17"/>
      <c r="F52" s="17"/>
      <c r="G52" s="17"/>
      <c r="H52" s="17"/>
      <c r="I52" s="17"/>
      <c r="J52" s="17"/>
      <c r="K52" s="17"/>
      <c r="L52" s="17"/>
      <c r="M52" s="17"/>
      <c r="N52" s="17"/>
      <c r="O52" s="17"/>
      <c r="P52" s="16"/>
      <c r="Q52" s="38"/>
      <c r="R52" s="16"/>
      <c r="S52" s="16"/>
      <c r="T52" s="16"/>
      <c r="U52" s="16"/>
      <c r="V52" s="16"/>
      <c r="W52" s="16"/>
      <c r="X52" s="16"/>
      <c r="Y52" s="16"/>
      <c r="Z52" s="16"/>
      <c r="AA52" s="16"/>
      <c r="AB52" s="16"/>
      <c r="AC52" s="16"/>
      <c r="AD52" s="16"/>
      <c r="AE52" s="16"/>
      <c r="AF52" s="16"/>
      <c r="AG52" s="16"/>
      <c r="AH52" s="16"/>
      <c r="AI52" s="16"/>
      <c r="AJ52" s="16"/>
      <c r="AK52" s="16"/>
      <c r="AL52" s="16"/>
      <c r="AM52" s="16"/>
      <c r="AN52" s="16"/>
      <c r="AO52" s="20"/>
    </row>
    <row r="53" spans="1:41" x14ac:dyDescent="0.2">
      <c r="A53" s="6"/>
      <c r="B53" s="39" t="s">
        <v>51</v>
      </c>
      <c r="C53" s="11"/>
      <c r="D53" s="12"/>
      <c r="E53" s="13"/>
      <c r="F53" s="13"/>
      <c r="G53" s="13"/>
      <c r="H53" s="13"/>
      <c r="I53" s="13"/>
      <c r="J53" s="13"/>
      <c r="K53" s="13"/>
      <c r="L53" s="13"/>
      <c r="M53" s="13"/>
      <c r="N53" s="13"/>
      <c r="O53" s="13"/>
      <c r="P53" s="12"/>
      <c r="Q53" s="12"/>
      <c r="R53" s="12"/>
      <c r="S53" s="12"/>
      <c r="T53" s="12"/>
      <c r="U53" s="12"/>
      <c r="V53" s="12"/>
      <c r="W53" s="12"/>
      <c r="X53" s="12"/>
      <c r="Y53" s="12"/>
      <c r="Z53" s="12"/>
      <c r="AA53" s="12"/>
      <c r="AB53" s="12"/>
      <c r="AC53" s="12"/>
      <c r="AD53" s="12"/>
      <c r="AE53" s="12"/>
      <c r="AF53" s="12"/>
      <c r="AG53" s="12"/>
      <c r="AH53" s="12"/>
      <c r="AI53" s="12"/>
      <c r="AJ53" s="12"/>
      <c r="AK53" s="12"/>
      <c r="AL53" s="12"/>
      <c r="AM53" s="12"/>
      <c r="AN53" s="12"/>
      <c r="AO53" s="14"/>
    </row>
    <row r="54" spans="1:41" x14ac:dyDescent="0.2">
      <c r="A54" s="8"/>
      <c r="B54" s="15"/>
      <c r="C54" s="15"/>
      <c r="D54" s="16"/>
      <c r="E54" s="17"/>
      <c r="F54" s="17"/>
      <c r="G54" s="17"/>
      <c r="H54" s="17"/>
      <c r="I54" s="17"/>
      <c r="J54" s="17"/>
      <c r="K54" s="17"/>
      <c r="L54" s="17"/>
      <c r="M54" s="17"/>
      <c r="N54" s="17"/>
      <c r="O54" s="17"/>
      <c r="P54" s="16"/>
      <c r="Q54" s="16"/>
      <c r="R54" s="16"/>
      <c r="S54" s="16"/>
      <c r="T54" s="16"/>
      <c r="U54" s="16"/>
      <c r="V54" s="16"/>
      <c r="W54" s="16"/>
      <c r="X54" s="16"/>
      <c r="Y54" s="16"/>
      <c r="Z54" s="16"/>
      <c r="AA54" s="16"/>
      <c r="AB54" s="16"/>
      <c r="AC54" s="16"/>
      <c r="AD54" s="16"/>
      <c r="AE54" s="16"/>
      <c r="AF54" s="16"/>
      <c r="AG54" s="16"/>
      <c r="AH54" s="16"/>
      <c r="AI54" s="16"/>
      <c r="AJ54" s="16"/>
      <c r="AK54" s="16"/>
      <c r="AL54" s="16"/>
      <c r="AM54" s="16"/>
      <c r="AN54" s="16"/>
      <c r="AO54" s="20"/>
    </row>
    <row r="55" spans="1:41" x14ac:dyDescent="0.2">
      <c r="A55" s="6"/>
      <c r="B55" s="39" t="s">
        <v>52</v>
      </c>
      <c r="C55" s="11"/>
      <c r="D55" s="12"/>
      <c r="E55" s="13"/>
      <c r="F55" s="13"/>
      <c r="G55" s="13"/>
      <c r="H55" s="13"/>
      <c r="I55" s="13"/>
      <c r="J55" s="13"/>
      <c r="K55" s="13"/>
      <c r="L55" s="13"/>
      <c r="M55" s="13"/>
      <c r="N55" s="13"/>
      <c r="O55" s="13"/>
      <c r="P55" s="12"/>
      <c r="Q55" s="12"/>
      <c r="R55" s="12"/>
      <c r="S55" s="12"/>
      <c r="T55" s="12"/>
      <c r="U55" s="12"/>
      <c r="V55" s="12"/>
      <c r="W55" s="12"/>
      <c r="X55" s="12"/>
      <c r="Y55" s="12"/>
      <c r="Z55" s="12"/>
      <c r="AA55" s="12"/>
      <c r="AB55" s="12"/>
      <c r="AC55" s="12"/>
      <c r="AD55" s="12"/>
      <c r="AE55" s="12"/>
      <c r="AF55" s="12"/>
      <c r="AG55" s="12"/>
      <c r="AH55" s="12"/>
      <c r="AI55" s="12"/>
      <c r="AJ55" s="12"/>
      <c r="AK55" s="12"/>
      <c r="AL55" s="12"/>
      <c r="AM55" s="12"/>
      <c r="AN55" s="12"/>
      <c r="AO55" s="14"/>
    </row>
    <row r="56" spans="1:41" ht="5.25" customHeight="1" x14ac:dyDescent="0.2">
      <c r="A56" s="8"/>
      <c r="B56" s="15"/>
      <c r="C56" s="15"/>
      <c r="D56" s="16"/>
      <c r="E56" s="17"/>
      <c r="F56" s="17"/>
      <c r="G56" s="17"/>
      <c r="H56" s="17"/>
      <c r="I56" s="17"/>
      <c r="J56" s="17"/>
      <c r="K56" s="17"/>
      <c r="L56" s="17"/>
      <c r="M56" s="17"/>
      <c r="N56" s="17"/>
      <c r="O56" s="17"/>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20"/>
    </row>
    <row r="57" spans="1:41" ht="13.5" customHeight="1" x14ac:dyDescent="0.2">
      <c r="A57" s="364"/>
      <c r="B57" s="364"/>
      <c r="C57" s="364"/>
      <c r="D57" s="364"/>
      <c r="E57" s="364"/>
      <c r="F57" s="364"/>
      <c r="G57" s="364"/>
      <c r="H57" s="364"/>
      <c r="I57" s="364"/>
      <c r="J57" s="364"/>
      <c r="K57" s="364"/>
      <c r="L57" s="364"/>
      <c r="M57" s="364"/>
      <c r="N57" s="364"/>
      <c r="O57" s="364"/>
      <c r="P57" s="364"/>
      <c r="Q57" s="364"/>
      <c r="R57" s="364"/>
      <c r="S57" s="364"/>
      <c r="T57" s="364"/>
      <c r="U57" s="364"/>
      <c r="V57" s="364"/>
      <c r="W57" s="364"/>
      <c r="X57" s="364"/>
      <c r="Y57" s="364"/>
      <c r="Z57" s="364"/>
      <c r="AA57" s="364"/>
      <c r="AB57" s="364"/>
      <c r="AC57" s="364"/>
      <c r="AD57" s="364"/>
      <c r="AE57" s="364"/>
      <c r="AF57" s="364"/>
      <c r="AG57" s="364"/>
      <c r="AH57" s="364"/>
      <c r="AI57" s="364"/>
      <c r="AJ57" s="364"/>
      <c r="AK57" s="364"/>
      <c r="AL57" s="364"/>
      <c r="AM57" s="364"/>
      <c r="AN57" s="364"/>
      <c r="AO57" s="364"/>
    </row>
    <row r="58" spans="1:41" ht="24.75" customHeight="1" x14ac:dyDescent="0.2">
      <c r="A58" s="377"/>
      <c r="B58" s="378"/>
      <c r="C58" s="378"/>
      <c r="D58" s="378"/>
      <c r="E58" s="378"/>
      <c r="F58" s="378"/>
      <c r="G58" s="378"/>
      <c r="H58" s="378"/>
      <c r="I58" s="378"/>
      <c r="J58" s="378"/>
      <c r="K58" s="378"/>
      <c r="L58" s="378"/>
      <c r="M58" s="378"/>
      <c r="N58" s="378"/>
      <c r="O58" s="378"/>
      <c r="P58" s="378"/>
      <c r="Q58" s="378"/>
      <c r="R58" s="378"/>
      <c r="S58" s="378"/>
      <c r="T58" s="378"/>
      <c r="U58" s="378"/>
      <c r="V58" s="378"/>
      <c r="W58" s="378"/>
      <c r="X58" s="378"/>
      <c r="Y58" s="378"/>
      <c r="Z58" s="378"/>
      <c r="AA58" s="378"/>
      <c r="AB58" s="378"/>
      <c r="AC58" s="378"/>
      <c r="AD58" s="378"/>
      <c r="AE58" s="378"/>
      <c r="AF58" s="378"/>
      <c r="AG58" s="378"/>
      <c r="AH58" s="378"/>
      <c r="AI58" s="378"/>
      <c r="AJ58" s="378"/>
      <c r="AK58" s="378"/>
      <c r="AL58" s="378"/>
      <c r="AM58" s="378"/>
      <c r="AN58" s="378"/>
      <c r="AO58" s="378"/>
    </row>
  </sheetData>
  <mergeCells count="66">
    <mergeCell ref="J51:W51"/>
    <mergeCell ref="AA51:AN51"/>
    <mergeCell ref="A57:AO57"/>
    <mergeCell ref="A58:AO58"/>
    <mergeCell ref="J48:W48"/>
    <mergeCell ref="AA48:AN48"/>
    <mergeCell ref="J49:W49"/>
    <mergeCell ref="AA49:AN49"/>
    <mergeCell ref="J50:W50"/>
    <mergeCell ref="AA50:AN50"/>
    <mergeCell ref="J45:W45"/>
    <mergeCell ref="AA45:AN45"/>
    <mergeCell ref="J46:W46"/>
    <mergeCell ref="AA46:AN46"/>
    <mergeCell ref="J47:W47"/>
    <mergeCell ref="AA47:AN47"/>
    <mergeCell ref="J42:W42"/>
    <mergeCell ref="AA42:AN42"/>
    <mergeCell ref="J43:W43"/>
    <mergeCell ref="AA43:AN43"/>
    <mergeCell ref="J44:W44"/>
    <mergeCell ref="AA44:AN44"/>
    <mergeCell ref="J38:W38"/>
    <mergeCell ref="AA38:AN38"/>
    <mergeCell ref="J39:W39"/>
    <mergeCell ref="AA39:AN39"/>
    <mergeCell ref="J40:W40"/>
    <mergeCell ref="AA40:AN40"/>
    <mergeCell ref="J35:W35"/>
    <mergeCell ref="AA35:AN35"/>
    <mergeCell ref="J36:W36"/>
    <mergeCell ref="AA36:AN36"/>
    <mergeCell ref="J37:W37"/>
    <mergeCell ref="AA37:AN37"/>
    <mergeCell ref="AI32:AJ32"/>
    <mergeCell ref="AK32:AN32"/>
    <mergeCell ref="J33:W33"/>
    <mergeCell ref="AA33:AN33"/>
    <mergeCell ref="J34:W34"/>
    <mergeCell ref="AA34:AN34"/>
    <mergeCell ref="I32:M32"/>
    <mergeCell ref="N32:Q32"/>
    <mergeCell ref="R32:S32"/>
    <mergeCell ref="T32:W32"/>
    <mergeCell ref="Z32:AD32"/>
    <mergeCell ref="AE32:AH32"/>
    <mergeCell ref="I30:W30"/>
    <mergeCell ref="Z30:AN30"/>
    <mergeCell ref="I31:M31"/>
    <mergeCell ref="N31:W31"/>
    <mergeCell ref="Z31:AD31"/>
    <mergeCell ref="AE31:AN31"/>
    <mergeCell ref="F19:AO22"/>
    <mergeCell ref="A1:AO1"/>
    <mergeCell ref="A2:X2"/>
    <mergeCell ref="Y2:AH2"/>
    <mergeCell ref="AI2:AO4"/>
    <mergeCell ref="A3:Y3"/>
    <mergeCell ref="AA3:AH3"/>
    <mergeCell ref="A4:Y4"/>
    <mergeCell ref="AA4:AH4"/>
    <mergeCell ref="B5:AO5"/>
    <mergeCell ref="B6:AO6"/>
    <mergeCell ref="B7:AO7"/>
    <mergeCell ref="B8:AO8"/>
    <mergeCell ref="B16:D16"/>
  </mergeCells>
  <printOptions horizontalCentered="1" verticalCentered="1"/>
  <pageMargins left="0.39370078740157483" right="0.39370078740157483" top="0.23622047244094491" bottom="0.23622047244094491" header="0" footer="0.23622047244094491"/>
  <pageSetup paperSize="122" orientation="portrait" horizontalDpi="300" verticalDpi="300" r:id="rId1"/>
  <headerFooter alignWithMargins="0">
    <oddFooter>&amp;RPage 1 of 5</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81FD20-5D6C-402F-96B7-FCB5AF571641}">
  <sheetPr>
    <pageSetUpPr fitToPage="1"/>
  </sheetPr>
  <dimension ref="A1:AO59"/>
  <sheetViews>
    <sheetView showGridLines="0" showZeros="0" zoomScale="108" workbookViewId="0">
      <selection activeCell="BD32" sqref="BD32"/>
    </sheetView>
  </sheetViews>
  <sheetFormatPr baseColWidth="10" defaultRowHeight="12.75" x14ac:dyDescent="0.2"/>
  <cols>
    <col min="1" max="178" width="2.42578125" customWidth="1"/>
    <col min="257" max="434" width="2.42578125" customWidth="1"/>
    <col min="513" max="690" width="2.42578125" customWidth="1"/>
    <col min="769" max="946" width="2.42578125" customWidth="1"/>
    <col min="1025" max="1202" width="2.42578125" customWidth="1"/>
    <col min="1281" max="1458" width="2.42578125" customWidth="1"/>
    <col min="1537" max="1714" width="2.42578125" customWidth="1"/>
    <col min="1793" max="1970" width="2.42578125" customWidth="1"/>
    <col min="2049" max="2226" width="2.42578125" customWidth="1"/>
    <col min="2305" max="2482" width="2.42578125" customWidth="1"/>
    <col min="2561" max="2738" width="2.42578125" customWidth="1"/>
    <col min="2817" max="2994" width="2.42578125" customWidth="1"/>
    <col min="3073" max="3250" width="2.42578125" customWidth="1"/>
    <col min="3329" max="3506" width="2.42578125" customWidth="1"/>
    <col min="3585" max="3762" width="2.42578125" customWidth="1"/>
    <col min="3841" max="4018" width="2.42578125" customWidth="1"/>
    <col min="4097" max="4274" width="2.42578125" customWidth="1"/>
    <col min="4353" max="4530" width="2.42578125" customWidth="1"/>
    <col min="4609" max="4786" width="2.42578125" customWidth="1"/>
    <col min="4865" max="5042" width="2.42578125" customWidth="1"/>
    <col min="5121" max="5298" width="2.42578125" customWidth="1"/>
    <col min="5377" max="5554" width="2.42578125" customWidth="1"/>
    <col min="5633" max="5810" width="2.42578125" customWidth="1"/>
    <col min="5889" max="6066" width="2.42578125" customWidth="1"/>
    <col min="6145" max="6322" width="2.42578125" customWidth="1"/>
    <col min="6401" max="6578" width="2.42578125" customWidth="1"/>
    <col min="6657" max="6834" width="2.42578125" customWidth="1"/>
    <col min="6913" max="7090" width="2.42578125" customWidth="1"/>
    <col min="7169" max="7346" width="2.42578125" customWidth="1"/>
    <col min="7425" max="7602" width="2.42578125" customWidth="1"/>
    <col min="7681" max="7858" width="2.42578125" customWidth="1"/>
    <col min="7937" max="8114" width="2.42578125" customWidth="1"/>
    <col min="8193" max="8370" width="2.42578125" customWidth="1"/>
    <col min="8449" max="8626" width="2.42578125" customWidth="1"/>
    <col min="8705" max="8882" width="2.42578125" customWidth="1"/>
    <col min="8961" max="9138" width="2.42578125" customWidth="1"/>
    <col min="9217" max="9394" width="2.42578125" customWidth="1"/>
    <col min="9473" max="9650" width="2.42578125" customWidth="1"/>
    <col min="9729" max="9906" width="2.42578125" customWidth="1"/>
    <col min="9985" max="10162" width="2.42578125" customWidth="1"/>
    <col min="10241" max="10418" width="2.42578125" customWidth="1"/>
    <col min="10497" max="10674" width="2.42578125" customWidth="1"/>
    <col min="10753" max="10930" width="2.42578125" customWidth="1"/>
    <col min="11009" max="11186" width="2.42578125" customWidth="1"/>
    <col min="11265" max="11442" width="2.42578125" customWidth="1"/>
    <col min="11521" max="11698" width="2.42578125" customWidth="1"/>
    <col min="11777" max="11954" width="2.42578125" customWidth="1"/>
    <col min="12033" max="12210" width="2.42578125" customWidth="1"/>
    <col min="12289" max="12466" width="2.42578125" customWidth="1"/>
    <col min="12545" max="12722" width="2.42578125" customWidth="1"/>
    <col min="12801" max="12978" width="2.42578125" customWidth="1"/>
    <col min="13057" max="13234" width="2.42578125" customWidth="1"/>
    <col min="13313" max="13490" width="2.42578125" customWidth="1"/>
    <col min="13569" max="13746" width="2.42578125" customWidth="1"/>
    <col min="13825" max="14002" width="2.42578125" customWidth="1"/>
    <col min="14081" max="14258" width="2.42578125" customWidth="1"/>
    <col min="14337" max="14514" width="2.42578125" customWidth="1"/>
    <col min="14593" max="14770" width="2.42578125" customWidth="1"/>
    <col min="14849" max="15026" width="2.42578125" customWidth="1"/>
    <col min="15105" max="15282" width="2.42578125" customWidth="1"/>
    <col min="15361" max="15538" width="2.42578125" customWidth="1"/>
    <col min="15617" max="15794" width="2.42578125" customWidth="1"/>
    <col min="15873" max="16050" width="2.42578125" customWidth="1"/>
    <col min="16129" max="16306" width="2.42578125" customWidth="1"/>
  </cols>
  <sheetData>
    <row r="1" spans="1:41" ht="12.75" customHeight="1" x14ac:dyDescent="0.25">
      <c r="A1" s="333" t="s">
        <v>0</v>
      </c>
      <c r="B1" s="333"/>
      <c r="C1" s="333"/>
      <c r="D1" s="333"/>
      <c r="E1" s="333"/>
      <c r="F1" s="333"/>
      <c r="G1" s="333"/>
      <c r="H1" s="333"/>
      <c r="I1" s="333"/>
      <c r="J1" s="333"/>
      <c r="K1" s="333"/>
      <c r="L1" s="333"/>
      <c r="M1" s="333"/>
      <c r="N1" s="333"/>
      <c r="O1" s="333"/>
      <c r="P1" s="333"/>
      <c r="Q1" s="333"/>
      <c r="R1" s="333"/>
      <c r="S1" s="333"/>
      <c r="T1" s="333"/>
      <c r="U1" s="333"/>
      <c r="V1" s="333"/>
      <c r="W1" s="333"/>
      <c r="X1" s="333"/>
      <c r="Y1" s="333"/>
      <c r="Z1" s="333"/>
      <c r="AA1" s="333"/>
      <c r="AB1" s="333"/>
      <c r="AC1" s="333"/>
      <c r="AD1" s="333"/>
      <c r="AE1" s="333"/>
      <c r="AF1" s="333"/>
      <c r="AG1" s="333"/>
      <c r="AH1" s="333"/>
      <c r="AI1" s="333"/>
      <c r="AJ1" s="333"/>
      <c r="AK1" s="333"/>
      <c r="AL1" s="333"/>
      <c r="AM1" s="333"/>
      <c r="AN1" s="333"/>
      <c r="AO1" s="333"/>
    </row>
    <row r="2" spans="1:41" ht="12.75" customHeight="1" x14ac:dyDescent="0.2">
      <c r="A2" s="334"/>
      <c r="B2" s="335"/>
      <c r="C2" s="335"/>
      <c r="D2" s="335"/>
      <c r="E2" s="335"/>
      <c r="F2" s="335"/>
      <c r="G2" s="335"/>
      <c r="H2" s="335"/>
      <c r="I2" s="335"/>
      <c r="J2" s="335"/>
      <c r="K2" s="335"/>
      <c r="L2" s="335"/>
      <c r="M2" s="335"/>
      <c r="N2" s="335"/>
      <c r="O2" s="335"/>
      <c r="P2" s="335"/>
      <c r="Q2" s="335"/>
      <c r="R2" s="335"/>
      <c r="S2" s="335"/>
      <c r="T2" s="335"/>
      <c r="U2" s="335"/>
      <c r="V2" s="335"/>
      <c r="W2" s="335"/>
      <c r="X2" s="335"/>
      <c r="Y2" s="336"/>
      <c r="Z2" s="336"/>
      <c r="AA2" s="336"/>
      <c r="AB2" s="336"/>
      <c r="AC2" s="336"/>
      <c r="AD2" s="336"/>
      <c r="AE2" s="336"/>
      <c r="AF2" s="336"/>
      <c r="AG2" s="336"/>
      <c r="AH2" s="337"/>
      <c r="AI2" s="380" t="s">
        <v>53</v>
      </c>
      <c r="AJ2" s="339"/>
      <c r="AK2" s="339"/>
      <c r="AL2" s="339"/>
      <c r="AM2" s="339"/>
      <c r="AN2" s="339"/>
      <c r="AO2" s="340"/>
    </row>
    <row r="3" spans="1:41" ht="12.75" customHeight="1" x14ac:dyDescent="0.2">
      <c r="A3" s="347" t="s">
        <v>2</v>
      </c>
      <c r="B3" s="348"/>
      <c r="C3" s="348"/>
      <c r="D3" s="348"/>
      <c r="E3" s="348"/>
      <c r="F3" s="348"/>
      <c r="G3" s="348"/>
      <c r="H3" s="348"/>
      <c r="I3" s="348"/>
      <c r="J3" s="348"/>
      <c r="K3" s="348"/>
      <c r="L3" s="348"/>
      <c r="M3" s="348"/>
      <c r="N3" s="348"/>
      <c r="O3" s="348"/>
      <c r="P3" s="348"/>
      <c r="Q3" s="348"/>
      <c r="R3" s="348"/>
      <c r="S3" s="348"/>
      <c r="T3" s="348"/>
      <c r="U3" s="348"/>
      <c r="V3" s="348"/>
      <c r="W3" s="348"/>
      <c r="X3" s="348"/>
      <c r="Y3" s="349"/>
      <c r="Z3" s="2" t="str">
        <f>+A!Z3</f>
        <v>X</v>
      </c>
      <c r="AA3" s="350" t="s">
        <v>3</v>
      </c>
      <c r="AB3" s="351"/>
      <c r="AC3" s="351"/>
      <c r="AD3" s="351"/>
      <c r="AE3" s="351"/>
      <c r="AF3" s="351"/>
      <c r="AG3" s="351"/>
      <c r="AH3" s="352"/>
      <c r="AI3" s="341"/>
      <c r="AJ3" s="342"/>
      <c r="AK3" s="342"/>
      <c r="AL3" s="342"/>
      <c r="AM3" s="342"/>
      <c r="AN3" s="342"/>
      <c r="AO3" s="343"/>
    </row>
    <row r="4" spans="1:41" ht="12.75" customHeight="1" x14ac:dyDescent="0.2">
      <c r="A4" s="353"/>
      <c r="B4" s="354"/>
      <c r="C4" s="354"/>
      <c r="D4" s="354"/>
      <c r="E4" s="354"/>
      <c r="F4" s="354"/>
      <c r="G4" s="354"/>
      <c r="H4" s="354"/>
      <c r="I4" s="354"/>
      <c r="J4" s="354"/>
      <c r="K4" s="354"/>
      <c r="L4" s="354"/>
      <c r="M4" s="354"/>
      <c r="N4" s="354"/>
      <c r="O4" s="354"/>
      <c r="P4" s="354"/>
      <c r="Q4" s="354"/>
      <c r="R4" s="354"/>
      <c r="S4" s="354"/>
      <c r="T4" s="354"/>
      <c r="U4" s="354"/>
      <c r="V4" s="354"/>
      <c r="W4" s="354"/>
      <c r="X4" s="354"/>
      <c r="Y4" s="355"/>
      <c r="Z4" s="2">
        <f>+A!Z4</f>
        <v>0</v>
      </c>
      <c r="AA4" s="356" t="s">
        <v>4</v>
      </c>
      <c r="AB4" s="357"/>
      <c r="AC4" s="357"/>
      <c r="AD4" s="357"/>
      <c r="AE4" s="357"/>
      <c r="AF4" s="357"/>
      <c r="AG4" s="357"/>
      <c r="AH4" s="358"/>
      <c r="AI4" s="344"/>
      <c r="AJ4" s="345"/>
      <c r="AK4" s="345"/>
      <c r="AL4" s="345"/>
      <c r="AM4" s="345"/>
      <c r="AN4" s="345"/>
      <c r="AO4" s="346"/>
    </row>
    <row r="5" spans="1:41" ht="12.75" customHeight="1" x14ac:dyDescent="0.2">
      <c r="A5" s="6"/>
      <c r="B5" s="322" t="s">
        <v>5</v>
      </c>
      <c r="C5" s="322"/>
      <c r="D5" s="322"/>
      <c r="E5" s="322"/>
      <c r="F5" s="322"/>
      <c r="G5" s="322"/>
      <c r="H5" s="322"/>
      <c r="I5" s="322"/>
      <c r="J5" s="322"/>
      <c r="K5" s="322"/>
      <c r="L5" s="322"/>
      <c r="M5" s="322"/>
      <c r="N5" s="322"/>
      <c r="O5" s="322"/>
      <c r="P5" s="322"/>
      <c r="Q5" s="322"/>
      <c r="R5" s="322"/>
      <c r="S5" s="322"/>
      <c r="T5" s="322"/>
      <c r="U5" s="322"/>
      <c r="V5" s="322"/>
      <c r="W5" s="322"/>
      <c r="X5" s="322"/>
      <c r="Y5" s="322"/>
      <c r="Z5" s="322"/>
      <c r="AA5" s="322"/>
      <c r="AB5" s="322"/>
      <c r="AC5" s="322"/>
      <c r="AD5" s="322"/>
      <c r="AE5" s="322"/>
      <c r="AF5" s="322"/>
      <c r="AG5" s="322"/>
      <c r="AH5" s="322"/>
      <c r="AI5" s="322"/>
      <c r="AJ5" s="322"/>
      <c r="AK5" s="322"/>
      <c r="AL5" s="322"/>
      <c r="AM5" s="322"/>
      <c r="AN5" s="322"/>
      <c r="AO5" s="323"/>
    </row>
    <row r="6" spans="1:41" ht="12.75" customHeight="1" x14ac:dyDescent="0.2">
      <c r="A6" s="353" t="str">
        <f>A!B6</f>
        <v>MSL Marine Surveyors And Logistics</v>
      </c>
      <c r="B6" s="354"/>
      <c r="C6" s="354"/>
      <c r="D6" s="354"/>
      <c r="E6" s="354"/>
      <c r="F6" s="354"/>
      <c r="G6" s="354"/>
      <c r="H6" s="354"/>
      <c r="I6" s="354"/>
      <c r="J6" s="354"/>
      <c r="K6" s="354"/>
      <c r="L6" s="354"/>
      <c r="M6" s="354"/>
      <c r="N6" s="354"/>
      <c r="O6" s="354"/>
      <c r="P6" s="354"/>
      <c r="Q6" s="354"/>
      <c r="R6" s="354"/>
      <c r="S6" s="354"/>
      <c r="T6" s="354"/>
      <c r="U6" s="354"/>
      <c r="V6" s="354"/>
      <c r="W6" s="354"/>
      <c r="X6" s="354"/>
      <c r="Y6" s="354"/>
      <c r="Z6" s="354"/>
      <c r="AA6" s="354"/>
      <c r="AB6" s="354"/>
      <c r="AC6" s="354"/>
      <c r="AD6" s="354"/>
      <c r="AE6" s="354"/>
      <c r="AF6" s="354"/>
      <c r="AG6" s="354"/>
      <c r="AH6" s="354"/>
      <c r="AI6" s="354"/>
      <c r="AJ6" s="354"/>
      <c r="AK6" s="354"/>
      <c r="AL6" s="354"/>
      <c r="AM6" s="354"/>
      <c r="AN6" s="354"/>
      <c r="AO6" s="355"/>
    </row>
    <row r="7" spans="1:41" ht="12.75" customHeight="1" x14ac:dyDescent="0.2">
      <c r="A7" s="6"/>
      <c r="B7" s="322" t="s">
        <v>11</v>
      </c>
      <c r="C7" s="322"/>
      <c r="D7" s="322"/>
      <c r="E7" s="322"/>
      <c r="F7" s="322"/>
      <c r="G7" s="322"/>
      <c r="H7" s="322"/>
      <c r="I7" s="322"/>
      <c r="J7" s="322"/>
      <c r="K7" s="322"/>
      <c r="L7" s="322"/>
      <c r="M7" s="322"/>
      <c r="N7" s="322"/>
      <c r="O7" s="322"/>
      <c r="P7" s="322"/>
      <c r="Q7" s="322"/>
      <c r="R7" s="322"/>
      <c r="S7" s="322"/>
      <c r="T7" s="322"/>
      <c r="U7" s="322"/>
      <c r="V7" s="322"/>
      <c r="W7" s="322"/>
      <c r="X7" s="322"/>
      <c r="Y7" s="322"/>
      <c r="Z7" s="322" t="s">
        <v>13</v>
      </c>
      <c r="AA7" s="322"/>
      <c r="AB7" s="322"/>
      <c r="AC7" s="322"/>
      <c r="AD7" s="322"/>
      <c r="AE7" s="322"/>
      <c r="AF7" s="322"/>
      <c r="AG7" s="322"/>
      <c r="AH7" s="322"/>
      <c r="AI7" s="322"/>
      <c r="AJ7" s="322"/>
      <c r="AK7" s="322"/>
      <c r="AL7" s="322"/>
      <c r="AM7" s="322"/>
      <c r="AN7" s="322"/>
      <c r="AO7" s="323"/>
    </row>
    <row r="8" spans="1:41" ht="12.75" customHeight="1" x14ac:dyDescent="0.2">
      <c r="A8" s="353"/>
      <c r="B8" s="354"/>
      <c r="C8" s="354"/>
      <c r="D8" s="354"/>
      <c r="E8" s="354"/>
      <c r="F8" s="379" t="str">
        <f>+A!G12</f>
        <v>MV SANTA CAROLINA</v>
      </c>
      <c r="G8" s="379"/>
      <c r="H8" s="379"/>
      <c r="I8" s="379"/>
      <c r="J8" s="379"/>
      <c r="K8" s="379"/>
      <c r="L8" s="379"/>
      <c r="M8" s="379"/>
      <c r="N8" s="379"/>
      <c r="O8" s="379"/>
      <c r="P8" s="379"/>
      <c r="Q8" s="379"/>
      <c r="R8" s="379"/>
      <c r="S8" s="379"/>
      <c r="T8" s="379"/>
      <c r="U8" s="379"/>
      <c r="V8" s="379"/>
      <c r="W8" s="379"/>
      <c r="X8" s="379"/>
      <c r="Y8" s="379"/>
      <c r="Z8" s="379"/>
      <c r="AA8" s="379"/>
      <c r="AB8" s="379"/>
      <c r="AC8" s="360" t="str">
        <f>+A!AG12</f>
        <v>2207-1407-2026</v>
      </c>
      <c r="AD8" s="360"/>
      <c r="AE8" s="360"/>
      <c r="AF8" s="360"/>
      <c r="AG8" s="360"/>
      <c r="AH8" s="360"/>
      <c r="AI8" s="360"/>
      <c r="AJ8" s="360"/>
      <c r="AK8" s="360"/>
      <c r="AL8" s="360"/>
      <c r="AM8" s="360"/>
      <c r="AN8" s="360"/>
      <c r="AO8" s="361"/>
    </row>
    <row r="9" spans="1:41" ht="12.75" customHeight="1" x14ac:dyDescent="0.2">
      <c r="A9" s="363" t="s">
        <v>54</v>
      </c>
      <c r="B9" s="364"/>
      <c r="C9" s="364"/>
      <c r="D9" s="364"/>
      <c r="E9" s="364"/>
      <c r="F9" s="364"/>
      <c r="G9" s="364"/>
      <c r="H9" s="364"/>
      <c r="I9" s="364"/>
      <c r="J9" s="364"/>
      <c r="K9" s="364"/>
      <c r="L9" s="364"/>
      <c r="M9" s="364"/>
      <c r="N9" s="364"/>
      <c r="O9" s="364"/>
      <c r="P9" s="364"/>
      <c r="Q9" s="364"/>
      <c r="R9" s="364"/>
      <c r="S9" s="364"/>
      <c r="T9" s="364"/>
      <c r="U9" s="364"/>
      <c r="V9" s="364"/>
      <c r="W9" s="364"/>
      <c r="X9" s="364"/>
      <c r="Y9" s="364"/>
      <c r="Z9" s="364"/>
      <c r="AA9" s="364"/>
      <c r="AB9" s="364"/>
      <c r="AC9" s="364"/>
      <c r="AD9" s="364"/>
      <c r="AE9" s="364"/>
      <c r="AF9" s="364"/>
      <c r="AG9" s="364"/>
      <c r="AH9" s="364"/>
      <c r="AI9" s="364"/>
      <c r="AJ9" s="364"/>
      <c r="AK9" s="364"/>
      <c r="AL9" s="364"/>
      <c r="AM9" s="364"/>
      <c r="AN9" s="364"/>
      <c r="AO9" s="365"/>
    </row>
    <row r="10" spans="1:41" ht="12.75" customHeight="1" x14ac:dyDescent="0.2">
      <c r="A10" s="381"/>
      <c r="B10" s="382"/>
      <c r="C10" s="382"/>
      <c r="D10" s="382"/>
      <c r="E10" s="382"/>
      <c r="F10" s="382"/>
      <c r="G10" s="382"/>
      <c r="H10" s="382"/>
      <c r="I10" s="382"/>
      <c r="J10" s="382"/>
      <c r="K10" s="382"/>
      <c r="L10" s="382"/>
      <c r="M10" s="382"/>
      <c r="N10" s="382"/>
      <c r="O10" s="382"/>
      <c r="P10" s="382"/>
      <c r="Q10" s="382"/>
      <c r="R10" s="382"/>
      <c r="S10" s="382"/>
      <c r="T10" s="382"/>
      <c r="U10" s="382"/>
      <c r="V10" s="382"/>
      <c r="W10" s="382"/>
      <c r="X10" s="382"/>
      <c r="Y10" s="382"/>
      <c r="Z10" s="382"/>
      <c r="AA10" s="382"/>
      <c r="AB10" s="382"/>
      <c r="AC10" s="382"/>
      <c r="AD10" s="382"/>
      <c r="AE10" s="382"/>
      <c r="AF10" s="382"/>
      <c r="AG10" s="382"/>
      <c r="AH10" s="382"/>
      <c r="AI10" s="382"/>
      <c r="AJ10" s="382"/>
      <c r="AK10" s="382"/>
      <c r="AL10" s="382"/>
      <c r="AM10" s="382"/>
      <c r="AN10" s="382"/>
      <c r="AO10" s="383"/>
    </row>
    <row r="11" spans="1:41" ht="12.75" customHeight="1" x14ac:dyDescent="0.2">
      <c r="A11" s="381"/>
      <c r="B11" s="382"/>
      <c r="C11" s="382"/>
      <c r="D11" s="382"/>
      <c r="E11" s="351" t="s">
        <v>55</v>
      </c>
      <c r="F11" s="351"/>
      <c r="G11" s="351"/>
      <c r="H11" s="351"/>
      <c r="I11" s="351"/>
      <c r="J11" s="351"/>
      <c r="K11" s="351"/>
      <c r="L11" s="351"/>
      <c r="M11" s="351"/>
      <c r="N11" s="351"/>
      <c r="O11" s="351"/>
      <c r="P11" s="351"/>
      <c r="Q11" s="351"/>
      <c r="R11" s="351"/>
      <c r="S11" s="351"/>
      <c r="T11" s="351"/>
      <c r="U11" s="351"/>
      <c r="V11" s="351"/>
      <c r="W11" s="351"/>
      <c r="X11" s="352"/>
      <c r="Y11" s="42" t="str">
        <f>+General!W34</f>
        <v>X</v>
      </c>
      <c r="Z11" s="350" t="s">
        <v>56</v>
      </c>
      <c r="AA11" s="351"/>
      <c r="AB11" s="351"/>
      <c r="AC11" s="351"/>
      <c r="AD11" s="351"/>
      <c r="AE11" s="352"/>
      <c r="AF11" s="42">
        <f>+General!AC34</f>
        <v>0</v>
      </c>
      <c r="AG11" s="350" t="s">
        <v>57</v>
      </c>
      <c r="AH11" s="351"/>
      <c r="AI11" s="351"/>
      <c r="AJ11" s="351"/>
      <c r="AK11" s="351"/>
      <c r="AL11" s="351"/>
      <c r="AM11" s="351"/>
      <c r="AN11" s="351"/>
      <c r="AO11" s="352"/>
    </row>
    <row r="12" spans="1:41" ht="12.75" customHeight="1" x14ac:dyDescent="0.2">
      <c r="A12" s="381"/>
      <c r="B12" s="382"/>
      <c r="C12" s="382"/>
      <c r="D12" s="382"/>
      <c r="E12" s="351" t="s">
        <v>58</v>
      </c>
      <c r="F12" s="351"/>
      <c r="G12" s="351"/>
      <c r="H12" s="351"/>
      <c r="I12" s="351"/>
      <c r="J12" s="351"/>
      <c r="K12" s="351"/>
      <c r="L12" s="351"/>
      <c r="M12" s="351"/>
      <c r="N12" s="351"/>
      <c r="O12" s="351"/>
      <c r="P12" s="351"/>
      <c r="Q12" s="351"/>
      <c r="R12" s="351"/>
      <c r="S12" s="351"/>
      <c r="T12" s="351"/>
      <c r="U12" s="351"/>
      <c r="V12" s="351"/>
      <c r="W12" s="351"/>
      <c r="X12" s="352"/>
      <c r="Y12" s="42" t="str">
        <f>+General!W35</f>
        <v>X</v>
      </c>
      <c r="Z12" s="350" t="s">
        <v>56</v>
      </c>
      <c r="AA12" s="351"/>
      <c r="AB12" s="351"/>
      <c r="AC12" s="351"/>
      <c r="AD12" s="351"/>
      <c r="AE12" s="352"/>
      <c r="AF12" s="42">
        <f>+General!AC35</f>
        <v>0</v>
      </c>
      <c r="AG12" s="350" t="s">
        <v>57</v>
      </c>
      <c r="AH12" s="351"/>
      <c r="AI12" s="351"/>
      <c r="AJ12" s="351"/>
      <c r="AK12" s="351"/>
      <c r="AL12" s="351"/>
      <c r="AM12" s="351"/>
      <c r="AN12" s="351"/>
      <c r="AO12" s="352"/>
    </row>
    <row r="13" spans="1:41" ht="12.75" customHeight="1" x14ac:dyDescent="0.2">
      <c r="A13" s="381"/>
      <c r="B13" s="382"/>
      <c r="C13" s="382"/>
      <c r="D13" s="382"/>
      <c r="E13" s="351" t="s">
        <v>59</v>
      </c>
      <c r="F13" s="351"/>
      <c r="G13" s="351"/>
      <c r="H13" s="351"/>
      <c r="I13" s="351"/>
      <c r="J13" s="351"/>
      <c r="K13" s="351"/>
      <c r="L13" s="351"/>
      <c r="M13" s="351"/>
      <c r="N13" s="351"/>
      <c r="O13" s="351"/>
      <c r="P13" s="351"/>
      <c r="Q13" s="351"/>
      <c r="R13" s="351"/>
      <c r="S13" s="351"/>
      <c r="T13" s="351"/>
      <c r="U13" s="351"/>
      <c r="V13" s="351"/>
      <c r="W13" s="351"/>
      <c r="X13" s="352"/>
      <c r="Y13" s="42" t="str">
        <f>+General!W36</f>
        <v>X</v>
      </c>
      <c r="Z13" s="350" t="s">
        <v>56</v>
      </c>
      <c r="AA13" s="351"/>
      <c r="AB13" s="351"/>
      <c r="AC13" s="351"/>
      <c r="AD13" s="351"/>
      <c r="AE13" s="352"/>
      <c r="AF13" s="42">
        <f>+General!AC36</f>
        <v>0</v>
      </c>
      <c r="AG13" s="350" t="s">
        <v>57</v>
      </c>
      <c r="AH13" s="351"/>
      <c r="AI13" s="351"/>
      <c r="AJ13" s="351"/>
      <c r="AK13" s="351"/>
      <c r="AL13" s="351"/>
      <c r="AM13" s="351"/>
      <c r="AN13" s="351"/>
      <c r="AO13" s="352"/>
    </row>
    <row r="14" spans="1:41" ht="12.75" customHeight="1" x14ac:dyDescent="0.2">
      <c r="A14" s="381"/>
      <c r="B14" s="382"/>
      <c r="C14" s="382"/>
      <c r="D14" s="382"/>
      <c r="E14" s="351" t="s">
        <v>60</v>
      </c>
      <c r="F14" s="351"/>
      <c r="G14" s="351"/>
      <c r="H14" s="351"/>
      <c r="I14" s="351"/>
      <c r="J14" s="351"/>
      <c r="K14" s="351"/>
      <c r="L14" s="351"/>
      <c r="M14" s="351"/>
      <c r="N14" s="351"/>
      <c r="O14" s="351"/>
      <c r="P14" s="351"/>
      <c r="Q14" s="351"/>
      <c r="R14" s="351"/>
      <c r="S14" s="351"/>
      <c r="T14" s="351"/>
      <c r="U14" s="351"/>
      <c r="V14" s="351"/>
      <c r="W14" s="351"/>
      <c r="X14" s="352"/>
      <c r="Y14" s="42">
        <f>+General!W37</f>
        <v>0</v>
      </c>
      <c r="Z14" s="350" t="s">
        <v>61</v>
      </c>
      <c r="AA14" s="351"/>
      <c r="AB14" s="351"/>
      <c r="AC14" s="351"/>
      <c r="AD14" s="351"/>
      <c r="AE14" s="352"/>
      <c r="AF14" s="42" t="str">
        <f>+General!AC37</f>
        <v>X</v>
      </c>
      <c r="AG14" s="350" t="s">
        <v>62</v>
      </c>
      <c r="AH14" s="351"/>
      <c r="AI14" s="351"/>
      <c r="AJ14" s="351"/>
      <c r="AK14" s="351"/>
      <c r="AL14" s="351"/>
      <c r="AM14" s="351"/>
      <c r="AN14" s="351"/>
      <c r="AO14" s="352"/>
    </row>
    <row r="15" spans="1:41" ht="12.75" customHeight="1" x14ac:dyDescent="0.2">
      <c r="A15" s="381"/>
      <c r="B15" s="382"/>
      <c r="C15" s="382"/>
      <c r="D15" s="382"/>
      <c r="E15" s="351" t="s">
        <v>63</v>
      </c>
      <c r="F15" s="351"/>
      <c r="G15" s="351"/>
      <c r="H15" s="351"/>
      <c r="I15" s="351"/>
      <c r="J15" s="351"/>
      <c r="K15" s="351"/>
      <c r="L15" s="351"/>
      <c r="M15" s="351"/>
      <c r="N15" s="351"/>
      <c r="O15" s="351"/>
      <c r="P15" s="351"/>
      <c r="Q15" s="351"/>
      <c r="R15" s="351"/>
      <c r="S15" s="351"/>
      <c r="T15" s="351"/>
      <c r="U15" s="351"/>
      <c r="V15" s="351"/>
      <c r="W15" s="351"/>
      <c r="X15" s="352"/>
      <c r="Y15" s="42" t="str">
        <f>+General!W38</f>
        <v>X</v>
      </c>
      <c r="Z15" s="350" t="s">
        <v>56</v>
      </c>
      <c r="AA15" s="351"/>
      <c r="AB15" s="351"/>
      <c r="AC15" s="351"/>
      <c r="AD15" s="351"/>
      <c r="AE15" s="352"/>
      <c r="AF15" s="42">
        <f>+General!AC38</f>
        <v>0</v>
      </c>
      <c r="AG15" s="350" t="s">
        <v>57</v>
      </c>
      <c r="AH15" s="351"/>
      <c r="AI15" s="351"/>
      <c r="AJ15" s="351"/>
      <c r="AK15" s="351"/>
      <c r="AL15" s="351"/>
      <c r="AM15" s="351"/>
      <c r="AN15" s="351"/>
      <c r="AO15" s="352"/>
    </row>
    <row r="16" spans="1:41" ht="12.75" customHeight="1" x14ac:dyDescent="0.2">
      <c r="A16" s="353"/>
      <c r="B16" s="354"/>
      <c r="C16" s="354"/>
      <c r="D16" s="354"/>
      <c r="E16" s="354"/>
      <c r="F16" s="354"/>
      <c r="G16" s="354"/>
      <c r="H16" s="354"/>
      <c r="I16" s="354"/>
      <c r="J16" s="354"/>
      <c r="K16" s="354"/>
      <c r="L16" s="354"/>
      <c r="M16" s="354"/>
      <c r="N16" s="354"/>
      <c r="O16" s="354"/>
      <c r="P16" s="354"/>
      <c r="Q16" s="354"/>
      <c r="R16" s="354"/>
      <c r="S16" s="354"/>
      <c r="T16" s="354"/>
      <c r="U16" s="354"/>
      <c r="V16" s="354"/>
      <c r="W16" s="354"/>
      <c r="X16" s="354"/>
      <c r="Y16" s="354"/>
      <c r="Z16" s="354"/>
      <c r="AA16" s="354"/>
      <c r="AB16" s="354"/>
      <c r="AC16" s="354"/>
      <c r="AD16" s="354"/>
      <c r="AE16" s="354"/>
      <c r="AF16" s="354"/>
      <c r="AG16" s="354"/>
      <c r="AH16" s="354"/>
      <c r="AI16" s="354"/>
      <c r="AJ16" s="354"/>
      <c r="AK16" s="354"/>
      <c r="AL16" s="354"/>
      <c r="AM16" s="354"/>
      <c r="AN16" s="354"/>
      <c r="AO16" s="355"/>
    </row>
    <row r="17" spans="1:41" ht="12.75" customHeight="1" x14ac:dyDescent="0.2">
      <c r="A17" s="43"/>
      <c r="B17" s="384" t="s">
        <v>64</v>
      </c>
      <c r="C17" s="384"/>
      <c r="D17" s="384"/>
      <c r="E17" s="384"/>
      <c r="F17" s="384"/>
      <c r="G17" s="384"/>
      <c r="H17" s="384"/>
      <c r="I17" s="384"/>
      <c r="J17" s="384"/>
      <c r="K17" s="384"/>
      <c r="L17" s="384"/>
      <c r="M17" s="384"/>
      <c r="N17" s="384"/>
      <c r="O17" s="384"/>
      <c r="P17" s="384"/>
      <c r="Q17" s="384"/>
      <c r="R17" s="384"/>
      <c r="S17" s="384"/>
      <c r="T17" s="384"/>
      <c r="U17" s="384"/>
      <c r="V17" s="384"/>
      <c r="W17" s="384"/>
      <c r="X17" s="384"/>
      <c r="Y17" s="384"/>
      <c r="Z17" s="384"/>
      <c r="AA17" s="384"/>
      <c r="AB17" s="384"/>
      <c r="AC17" s="384"/>
      <c r="AD17" s="384"/>
      <c r="AE17" s="384"/>
      <c r="AF17" s="384"/>
      <c r="AG17" s="384"/>
      <c r="AH17" s="384"/>
      <c r="AI17" s="384"/>
      <c r="AJ17" s="384"/>
      <c r="AK17" s="384"/>
      <c r="AL17" s="384"/>
      <c r="AM17" s="384"/>
      <c r="AN17" s="384"/>
      <c r="AO17" s="385"/>
    </row>
    <row r="18" spans="1:41" ht="12.75" customHeight="1" x14ac:dyDescent="0.2">
      <c r="A18" s="45"/>
      <c r="B18" s="46" t="str">
        <f>+Draft!A37</f>
        <v>REMARK: Swell Condition, Initial ( 0,10 to 0.20 Mtr) /  Final Draft ( 0,10 to 0,20 Mtr)</v>
      </c>
      <c r="AO18" s="30"/>
    </row>
    <row r="19" spans="1:41" ht="12.75" customHeight="1" x14ac:dyDescent="0.2">
      <c r="A19" s="43"/>
      <c r="B19" s="322" t="s">
        <v>65</v>
      </c>
      <c r="C19" s="384"/>
      <c r="D19" s="384"/>
      <c r="E19" s="384"/>
      <c r="F19" s="384"/>
      <c r="G19" s="384"/>
      <c r="H19" s="384"/>
      <c r="I19" s="384"/>
      <c r="J19" s="384"/>
      <c r="K19" s="384"/>
      <c r="L19" s="384"/>
      <c r="M19" s="384"/>
      <c r="N19" s="384"/>
      <c r="O19" s="384"/>
      <c r="P19" s="384"/>
      <c r="Q19" s="384"/>
      <c r="R19" s="384"/>
      <c r="S19" s="384"/>
      <c r="T19" s="384"/>
      <c r="U19" s="384"/>
      <c r="V19" s="384"/>
      <c r="W19" s="384"/>
      <c r="X19" s="384"/>
      <c r="Y19" s="384"/>
      <c r="Z19" s="384"/>
      <c r="AA19" s="384"/>
      <c r="AB19" s="384"/>
      <c r="AC19" s="384"/>
      <c r="AD19" s="384"/>
      <c r="AE19" s="384"/>
      <c r="AF19" s="384"/>
      <c r="AG19" s="384"/>
      <c r="AH19" s="384"/>
      <c r="AI19" s="384"/>
      <c r="AJ19" s="384"/>
      <c r="AK19" s="384"/>
      <c r="AL19" s="384"/>
      <c r="AM19" s="384"/>
      <c r="AN19" s="384"/>
      <c r="AO19" s="385"/>
    </row>
    <row r="20" spans="1:41" ht="12.75" customHeight="1" x14ac:dyDescent="0.2">
      <c r="A20" s="4"/>
      <c r="B20" s="46">
        <f>+Draft!AB37</f>
        <v>0</v>
      </c>
      <c r="C20" s="17"/>
      <c r="D20" s="17"/>
      <c r="E20" s="17"/>
      <c r="F20" s="17"/>
      <c r="G20" s="17"/>
      <c r="H20" s="17"/>
      <c r="I20" s="17"/>
      <c r="J20" s="17"/>
      <c r="K20" s="17"/>
      <c r="L20" s="17"/>
      <c r="M20" s="17"/>
      <c r="N20" s="17"/>
      <c r="O20" s="17"/>
      <c r="P20" s="17"/>
      <c r="Q20" s="17"/>
      <c r="R20" s="17"/>
      <c r="S20" s="17"/>
      <c r="T20" s="17"/>
      <c r="U20" s="17"/>
      <c r="V20" s="17"/>
      <c r="W20" s="17"/>
      <c r="X20" s="17"/>
      <c r="Y20" s="17"/>
      <c r="Z20" s="17"/>
      <c r="AA20" s="17"/>
      <c r="AB20" s="17"/>
      <c r="AC20" s="17"/>
      <c r="AD20" s="17"/>
      <c r="AE20" s="17"/>
      <c r="AF20" s="17"/>
      <c r="AG20" s="17"/>
      <c r="AH20" s="17"/>
      <c r="AI20" s="17"/>
      <c r="AJ20" s="17"/>
      <c r="AK20" s="17"/>
      <c r="AL20" s="17"/>
      <c r="AM20" s="17"/>
      <c r="AN20" s="17"/>
      <c r="AO20" s="47"/>
    </row>
    <row r="21" spans="1:41" ht="12.75" customHeight="1" x14ac:dyDescent="0.2">
      <c r="A21" s="386" t="s">
        <v>66</v>
      </c>
      <c r="B21" s="387"/>
      <c r="C21" s="387"/>
      <c r="D21" s="387"/>
      <c r="E21" s="387"/>
      <c r="F21" s="387"/>
      <c r="G21" s="387"/>
      <c r="H21" s="387"/>
      <c r="I21" s="387"/>
      <c r="J21" s="387"/>
      <c r="K21" s="387"/>
      <c r="L21" s="387"/>
      <c r="M21" s="387"/>
      <c r="N21" s="387"/>
      <c r="O21" s="387"/>
      <c r="P21" s="387"/>
      <c r="Q21" s="387"/>
      <c r="R21" s="387"/>
      <c r="S21" s="387"/>
      <c r="T21" s="387"/>
      <c r="U21" s="387"/>
      <c r="V21" s="387"/>
      <c r="W21" s="387"/>
      <c r="X21" s="387"/>
      <c r="Y21" s="387"/>
      <c r="Z21" s="387"/>
      <c r="AA21" s="387"/>
      <c r="AB21" s="387"/>
      <c r="AC21" s="387"/>
      <c r="AD21" s="387"/>
      <c r="AE21" s="387"/>
      <c r="AF21" s="387"/>
      <c r="AG21" s="387"/>
      <c r="AH21" s="387"/>
      <c r="AI21" s="387"/>
      <c r="AJ21" s="387"/>
      <c r="AK21" s="387"/>
      <c r="AL21" s="387"/>
      <c r="AM21" s="387"/>
      <c r="AN21" s="387"/>
      <c r="AO21" s="388"/>
    </row>
    <row r="22" spans="1:41" ht="12.75" customHeight="1" x14ac:dyDescent="0.2">
      <c r="A22" s="4"/>
      <c r="B22" s="389" t="str">
        <f>+General!A28</f>
        <v>ABS  JAN 12 /2001</v>
      </c>
      <c r="C22" s="389"/>
      <c r="D22" s="389"/>
      <c r="E22" s="389"/>
      <c r="F22" s="389"/>
      <c r="G22" s="389"/>
      <c r="H22" s="389"/>
      <c r="I22" s="389"/>
      <c r="J22" s="389"/>
      <c r="K22" s="389"/>
      <c r="L22" s="389"/>
      <c r="M22" s="389"/>
      <c r="N22" s="389"/>
      <c r="O22" s="389"/>
      <c r="P22" s="389"/>
      <c r="Q22" s="389"/>
      <c r="R22" s="389"/>
      <c r="S22" s="389"/>
      <c r="T22" s="389"/>
      <c r="U22" s="389"/>
      <c r="V22" s="389"/>
      <c r="W22" s="389"/>
      <c r="X22" s="389"/>
      <c r="Y22" s="389"/>
      <c r="Z22" s="389"/>
      <c r="AA22" s="389"/>
      <c r="AB22" s="389"/>
      <c r="AC22" s="389"/>
      <c r="AD22" s="389"/>
      <c r="AE22" s="389"/>
      <c r="AF22" s="389"/>
      <c r="AG22" s="389"/>
      <c r="AH22" s="389"/>
      <c r="AI22" s="389"/>
      <c r="AJ22" s="389"/>
      <c r="AK22" s="389"/>
      <c r="AL22" s="389"/>
      <c r="AM22" s="389"/>
      <c r="AN22" s="389"/>
      <c r="AO22" s="390"/>
    </row>
    <row r="23" spans="1:41" ht="7.9" customHeight="1" x14ac:dyDescent="0.2">
      <c r="A23" s="363"/>
      <c r="B23" s="364"/>
      <c r="C23" s="364"/>
      <c r="D23" s="364"/>
      <c r="E23" s="364"/>
      <c r="F23" s="364"/>
      <c r="G23" s="364"/>
      <c r="H23" s="364"/>
      <c r="I23" s="364"/>
      <c r="J23" s="364"/>
      <c r="K23" s="364"/>
      <c r="L23" s="364"/>
      <c r="M23" s="364"/>
      <c r="N23" s="364"/>
      <c r="O23" s="364"/>
      <c r="P23" s="364"/>
      <c r="Q23" s="364"/>
      <c r="R23" s="364"/>
      <c r="S23" s="364"/>
      <c r="T23" s="364"/>
      <c r="U23" s="364"/>
      <c r="V23" s="364"/>
      <c r="W23" s="364"/>
      <c r="X23" s="364"/>
      <c r="Y23" s="364"/>
      <c r="Z23" s="364"/>
      <c r="AA23" s="364"/>
      <c r="AB23" s="364"/>
      <c r="AC23" s="364"/>
      <c r="AD23" s="364"/>
      <c r="AE23" s="364"/>
      <c r="AF23" s="364"/>
      <c r="AG23" s="364"/>
      <c r="AH23" s="364"/>
      <c r="AI23" s="364"/>
      <c r="AJ23" s="364"/>
      <c r="AK23" s="364"/>
      <c r="AL23" s="364"/>
      <c r="AM23" s="364"/>
      <c r="AN23" s="364"/>
      <c r="AO23" s="365"/>
    </row>
    <row r="24" spans="1:41" ht="12.75" customHeight="1" x14ac:dyDescent="0.25">
      <c r="A24" s="23"/>
      <c r="B24" s="393" t="s">
        <v>67</v>
      </c>
      <c r="C24" s="393"/>
      <c r="D24" s="393"/>
      <c r="E24" s="393"/>
      <c r="F24" s="393"/>
      <c r="G24" s="393"/>
      <c r="H24" s="393"/>
      <c r="I24" s="393"/>
      <c r="J24" s="393"/>
      <c r="K24" s="393"/>
      <c r="L24" s="393"/>
      <c r="M24" s="393"/>
      <c r="N24" s="393"/>
      <c r="O24" s="393"/>
      <c r="P24" s="393"/>
      <c r="Q24" s="393"/>
      <c r="R24" s="393"/>
      <c r="S24" s="393"/>
      <c r="T24" s="393"/>
      <c r="U24" s="393"/>
      <c r="V24" s="394"/>
      <c r="W24" s="49" t="str">
        <f>+General!W39</f>
        <v>X</v>
      </c>
      <c r="X24" s="350" t="s">
        <v>68</v>
      </c>
      <c r="Y24" s="351"/>
      <c r="Z24" s="352"/>
      <c r="AA24" s="50">
        <f>+General!AC39</f>
        <v>0</v>
      </c>
      <c r="AB24" s="350" t="s">
        <v>69</v>
      </c>
      <c r="AC24" s="351"/>
      <c r="AD24" s="351"/>
      <c r="AE24" s="351"/>
      <c r="AF24" s="351"/>
      <c r="AG24" s="351"/>
      <c r="AH24" s="351"/>
      <c r="AI24" s="351"/>
      <c r="AJ24" s="351"/>
      <c r="AK24" s="351"/>
      <c r="AL24" s="351"/>
      <c r="AM24" s="351"/>
      <c r="AN24" s="351"/>
      <c r="AO24" s="352"/>
    </row>
    <row r="25" spans="1:41" ht="6.6" customHeight="1" x14ac:dyDescent="0.2">
      <c r="A25" s="353"/>
      <c r="B25" s="354"/>
      <c r="C25" s="354"/>
      <c r="D25" s="354"/>
      <c r="E25" s="354"/>
      <c r="F25" s="354"/>
      <c r="G25" s="354"/>
      <c r="H25" s="354"/>
      <c r="I25" s="354"/>
      <c r="J25" s="354"/>
      <c r="K25" s="354"/>
      <c r="L25" s="354"/>
      <c r="M25" s="354"/>
      <c r="N25" s="354"/>
      <c r="O25" s="354"/>
      <c r="P25" s="354"/>
      <c r="Q25" s="354"/>
      <c r="R25" s="354"/>
      <c r="S25" s="354"/>
      <c r="T25" s="354"/>
      <c r="U25" s="354"/>
      <c r="V25" s="354"/>
      <c r="W25" s="354"/>
      <c r="X25" s="354"/>
      <c r="Y25" s="354"/>
      <c r="Z25" s="354"/>
      <c r="AA25" s="354"/>
      <c r="AB25" s="354"/>
      <c r="AC25" s="354"/>
      <c r="AD25" s="354"/>
      <c r="AE25" s="354"/>
      <c r="AF25" s="354"/>
      <c r="AG25" s="354"/>
      <c r="AH25" s="354"/>
      <c r="AI25" s="354"/>
      <c r="AJ25" s="354"/>
      <c r="AK25" s="354"/>
      <c r="AL25" s="354"/>
      <c r="AM25" s="354"/>
      <c r="AN25" s="354"/>
      <c r="AO25" s="355"/>
    </row>
    <row r="26" spans="1:41" ht="12.75" customHeight="1" x14ac:dyDescent="0.2">
      <c r="A26" s="6"/>
      <c r="B26" s="384" t="s">
        <v>70</v>
      </c>
      <c r="C26" s="384"/>
      <c r="D26" s="384"/>
      <c r="E26" s="384"/>
      <c r="F26" s="384"/>
      <c r="G26" s="384"/>
      <c r="H26" s="384"/>
      <c r="I26" s="384"/>
      <c r="J26" s="384"/>
      <c r="K26" s="384"/>
      <c r="L26" s="384"/>
      <c r="M26" s="384"/>
      <c r="N26" s="384"/>
      <c r="O26" s="384"/>
      <c r="P26" s="384"/>
      <c r="Q26" s="384"/>
      <c r="R26" s="384"/>
      <c r="S26" s="384"/>
      <c r="T26" s="384"/>
      <c r="U26" s="384"/>
      <c r="V26" s="384"/>
      <c r="W26" s="384"/>
      <c r="X26" s="384"/>
      <c r="Y26" s="384"/>
      <c r="Z26" s="384"/>
      <c r="AA26" s="384"/>
      <c r="AB26" s="384"/>
      <c r="AC26" s="384"/>
      <c r="AD26" s="384"/>
      <c r="AE26" s="384"/>
      <c r="AF26" s="384"/>
      <c r="AG26" s="384"/>
      <c r="AH26" s="384"/>
      <c r="AI26" s="384"/>
      <c r="AJ26" s="384"/>
      <c r="AK26" s="384"/>
      <c r="AL26" s="384"/>
      <c r="AM26" s="384"/>
      <c r="AN26" s="384"/>
      <c r="AO26" s="385"/>
    </row>
    <row r="27" spans="1:41" ht="12.75" customHeight="1" x14ac:dyDescent="0.2">
      <c r="A27" s="51"/>
      <c r="B27" s="52" t="str">
        <f>IF(General!B30="X","YES",General!J30)</f>
        <v>YES</v>
      </c>
      <c r="C27" s="5"/>
      <c r="D27" s="5"/>
      <c r="E27" s="5"/>
      <c r="F27" s="5"/>
      <c r="G27" s="5"/>
      <c r="H27" s="5"/>
      <c r="I27" s="5"/>
      <c r="J27" s="5"/>
      <c r="K27" s="5"/>
      <c r="L27" s="5"/>
      <c r="M27" s="5"/>
      <c r="N27" s="5"/>
      <c r="O27" s="9"/>
      <c r="P27" s="9"/>
      <c r="Q27" s="9"/>
      <c r="R27" s="9"/>
      <c r="S27" s="9"/>
      <c r="T27" s="9"/>
      <c r="U27" s="9"/>
      <c r="V27" s="9"/>
      <c r="W27" s="9"/>
      <c r="X27" s="9"/>
      <c r="Y27" s="9"/>
      <c r="Z27" s="9"/>
      <c r="AA27" s="9"/>
      <c r="AB27" s="9"/>
      <c r="AC27" s="9"/>
      <c r="AD27" s="9"/>
      <c r="AE27" s="9"/>
      <c r="AF27" s="9"/>
      <c r="AG27" s="9"/>
      <c r="AH27" s="9"/>
      <c r="AI27" s="9"/>
      <c r="AJ27" s="9"/>
      <c r="AK27" s="9"/>
      <c r="AL27" s="9"/>
      <c r="AM27" s="9"/>
      <c r="AN27" s="9"/>
      <c r="AO27" s="10"/>
    </row>
    <row r="28" spans="1:41" ht="12.75" customHeight="1" x14ac:dyDescent="0.2">
      <c r="A28" s="6"/>
      <c r="B28" s="384" t="s">
        <v>71</v>
      </c>
      <c r="C28" s="384"/>
      <c r="D28" s="384"/>
      <c r="E28" s="384"/>
      <c r="F28" s="384"/>
      <c r="G28" s="384"/>
      <c r="H28" s="384"/>
      <c r="I28" s="384"/>
      <c r="J28" s="384"/>
      <c r="K28" s="384"/>
      <c r="L28" s="384"/>
      <c r="M28" s="384"/>
      <c r="N28" s="384"/>
      <c r="O28" s="384"/>
      <c r="P28" s="384"/>
      <c r="Q28" s="384"/>
      <c r="R28" s="384"/>
      <c r="S28" s="384" t="s">
        <v>72</v>
      </c>
      <c r="T28" s="384"/>
      <c r="U28" s="384"/>
      <c r="V28" s="384"/>
      <c r="W28" s="384"/>
      <c r="X28" s="384"/>
      <c r="Y28" s="384"/>
      <c r="Z28" s="384"/>
      <c r="AA28" s="384"/>
      <c r="AB28" s="384"/>
      <c r="AC28" s="322" t="s">
        <v>73</v>
      </c>
      <c r="AD28" s="322"/>
      <c r="AE28" s="322"/>
      <c r="AF28" s="322"/>
      <c r="AG28" s="322"/>
      <c r="AH28" s="322"/>
      <c r="AI28" s="322"/>
      <c r="AJ28" s="322"/>
      <c r="AK28" s="322"/>
      <c r="AL28" s="322"/>
      <c r="AM28" s="322"/>
      <c r="AN28" s="322"/>
      <c r="AO28" s="323"/>
    </row>
    <row r="29" spans="1:41" ht="12.75" customHeight="1" x14ac:dyDescent="0.2">
      <c r="A29" s="8"/>
      <c r="B29" s="15"/>
      <c r="C29" s="15"/>
      <c r="D29" s="16"/>
      <c r="E29" s="360"/>
      <c r="F29" s="360"/>
      <c r="G29" s="360"/>
      <c r="H29" s="360"/>
      <c r="I29" s="360"/>
      <c r="J29" s="360"/>
      <c r="K29" s="360"/>
      <c r="L29" s="360"/>
      <c r="M29" s="360"/>
      <c r="N29" s="360"/>
      <c r="O29" s="360"/>
      <c r="P29" s="360"/>
      <c r="Q29" s="360"/>
      <c r="R29" s="360"/>
      <c r="S29" s="360"/>
      <c r="T29" s="360"/>
      <c r="U29" s="360"/>
      <c r="V29" s="360"/>
      <c r="W29" s="360"/>
      <c r="X29" s="360"/>
      <c r="Y29" s="360"/>
      <c r="Z29" s="360"/>
      <c r="AA29" s="360"/>
      <c r="AB29" s="360"/>
      <c r="AC29" s="360"/>
      <c r="AD29" s="360"/>
      <c r="AE29" s="360"/>
      <c r="AF29" s="391"/>
      <c r="AG29" s="391"/>
      <c r="AH29" s="391"/>
      <c r="AI29" s="391"/>
      <c r="AJ29" s="391"/>
      <c r="AK29" s="391"/>
      <c r="AL29" s="391"/>
      <c r="AM29" s="391"/>
      <c r="AN29" s="391"/>
      <c r="AO29" s="392"/>
    </row>
    <row r="30" spans="1:41" ht="12.75" customHeight="1" x14ac:dyDescent="0.2">
      <c r="A30" s="363"/>
      <c r="B30" s="322" t="s">
        <v>74</v>
      </c>
      <c r="C30" s="322"/>
      <c r="D30" s="322"/>
      <c r="E30" s="322"/>
      <c r="F30" s="322"/>
      <c r="G30" s="322"/>
      <c r="H30" s="322"/>
      <c r="I30" s="322"/>
      <c r="J30" s="322"/>
      <c r="K30" s="322"/>
      <c r="L30" s="322"/>
      <c r="M30" s="322"/>
      <c r="N30" s="322"/>
      <c r="O30" s="322"/>
      <c r="P30" s="322"/>
      <c r="Q30" s="322"/>
      <c r="R30" s="322"/>
      <c r="S30" s="322"/>
      <c r="T30" s="322"/>
      <c r="U30" s="322"/>
      <c r="V30" s="322"/>
      <c r="W30" s="322"/>
      <c r="X30" s="322"/>
      <c r="Y30" s="322"/>
      <c r="Z30" s="322"/>
      <c r="AA30" s="322"/>
      <c r="AB30" s="322"/>
      <c r="AC30" s="322"/>
      <c r="AD30" s="322"/>
      <c r="AE30" s="322"/>
      <c r="AF30" s="322"/>
      <c r="AG30" s="322"/>
      <c r="AH30" s="322"/>
      <c r="AI30" s="322"/>
      <c r="AJ30" s="322"/>
      <c r="AK30" s="322"/>
      <c r="AL30" s="322"/>
      <c r="AM30" s="322"/>
      <c r="AN30" s="322"/>
      <c r="AO30" s="323"/>
    </row>
    <row r="31" spans="1:41" ht="12.75" customHeight="1" x14ac:dyDescent="0.2">
      <c r="A31" s="353"/>
      <c r="B31" s="357"/>
      <c r="C31" s="357"/>
      <c r="D31" s="357"/>
      <c r="E31" s="357"/>
      <c r="F31" s="357"/>
      <c r="G31" s="357"/>
      <c r="H31" s="357"/>
      <c r="I31" s="357"/>
      <c r="J31" s="357"/>
      <c r="K31" s="357"/>
      <c r="L31" s="357"/>
      <c r="M31" s="357"/>
      <c r="N31" s="357"/>
      <c r="O31" s="357"/>
      <c r="P31" s="357"/>
      <c r="Q31" s="357"/>
      <c r="R31" s="357"/>
      <c r="S31" s="357"/>
      <c r="T31" s="357"/>
      <c r="U31" s="357"/>
      <c r="V31" s="357"/>
      <c r="W31" s="357"/>
      <c r="X31" s="357"/>
      <c r="Y31" s="357"/>
      <c r="Z31" s="357"/>
      <c r="AA31" s="357"/>
      <c r="AB31" s="357"/>
      <c r="AC31" s="357"/>
      <c r="AD31" s="357"/>
      <c r="AE31" s="357"/>
      <c r="AF31" s="357"/>
      <c r="AG31" s="357"/>
      <c r="AH31" s="357"/>
      <c r="AI31" s="357"/>
      <c r="AJ31" s="357"/>
      <c r="AK31" s="357"/>
      <c r="AL31" s="357"/>
      <c r="AM31" s="357"/>
      <c r="AN31" s="357"/>
      <c r="AO31" s="358"/>
    </row>
    <row r="32" spans="1:41" ht="12.75" customHeight="1" x14ac:dyDescent="0.2">
      <c r="A32" s="363"/>
      <c r="B32" s="364"/>
      <c r="C32" s="364"/>
      <c r="D32" s="364"/>
      <c r="E32" s="364"/>
      <c r="F32" s="364"/>
      <c r="G32" s="364"/>
      <c r="H32" s="364"/>
      <c r="I32" s="364"/>
      <c r="J32" s="364"/>
      <c r="K32" s="364"/>
      <c r="L32" s="364"/>
      <c r="M32" s="365"/>
      <c r="N32" s="395" t="s">
        <v>75</v>
      </c>
      <c r="O32" s="396"/>
      <c r="P32" s="396"/>
      <c r="Q32" s="396"/>
      <c r="R32" s="396"/>
      <c r="S32" s="397"/>
      <c r="T32" s="398"/>
      <c r="U32" s="399"/>
      <c r="V32" s="399"/>
      <c r="W32" s="399"/>
      <c r="X32" s="399"/>
      <c r="Y32" s="399"/>
      <c r="Z32" s="399"/>
      <c r="AA32" s="399"/>
      <c r="AB32" s="399"/>
      <c r="AC32" s="399"/>
      <c r="AD32" s="400"/>
      <c r="AE32" s="363" t="s">
        <v>76</v>
      </c>
      <c r="AF32" s="364"/>
      <c r="AG32" s="364"/>
      <c r="AH32" s="364"/>
      <c r="AI32" s="364"/>
      <c r="AJ32" s="365"/>
      <c r="AK32" s="398"/>
      <c r="AL32" s="399"/>
      <c r="AM32" s="399"/>
      <c r="AN32" s="399"/>
      <c r="AO32" s="400"/>
    </row>
    <row r="33" spans="1:41" ht="12.75" customHeight="1" x14ac:dyDescent="0.2">
      <c r="A33" s="401" t="s">
        <v>77</v>
      </c>
      <c r="B33" s="402"/>
      <c r="C33" s="402"/>
      <c r="D33" s="402"/>
      <c r="E33" s="402"/>
      <c r="F33" s="402"/>
      <c r="G33" s="402"/>
      <c r="H33" s="402"/>
      <c r="I33" s="402"/>
      <c r="J33" s="402"/>
      <c r="K33" s="402"/>
      <c r="L33" s="402"/>
      <c r="N33" s="403">
        <f>+General!M18</f>
        <v>189.99</v>
      </c>
      <c r="O33" s="404"/>
      <c r="P33" s="404"/>
      <c r="Q33" s="404"/>
      <c r="R33" s="404"/>
      <c r="S33" s="53"/>
      <c r="T33" s="401" t="s">
        <v>78</v>
      </c>
      <c r="U33" s="402"/>
      <c r="V33" s="402"/>
      <c r="W33" s="402"/>
      <c r="X33" s="402"/>
      <c r="Y33" s="402"/>
      <c r="Z33" s="402"/>
      <c r="AA33" s="402"/>
      <c r="AB33" s="402"/>
      <c r="AC33" s="402"/>
      <c r="AD33" s="25"/>
      <c r="AE33" s="405">
        <f>+General!AG18</f>
        <v>220</v>
      </c>
      <c r="AF33" s="406"/>
      <c r="AG33" s="406"/>
      <c r="AH33" s="406"/>
      <c r="AI33" s="406"/>
      <c r="AJ33" s="53"/>
      <c r="AK33" s="286"/>
      <c r="AL33" s="272"/>
      <c r="AM33" s="272"/>
      <c r="AN33" s="272"/>
      <c r="AO33" s="287"/>
    </row>
    <row r="34" spans="1:41" ht="12.75" customHeight="1" x14ac:dyDescent="0.2">
      <c r="A34" s="401" t="s">
        <v>79</v>
      </c>
      <c r="B34" s="402"/>
      <c r="C34" s="402"/>
      <c r="D34" s="402"/>
      <c r="E34" s="402"/>
      <c r="F34" s="402"/>
      <c r="G34" s="402"/>
      <c r="H34" s="402"/>
      <c r="I34" s="402"/>
      <c r="J34" s="402"/>
      <c r="K34" s="402"/>
      <c r="L34" s="402"/>
      <c r="N34" s="403">
        <f>+General!M19</f>
        <v>182.96</v>
      </c>
      <c r="O34" s="404"/>
      <c r="P34" s="404"/>
      <c r="Q34" s="404"/>
      <c r="R34" s="404"/>
      <c r="S34" s="53"/>
      <c r="T34" s="401" t="s">
        <v>80</v>
      </c>
      <c r="U34" s="402"/>
      <c r="V34" s="402"/>
      <c r="W34" s="402"/>
      <c r="X34" s="402"/>
      <c r="Y34" s="402"/>
      <c r="Z34" s="402"/>
      <c r="AA34" s="402"/>
      <c r="AB34" s="402"/>
      <c r="AC34" s="402"/>
      <c r="AD34" s="25"/>
      <c r="AE34" s="405">
        <f>+General!AG19</f>
        <v>300</v>
      </c>
      <c r="AF34" s="406"/>
      <c r="AG34" s="406"/>
      <c r="AH34" s="406"/>
      <c r="AI34" s="406"/>
      <c r="AJ34" s="53"/>
      <c r="AK34" s="286"/>
      <c r="AL34" s="272"/>
      <c r="AM34" s="272"/>
      <c r="AN34" s="272"/>
      <c r="AO34" s="287"/>
    </row>
    <row r="35" spans="1:41" ht="12.75" customHeight="1" x14ac:dyDescent="0.2">
      <c r="A35" s="401" t="s">
        <v>81</v>
      </c>
      <c r="B35" s="402"/>
      <c r="C35" s="402"/>
      <c r="D35" s="402"/>
      <c r="E35" s="402"/>
      <c r="F35" s="402"/>
      <c r="G35" s="402"/>
      <c r="H35" s="402"/>
      <c r="I35" s="402"/>
      <c r="J35" s="402"/>
      <c r="K35" s="402"/>
      <c r="L35" s="402"/>
      <c r="N35" s="403">
        <f>+General!M20</f>
        <v>0</v>
      </c>
      <c r="O35" s="404"/>
      <c r="P35" s="404"/>
      <c r="Q35" s="404"/>
      <c r="R35" s="404"/>
      <c r="S35" s="53"/>
      <c r="T35" s="401" t="s">
        <v>82</v>
      </c>
      <c r="U35" s="402"/>
      <c r="V35" s="402"/>
      <c r="W35" s="402"/>
      <c r="X35" s="402"/>
      <c r="Y35" s="402"/>
      <c r="Z35" s="402"/>
      <c r="AA35" s="402"/>
      <c r="AB35" s="402"/>
      <c r="AC35" s="402"/>
      <c r="AD35" s="25"/>
      <c r="AE35" s="405">
        <f>+General!AG20</f>
        <v>10787</v>
      </c>
      <c r="AF35" s="406"/>
      <c r="AG35" s="406"/>
      <c r="AH35" s="406"/>
      <c r="AI35" s="406"/>
      <c r="AJ35" s="53"/>
      <c r="AK35" s="286"/>
      <c r="AL35" s="272"/>
      <c r="AM35" s="272"/>
      <c r="AN35" s="272"/>
      <c r="AO35" s="287"/>
    </row>
    <row r="36" spans="1:41" ht="12.75" customHeight="1" x14ac:dyDescent="0.2">
      <c r="A36" s="401" t="s">
        <v>83</v>
      </c>
      <c r="B36" s="402"/>
      <c r="C36" s="402"/>
      <c r="D36" s="402"/>
      <c r="E36" s="402"/>
      <c r="F36" s="402"/>
      <c r="G36" s="402"/>
      <c r="H36" s="402"/>
      <c r="I36" s="402"/>
      <c r="J36" s="402"/>
      <c r="K36" s="402"/>
      <c r="L36" s="402"/>
      <c r="N36" s="403">
        <f>+General!M21</f>
        <v>28.3</v>
      </c>
      <c r="O36" s="404"/>
      <c r="P36" s="404"/>
      <c r="Q36" s="404"/>
      <c r="R36" s="404"/>
      <c r="S36" s="53"/>
      <c r="T36" s="401" t="s">
        <v>84</v>
      </c>
      <c r="U36" s="402"/>
      <c r="V36" s="402"/>
      <c r="W36" s="402"/>
      <c r="X36" s="402"/>
      <c r="Y36" s="402"/>
      <c r="Z36" s="402"/>
      <c r="AA36" s="402"/>
      <c r="AB36" s="402"/>
      <c r="AC36" s="402"/>
      <c r="AD36" s="25"/>
      <c r="AE36" s="405">
        <f>+General!AG21</f>
        <v>10787</v>
      </c>
      <c r="AF36" s="406"/>
      <c r="AG36" s="406"/>
      <c r="AH36" s="406"/>
      <c r="AI36" s="406"/>
      <c r="AJ36" s="53"/>
      <c r="AK36" s="286"/>
      <c r="AL36" s="272"/>
      <c r="AM36" s="272"/>
      <c r="AN36" s="272"/>
      <c r="AO36" s="287"/>
    </row>
    <row r="37" spans="1:41" ht="12.75" customHeight="1" x14ac:dyDescent="0.2">
      <c r="A37" s="407" t="s">
        <v>85</v>
      </c>
      <c r="B37" s="408"/>
      <c r="C37" s="408"/>
      <c r="D37" s="408"/>
      <c r="E37" s="408"/>
      <c r="F37" s="408"/>
      <c r="G37" s="408"/>
      <c r="H37" s="408"/>
      <c r="I37" s="408"/>
      <c r="J37" s="408"/>
      <c r="K37" s="408"/>
      <c r="L37" s="408"/>
      <c r="N37" s="403">
        <f>+General!M22</f>
        <v>0</v>
      </c>
      <c r="O37" s="404"/>
      <c r="P37" s="404"/>
      <c r="Q37" s="404"/>
      <c r="R37" s="404"/>
      <c r="S37" s="53"/>
      <c r="T37" s="401" t="s">
        <v>86</v>
      </c>
      <c r="U37" s="402"/>
      <c r="V37" s="402"/>
      <c r="W37" s="402"/>
      <c r="X37" s="402"/>
      <c r="Y37" s="402"/>
      <c r="Z37" s="402"/>
      <c r="AA37" s="402"/>
      <c r="AB37" s="402"/>
      <c r="AC37" s="402"/>
      <c r="AD37" s="25"/>
      <c r="AE37" s="405">
        <f>+General!AG22</f>
        <v>46970</v>
      </c>
      <c r="AF37" s="406"/>
      <c r="AG37" s="406"/>
      <c r="AH37" s="406"/>
      <c r="AI37" s="406"/>
      <c r="AJ37" s="53"/>
      <c r="AK37" s="286"/>
      <c r="AL37" s="272"/>
      <c r="AM37" s="272"/>
      <c r="AN37" s="272"/>
      <c r="AO37" s="287"/>
    </row>
    <row r="38" spans="1:41" ht="12.75" customHeight="1" x14ac:dyDescent="0.2">
      <c r="A38" s="401" t="s">
        <v>87</v>
      </c>
      <c r="B38" s="402"/>
      <c r="C38" s="402"/>
      <c r="D38" s="402"/>
      <c r="E38" s="402"/>
      <c r="F38" s="402"/>
      <c r="G38" s="402"/>
      <c r="H38" s="402"/>
      <c r="I38" s="402"/>
      <c r="J38" s="402"/>
      <c r="K38" s="402"/>
      <c r="L38" s="402"/>
      <c r="N38" s="403">
        <f>+General!M23</f>
        <v>18.2</v>
      </c>
      <c r="O38" s="404"/>
      <c r="P38" s="404"/>
      <c r="Q38" s="404"/>
      <c r="R38" s="404"/>
      <c r="S38" s="53"/>
      <c r="T38" s="401" t="s">
        <v>88</v>
      </c>
      <c r="U38" s="402"/>
      <c r="V38" s="402"/>
      <c r="W38" s="402"/>
      <c r="X38" s="402"/>
      <c r="Y38" s="402"/>
      <c r="Z38" s="402"/>
      <c r="AA38" s="402"/>
      <c r="AB38" s="402"/>
      <c r="AC38" s="402"/>
      <c r="AD38" s="25"/>
      <c r="AE38" s="415">
        <f>+General!AG23</f>
        <v>37205</v>
      </c>
      <c r="AF38" s="416"/>
      <c r="AG38" s="416"/>
      <c r="AH38" s="416"/>
      <c r="AI38" s="416"/>
      <c r="AJ38" s="55"/>
      <c r="AK38" s="286"/>
      <c r="AL38" s="272"/>
      <c r="AM38" s="272"/>
      <c r="AN38" s="272"/>
      <c r="AO38" s="287"/>
    </row>
    <row r="39" spans="1:41" ht="12.75" customHeight="1" x14ac:dyDescent="0.2">
      <c r="A39" s="401" t="s">
        <v>89</v>
      </c>
      <c r="B39" s="402"/>
      <c r="C39" s="402"/>
      <c r="D39" s="402"/>
      <c r="E39" s="402"/>
      <c r="F39" s="402"/>
      <c r="G39" s="402"/>
      <c r="H39" s="402"/>
      <c r="I39" s="402"/>
      <c r="J39" s="402"/>
      <c r="K39" s="402"/>
      <c r="L39" s="402"/>
      <c r="N39" s="403">
        <f>+General!M24</f>
        <v>10.5</v>
      </c>
      <c r="O39" s="404"/>
      <c r="P39" s="404"/>
      <c r="Q39" s="404"/>
      <c r="R39" s="404"/>
      <c r="S39" s="53"/>
      <c r="T39" s="401" t="s">
        <v>90</v>
      </c>
      <c r="U39" s="402"/>
      <c r="V39" s="402"/>
      <c r="W39" s="402"/>
      <c r="X39" s="402"/>
      <c r="Y39" s="402"/>
      <c r="Z39" s="402"/>
      <c r="AA39" s="402"/>
      <c r="AB39" s="402"/>
      <c r="AC39" s="402"/>
      <c r="AD39" s="25"/>
      <c r="AE39" s="417">
        <f>+General!AG24</f>
        <v>12205</v>
      </c>
      <c r="AF39" s="418"/>
      <c r="AG39" s="418"/>
      <c r="AH39" s="418"/>
      <c r="AI39" s="418"/>
      <c r="AJ39" s="56"/>
      <c r="AK39" s="286"/>
      <c r="AL39" s="272"/>
      <c r="AM39" s="272"/>
      <c r="AN39" s="272"/>
      <c r="AO39" s="287"/>
    </row>
    <row r="40" spans="1:41" ht="12.75" customHeight="1" x14ac:dyDescent="0.2">
      <c r="A40" s="407" t="s">
        <v>91</v>
      </c>
      <c r="B40" s="408"/>
      <c r="C40" s="408"/>
      <c r="D40" s="408"/>
      <c r="E40" s="408"/>
      <c r="F40" s="408"/>
      <c r="G40" s="408"/>
      <c r="H40" s="408"/>
      <c r="I40" s="408"/>
      <c r="J40" s="408"/>
      <c r="K40" s="408"/>
      <c r="L40" s="408"/>
      <c r="N40" s="403">
        <f>+General!M25</f>
        <v>4.7320000000000002</v>
      </c>
      <c r="O40" s="404"/>
      <c r="P40" s="404"/>
      <c r="Q40" s="404"/>
      <c r="R40" s="404"/>
      <c r="S40" s="53"/>
      <c r="T40" s="401" t="s">
        <v>92</v>
      </c>
      <c r="U40" s="402"/>
      <c r="V40" s="402"/>
      <c r="W40" s="402"/>
      <c r="X40" s="402"/>
      <c r="Y40" s="402"/>
      <c r="Z40" s="402"/>
      <c r="AA40" s="402"/>
      <c r="AB40" s="402"/>
      <c r="AC40" s="402"/>
      <c r="AD40" s="25"/>
      <c r="AE40" s="405">
        <f>+General!AG25</f>
        <v>24196</v>
      </c>
      <c r="AF40" s="406"/>
      <c r="AG40" s="406"/>
      <c r="AH40" s="406"/>
      <c r="AI40" s="406"/>
      <c r="AJ40" s="53"/>
      <c r="AK40" s="286"/>
      <c r="AL40" s="272"/>
      <c r="AM40" s="272"/>
      <c r="AN40" s="272"/>
      <c r="AO40" s="287"/>
    </row>
    <row r="41" spans="1:41" ht="12.75" customHeight="1" x14ac:dyDescent="0.2">
      <c r="A41" s="353"/>
      <c r="B41" s="354"/>
      <c r="C41" s="354"/>
      <c r="D41" s="354"/>
      <c r="E41" s="354"/>
      <c r="F41" s="354"/>
      <c r="G41" s="354"/>
      <c r="H41" s="354"/>
      <c r="I41" s="354"/>
      <c r="J41" s="354"/>
      <c r="K41" s="354"/>
      <c r="L41" s="354"/>
      <c r="M41" s="355"/>
      <c r="N41" s="409"/>
      <c r="O41" s="410"/>
      <c r="P41" s="410"/>
      <c r="Q41" s="410"/>
      <c r="R41" s="410"/>
      <c r="S41" s="411"/>
      <c r="T41" s="17"/>
      <c r="U41" s="17"/>
      <c r="V41" s="17"/>
      <c r="W41" s="17"/>
      <c r="X41" s="17"/>
      <c r="Y41" s="16"/>
      <c r="Z41" s="16"/>
      <c r="AA41" s="16"/>
      <c r="AB41" s="16"/>
      <c r="AC41" s="57"/>
      <c r="AD41" s="16"/>
      <c r="AE41" s="58"/>
      <c r="AF41" s="59"/>
      <c r="AG41" s="17"/>
      <c r="AH41" s="17"/>
      <c r="AI41" s="59"/>
      <c r="AJ41" s="55"/>
      <c r="AK41" s="412"/>
      <c r="AL41" s="413"/>
      <c r="AM41" s="413"/>
      <c r="AN41" s="413"/>
      <c r="AO41" s="414"/>
    </row>
    <row r="42" spans="1:41" ht="12.75" customHeight="1" x14ac:dyDescent="0.2">
      <c r="A42" s="363"/>
      <c r="B42" s="364"/>
      <c r="C42" s="364"/>
      <c r="D42" s="364"/>
      <c r="E42" s="364"/>
      <c r="F42" s="364"/>
      <c r="G42" s="364"/>
      <c r="H42" s="364"/>
      <c r="I42" s="364"/>
      <c r="J42" s="364"/>
      <c r="K42" s="364"/>
      <c r="L42" s="364"/>
      <c r="M42" s="364"/>
      <c r="N42" s="364"/>
      <c r="O42" s="364"/>
      <c r="P42" s="364"/>
      <c r="Q42" s="364"/>
      <c r="R42" s="364"/>
      <c r="S42" s="364" t="s">
        <v>31</v>
      </c>
      <c r="T42" s="364"/>
      <c r="U42" s="364"/>
      <c r="V42" s="364"/>
      <c r="W42" s="364"/>
      <c r="X42" s="364"/>
      <c r="Y42" s="364"/>
      <c r="Z42" s="399"/>
      <c r="AA42" s="399"/>
      <c r="AB42" s="399"/>
      <c r="AC42" s="364" t="s">
        <v>32</v>
      </c>
      <c r="AD42" s="364" t="s">
        <v>32</v>
      </c>
      <c r="AE42" s="364"/>
      <c r="AF42" s="364"/>
      <c r="AG42" s="364"/>
      <c r="AH42" s="364"/>
      <c r="AI42" s="364"/>
      <c r="AJ42" s="399"/>
      <c r="AK42" s="399"/>
      <c r="AL42" s="399"/>
      <c r="AM42" s="399"/>
      <c r="AN42" s="399"/>
      <c r="AO42" s="400"/>
    </row>
    <row r="43" spans="1:41" ht="12.75" customHeight="1" x14ac:dyDescent="0.2">
      <c r="A43" s="407" t="s">
        <v>93</v>
      </c>
      <c r="B43" s="408"/>
      <c r="C43" s="408"/>
      <c r="D43" s="408"/>
      <c r="E43" s="408"/>
      <c r="F43" s="408"/>
      <c r="G43" s="408"/>
      <c r="H43" s="408"/>
      <c r="I43" s="408"/>
      <c r="J43" s="408"/>
      <c r="K43" s="408"/>
      <c r="L43" s="408"/>
      <c r="M43" s="408"/>
      <c r="N43" s="408"/>
      <c r="O43" s="408"/>
      <c r="P43" s="408"/>
      <c r="Q43" s="408"/>
      <c r="S43" s="419">
        <f>+Draft!E16</f>
        <v>59.643231487686379</v>
      </c>
      <c r="T43" s="420"/>
      <c r="U43" s="420"/>
      <c r="V43" s="420"/>
      <c r="W43" s="420"/>
      <c r="X43" s="413"/>
      <c r="Y43" s="413"/>
      <c r="Z43" s="272"/>
      <c r="AA43" s="272"/>
      <c r="AB43" s="272"/>
      <c r="AC43" s="419">
        <f>+Draft!AD16</f>
        <v>55.118544741581502</v>
      </c>
      <c r="AD43" s="420"/>
      <c r="AE43" s="420"/>
      <c r="AF43" s="420"/>
      <c r="AG43" s="420"/>
      <c r="AH43" s="413"/>
      <c r="AI43" s="413"/>
      <c r="AJ43" s="272"/>
      <c r="AK43" s="272"/>
      <c r="AL43" s="272"/>
      <c r="AM43" s="272"/>
      <c r="AN43" s="272"/>
      <c r="AO43" s="287"/>
    </row>
    <row r="44" spans="1:41" ht="12.75" customHeight="1" x14ac:dyDescent="0.2">
      <c r="A44" s="401" t="s">
        <v>94</v>
      </c>
      <c r="B44" s="402"/>
      <c r="C44" s="402"/>
      <c r="D44" s="402"/>
      <c r="E44" s="402"/>
      <c r="F44" s="402"/>
      <c r="G44" s="402"/>
      <c r="H44" s="402"/>
      <c r="I44" s="402"/>
      <c r="J44" s="402"/>
      <c r="K44" s="402"/>
      <c r="L44" s="402"/>
      <c r="M44" s="402"/>
      <c r="N44" s="402"/>
      <c r="O44" s="402"/>
      <c r="P44" s="402"/>
      <c r="Q44" s="402"/>
      <c r="S44" s="419">
        <f>+Draft!A16</f>
        <v>1.5318166778354829</v>
      </c>
      <c r="T44" s="420"/>
      <c r="U44" s="420"/>
      <c r="V44" s="420"/>
      <c r="W44" s="420"/>
      <c r="X44" s="413"/>
      <c r="Y44" s="413"/>
      <c r="Z44" s="272"/>
      <c r="AA44" s="272"/>
      <c r="AB44" s="272"/>
      <c r="AC44" s="419">
        <f>+Draft!Z16</f>
        <v>-6.1080067850561237</v>
      </c>
      <c r="AD44" s="420"/>
      <c r="AE44" s="420"/>
      <c r="AF44" s="420"/>
      <c r="AG44" s="420"/>
      <c r="AH44" s="413"/>
      <c r="AI44" s="413"/>
      <c r="AJ44" s="272"/>
      <c r="AK44" s="272"/>
      <c r="AL44" s="272"/>
      <c r="AM44" s="272"/>
      <c r="AN44" s="272"/>
      <c r="AO44" s="287"/>
    </row>
    <row r="45" spans="1:41" ht="12.75" customHeight="1" x14ac:dyDescent="0.2">
      <c r="A45" s="401" t="s">
        <v>95</v>
      </c>
      <c r="B45" s="402"/>
      <c r="C45" s="402"/>
      <c r="D45" s="402"/>
      <c r="E45" s="402"/>
      <c r="F45" s="402"/>
      <c r="G45" s="402"/>
      <c r="H45" s="402"/>
      <c r="I45" s="402"/>
      <c r="J45" s="402"/>
      <c r="K45" s="402"/>
      <c r="L45" s="402"/>
      <c r="M45" s="402"/>
      <c r="N45" s="402"/>
      <c r="O45" s="402"/>
      <c r="P45" s="402"/>
      <c r="Q45" s="402"/>
      <c r="S45" s="419">
        <f>+Draft!V8</f>
        <v>3.48</v>
      </c>
      <c r="T45" s="420"/>
      <c r="U45" s="420"/>
      <c r="V45" s="420"/>
      <c r="W45" s="420"/>
      <c r="X45" s="413"/>
      <c r="Y45" s="413"/>
      <c r="Z45" s="272"/>
      <c r="AA45" s="272"/>
      <c r="AB45" s="272"/>
      <c r="AC45" s="419">
        <f>+Draft!AU8</f>
        <v>3.48</v>
      </c>
      <c r="AD45" s="420"/>
      <c r="AE45" s="420"/>
      <c r="AF45" s="420"/>
      <c r="AG45" s="420"/>
      <c r="AH45" s="413"/>
      <c r="AI45" s="413"/>
      <c r="AJ45" s="272"/>
      <c r="AK45" s="272"/>
      <c r="AL45" s="272"/>
      <c r="AM45" s="272"/>
      <c r="AN45" s="272"/>
      <c r="AO45" s="287"/>
    </row>
    <row r="46" spans="1:41" ht="12.75" customHeight="1" x14ac:dyDescent="0.2">
      <c r="A46" s="401" t="s">
        <v>96</v>
      </c>
      <c r="B46" s="402"/>
      <c r="C46" s="402"/>
      <c r="D46" s="402"/>
      <c r="E46" s="402"/>
      <c r="F46" s="402"/>
      <c r="G46" s="402"/>
      <c r="H46" s="402"/>
      <c r="I46" s="402"/>
      <c r="J46" s="402"/>
      <c r="K46" s="402"/>
      <c r="L46" s="402"/>
      <c r="M46" s="402"/>
      <c r="N46" s="402"/>
      <c r="O46" s="402"/>
      <c r="P46" s="402"/>
      <c r="Q46" s="402"/>
      <c r="S46" s="419">
        <f>+Draft!V10</f>
        <v>13.95</v>
      </c>
      <c r="T46" s="420"/>
      <c r="U46" s="420"/>
      <c r="V46" s="420"/>
      <c r="W46" s="420"/>
      <c r="X46" s="413"/>
      <c r="Y46" s="413"/>
      <c r="Z46" s="272"/>
      <c r="AA46" s="272"/>
      <c r="AB46" s="272"/>
      <c r="AC46" s="419">
        <f>+Draft!AU10</f>
        <v>13.95</v>
      </c>
      <c r="AD46" s="420"/>
      <c r="AE46" s="420"/>
      <c r="AF46" s="420"/>
      <c r="AG46" s="420"/>
      <c r="AH46" s="413"/>
      <c r="AI46" s="413"/>
      <c r="AJ46" s="272"/>
      <c r="AK46" s="272"/>
      <c r="AL46" s="272"/>
      <c r="AM46" s="272"/>
      <c r="AN46" s="272"/>
      <c r="AO46" s="287"/>
    </row>
    <row r="47" spans="1:41" ht="12.75" customHeight="1" x14ac:dyDescent="0.2">
      <c r="A47" s="401" t="s">
        <v>97</v>
      </c>
      <c r="B47" s="402"/>
      <c r="C47" s="402"/>
      <c r="D47" s="402"/>
      <c r="E47" s="402"/>
      <c r="F47" s="402"/>
      <c r="G47" s="402"/>
      <c r="H47" s="402"/>
      <c r="I47" s="402"/>
      <c r="J47" s="402"/>
      <c r="K47" s="402"/>
      <c r="L47" s="402"/>
      <c r="M47" s="402"/>
      <c r="N47" s="402"/>
      <c r="O47" s="402"/>
      <c r="P47" s="402"/>
      <c r="Q47" s="402"/>
      <c r="S47" s="419">
        <f>+Draft!V9</f>
        <v>0.5</v>
      </c>
      <c r="T47" s="420"/>
      <c r="U47" s="420"/>
      <c r="V47" s="420"/>
      <c r="W47" s="420"/>
      <c r="X47" s="413"/>
      <c r="Y47" s="413"/>
      <c r="Z47" s="272"/>
      <c r="AA47" s="272"/>
      <c r="AB47" s="272"/>
      <c r="AC47" s="419">
        <f>+Draft!AU9</f>
        <v>0.5</v>
      </c>
      <c r="AD47" s="420"/>
      <c r="AE47" s="420"/>
      <c r="AF47" s="420"/>
      <c r="AG47" s="420"/>
      <c r="AH47" s="413"/>
      <c r="AI47" s="413"/>
      <c r="AJ47" s="272"/>
      <c r="AK47" s="272"/>
      <c r="AL47" s="272"/>
      <c r="AM47" s="272"/>
      <c r="AN47" s="272"/>
      <c r="AO47" s="287"/>
    </row>
    <row r="48" spans="1:41" ht="12.75" customHeight="1" x14ac:dyDescent="0.2">
      <c r="A48" s="407" t="s">
        <v>98</v>
      </c>
      <c r="B48" s="408"/>
      <c r="C48" s="408"/>
      <c r="D48" s="408"/>
      <c r="E48" s="408"/>
      <c r="F48" s="408"/>
      <c r="G48" s="408"/>
      <c r="H48" s="408"/>
      <c r="I48" s="408"/>
      <c r="J48" s="408"/>
      <c r="K48" s="408"/>
      <c r="L48" s="408"/>
      <c r="M48" s="408"/>
      <c r="N48" s="408"/>
      <c r="O48" s="408"/>
      <c r="P48" s="408"/>
      <c r="Q48" s="408"/>
      <c r="S48" s="419">
        <f>+Draft!I16</f>
        <v>853.45805390350142</v>
      </c>
      <c r="T48" s="420"/>
      <c r="U48" s="420"/>
      <c r="V48" s="420"/>
      <c r="W48" s="420"/>
      <c r="X48" s="413"/>
      <c r="Y48" s="413"/>
      <c r="Z48" s="272"/>
      <c r="AA48" s="272"/>
      <c r="AB48" s="272"/>
      <c r="AC48" s="419">
        <f>+Draft!AH16</f>
        <v>683.46500594739484</v>
      </c>
      <c r="AD48" s="420"/>
      <c r="AE48" s="420"/>
      <c r="AF48" s="420"/>
      <c r="AG48" s="420"/>
      <c r="AH48" s="413"/>
      <c r="AI48" s="413"/>
      <c r="AJ48" s="272"/>
      <c r="AK48" s="272"/>
      <c r="AL48" s="272"/>
      <c r="AM48" s="272"/>
      <c r="AN48" s="272"/>
      <c r="AO48" s="287"/>
    </row>
    <row r="49" spans="1:41" ht="12.75" customHeight="1" x14ac:dyDescent="0.2">
      <c r="A49" s="401" t="s">
        <v>99</v>
      </c>
      <c r="B49" s="402"/>
      <c r="C49" s="402"/>
      <c r="D49" s="402"/>
      <c r="E49" s="402"/>
      <c r="F49" s="402"/>
      <c r="G49" s="402"/>
      <c r="H49" s="402"/>
      <c r="I49" s="402"/>
      <c r="J49" s="402"/>
      <c r="K49" s="402"/>
      <c r="L49" s="402"/>
      <c r="M49" s="402"/>
      <c r="N49" s="402"/>
      <c r="O49" s="402"/>
      <c r="P49" s="402"/>
      <c r="Q49" s="402"/>
      <c r="S49" s="419">
        <f>+Draft!M16</f>
        <v>834.17794102864798</v>
      </c>
      <c r="T49" s="420"/>
      <c r="U49" s="420"/>
      <c r="V49" s="420"/>
      <c r="W49" s="420"/>
      <c r="X49" s="413"/>
      <c r="Y49" s="413"/>
      <c r="Z49" s="272"/>
      <c r="AA49" s="272"/>
      <c r="AB49" s="272"/>
      <c r="AC49" s="419">
        <f>+Draft!AL16</f>
        <v>657.69151209373433</v>
      </c>
      <c r="AD49" s="420"/>
      <c r="AE49" s="420"/>
      <c r="AF49" s="420"/>
      <c r="AG49" s="420"/>
      <c r="AH49" s="413"/>
      <c r="AI49" s="413"/>
      <c r="AJ49" s="272"/>
      <c r="AK49" s="272"/>
      <c r="AL49" s="272"/>
      <c r="AM49" s="272"/>
      <c r="AN49" s="272"/>
      <c r="AO49" s="287"/>
    </row>
    <row r="50" spans="1:41" ht="12.75" customHeight="1" x14ac:dyDescent="0.2">
      <c r="A50" s="401" t="s">
        <v>100</v>
      </c>
      <c r="B50" s="402"/>
      <c r="C50" s="402"/>
      <c r="D50" s="402"/>
      <c r="E50" s="402"/>
      <c r="F50" s="402"/>
      <c r="G50" s="402"/>
      <c r="H50" s="402"/>
      <c r="I50" s="402"/>
      <c r="J50" s="402"/>
      <c r="K50" s="402"/>
      <c r="L50" s="402"/>
      <c r="M50" s="402"/>
      <c r="N50" s="402"/>
      <c r="O50" s="402"/>
      <c r="P50" s="402"/>
      <c r="Q50" s="402"/>
      <c r="S50" s="420">
        <f>+Draft!E23</f>
        <v>0</v>
      </c>
      <c r="T50" s="420"/>
      <c r="U50" s="420"/>
      <c r="V50" s="420"/>
      <c r="W50" s="420"/>
      <c r="X50" s="413"/>
      <c r="Y50" s="413"/>
      <c r="Z50" s="272"/>
      <c r="AA50" s="272"/>
      <c r="AB50" s="272"/>
      <c r="AC50" s="420">
        <f>+Draft!O23</f>
        <v>0</v>
      </c>
      <c r="AD50" s="420"/>
      <c r="AE50" s="420"/>
      <c r="AF50" s="420"/>
      <c r="AG50" s="420"/>
      <c r="AH50" s="413"/>
      <c r="AI50" s="413"/>
      <c r="AJ50" s="272"/>
      <c r="AK50" s="272"/>
      <c r="AL50" s="272"/>
      <c r="AM50" s="272"/>
      <c r="AN50" s="272"/>
      <c r="AO50" s="287"/>
    </row>
    <row r="51" spans="1:41" ht="12.75" customHeight="1" x14ac:dyDescent="0.2">
      <c r="A51" s="401" t="s">
        <v>101</v>
      </c>
      <c r="B51" s="402"/>
      <c r="C51" s="402"/>
      <c r="D51" s="402"/>
      <c r="E51" s="402"/>
      <c r="F51" s="402"/>
      <c r="G51" s="402"/>
      <c r="H51" s="402"/>
      <c r="I51" s="402"/>
      <c r="J51" s="402"/>
      <c r="K51" s="402"/>
      <c r="L51" s="402"/>
      <c r="M51" s="402"/>
      <c r="N51" s="402"/>
      <c r="O51" s="402"/>
      <c r="P51" s="402"/>
      <c r="Q51" s="402"/>
      <c r="S51" s="420" t="str">
        <f>IF(Draft!A8=0,0,IF(Draft!I30="x","GOOD",IF(Draft!J30="X","REGULAR","BAD")))</f>
        <v>GOOD</v>
      </c>
      <c r="T51" s="420"/>
      <c r="U51" s="420"/>
      <c r="V51" s="420"/>
      <c r="W51" s="420"/>
      <c r="X51" s="413"/>
      <c r="Y51" s="413"/>
      <c r="Z51" s="272"/>
      <c r="AA51" s="272"/>
      <c r="AB51" s="272"/>
      <c r="AC51" s="420" t="str">
        <f>IF(Draft!Z8=0,0,IF(Draft!I30="x","GOOD",IF(Draft!J30="X","REGULAR","BAD")))</f>
        <v>GOOD</v>
      </c>
      <c r="AD51" s="420"/>
      <c r="AE51" s="420"/>
      <c r="AF51" s="420"/>
      <c r="AG51" s="420"/>
      <c r="AH51" s="413"/>
      <c r="AI51" s="413"/>
      <c r="AJ51" s="272"/>
      <c r="AK51" s="272"/>
      <c r="AL51" s="272"/>
      <c r="AM51" s="272"/>
      <c r="AN51" s="272"/>
      <c r="AO51" s="287"/>
    </row>
    <row r="52" spans="1:41" ht="12.75" customHeight="1" x14ac:dyDescent="0.2">
      <c r="A52" s="401" t="s">
        <v>102</v>
      </c>
      <c r="B52" s="402"/>
      <c r="C52" s="402"/>
      <c r="D52" s="402"/>
      <c r="E52" s="402"/>
      <c r="F52" s="402"/>
      <c r="G52" s="402"/>
      <c r="H52" s="402"/>
      <c r="I52" s="402"/>
      <c r="J52" s="402"/>
      <c r="K52" s="402"/>
      <c r="L52" s="402"/>
      <c r="M52" s="402"/>
      <c r="N52" s="402"/>
      <c r="O52" s="402"/>
      <c r="P52" s="402"/>
      <c r="Q52" s="402"/>
      <c r="S52" s="420">
        <f>+Draft!E25</f>
        <v>0</v>
      </c>
      <c r="T52" s="420"/>
      <c r="U52" s="420"/>
      <c r="V52" s="420"/>
      <c r="W52" s="420"/>
      <c r="X52" s="413"/>
      <c r="Y52" s="413"/>
      <c r="Z52" s="272"/>
      <c r="AA52" s="272"/>
      <c r="AB52" s="272"/>
      <c r="AC52" s="420">
        <f>+Draft!O25</f>
        <v>0</v>
      </c>
      <c r="AD52" s="420"/>
      <c r="AE52" s="420"/>
      <c r="AF52" s="420"/>
      <c r="AG52" s="420"/>
      <c r="AH52" s="413"/>
      <c r="AI52" s="413"/>
      <c r="AJ52" s="272"/>
      <c r="AK52" s="272"/>
      <c r="AL52" s="272"/>
      <c r="AM52" s="272"/>
      <c r="AN52" s="272"/>
      <c r="AO52" s="287"/>
    </row>
    <row r="53" spans="1:41" ht="12.75" customHeight="1" x14ac:dyDescent="0.2">
      <c r="A53" s="401" t="s">
        <v>103</v>
      </c>
      <c r="B53" s="402"/>
      <c r="C53" s="402"/>
      <c r="D53" s="402"/>
      <c r="E53" s="402"/>
      <c r="F53" s="402"/>
      <c r="G53" s="402"/>
      <c r="H53" s="402"/>
      <c r="I53" s="402"/>
      <c r="J53" s="402"/>
      <c r="K53" s="402"/>
      <c r="L53" s="402"/>
      <c r="M53" s="402"/>
      <c r="N53" s="402"/>
      <c r="O53" s="402"/>
      <c r="P53" s="402"/>
      <c r="Q53" s="402"/>
      <c r="S53" s="420" t="str">
        <f>IF(Draft!A8=0,0,IF(Draft!I31="x","GOOD",IF(Draft!J31="X","REGULAR","BAD")))</f>
        <v>GOOD</v>
      </c>
      <c r="T53" s="420"/>
      <c r="U53" s="420"/>
      <c r="V53" s="420"/>
      <c r="W53" s="420"/>
      <c r="X53" s="413"/>
      <c r="Y53" s="413"/>
      <c r="Z53" s="272"/>
      <c r="AA53" s="272"/>
      <c r="AB53" s="272"/>
      <c r="AC53" s="420" t="str">
        <f>IF(Draft!Z8=0,0,IF(Draft!I31="x","GOOD",IF(Draft!J31="X","REGULAR","BAD")))</f>
        <v>GOOD</v>
      </c>
      <c r="AD53" s="420"/>
      <c r="AE53" s="420"/>
      <c r="AF53" s="420"/>
      <c r="AG53" s="420"/>
      <c r="AH53" s="413"/>
      <c r="AI53" s="413"/>
      <c r="AJ53" s="272"/>
      <c r="AK53" s="272"/>
      <c r="AL53" s="272"/>
      <c r="AM53" s="272"/>
      <c r="AN53" s="272"/>
      <c r="AO53" s="287"/>
    </row>
    <row r="54" spans="1:41" ht="12.75" customHeight="1" x14ac:dyDescent="0.2">
      <c r="A54" s="381"/>
      <c r="B54" s="382"/>
      <c r="C54" s="382"/>
      <c r="D54" s="382"/>
      <c r="E54" s="382"/>
      <c r="F54" s="382"/>
      <c r="G54" s="382"/>
      <c r="H54" s="382"/>
      <c r="I54" s="382"/>
      <c r="J54" s="382"/>
      <c r="K54" s="382"/>
      <c r="L54" s="382"/>
      <c r="M54" s="382"/>
      <c r="N54" s="382"/>
      <c r="O54" s="382"/>
      <c r="P54" s="382"/>
      <c r="Q54" s="382"/>
      <c r="R54" s="382"/>
      <c r="S54" s="382"/>
      <c r="T54" s="382"/>
      <c r="U54" s="382"/>
      <c r="V54" s="382"/>
      <c r="W54" s="382"/>
      <c r="X54" s="382"/>
      <c r="Y54" s="382"/>
      <c r="Z54" s="382"/>
      <c r="AA54" s="382"/>
      <c r="AB54" s="382"/>
      <c r="AC54" s="382"/>
      <c r="AD54" s="382"/>
      <c r="AE54" s="382"/>
      <c r="AF54" s="382"/>
      <c r="AG54" s="382"/>
      <c r="AH54" s="382"/>
      <c r="AI54" s="382"/>
      <c r="AJ54" s="382"/>
      <c r="AK54" s="382"/>
      <c r="AL54" s="382"/>
      <c r="AM54" s="382"/>
      <c r="AN54" s="382"/>
      <c r="AO54" s="383"/>
    </row>
    <row r="55" spans="1:41" ht="3" customHeight="1" x14ac:dyDescent="0.2">
      <c r="A55" s="353"/>
      <c r="B55" s="354"/>
      <c r="C55" s="354"/>
      <c r="D55" s="354"/>
      <c r="E55" s="354"/>
      <c r="F55" s="354"/>
      <c r="G55" s="354"/>
      <c r="H55" s="354"/>
      <c r="I55" s="354"/>
      <c r="J55" s="354"/>
      <c r="K55" s="354"/>
      <c r="L55" s="354"/>
      <c r="M55" s="354"/>
      <c r="N55" s="354"/>
      <c r="O55" s="354"/>
      <c r="P55" s="354"/>
      <c r="Q55" s="354"/>
      <c r="R55" s="354"/>
      <c r="S55" s="354"/>
      <c r="T55" s="354"/>
      <c r="U55" s="354"/>
      <c r="V55" s="354"/>
      <c r="W55" s="354"/>
      <c r="X55" s="354"/>
      <c r="Y55" s="354"/>
      <c r="Z55" s="354"/>
      <c r="AA55" s="354"/>
      <c r="AB55" s="354"/>
      <c r="AC55" s="354"/>
      <c r="AD55" s="354"/>
      <c r="AE55" s="354"/>
      <c r="AF55" s="354"/>
      <c r="AG55" s="354"/>
      <c r="AH55" s="354"/>
      <c r="AI55" s="354"/>
      <c r="AJ55" s="354"/>
      <c r="AK55" s="354"/>
      <c r="AL55" s="354"/>
      <c r="AM55" s="354"/>
      <c r="AN55" s="354"/>
      <c r="AO55" s="355"/>
    </row>
    <row r="56" spans="1:41" ht="12.75" customHeight="1" x14ac:dyDescent="0.2">
      <c r="A56" s="363"/>
      <c r="B56" s="421" t="s">
        <v>104</v>
      </c>
      <c r="C56" s="421"/>
      <c r="D56" s="421"/>
      <c r="E56" s="421"/>
      <c r="F56" s="421"/>
      <c r="G56" s="421"/>
      <c r="H56" s="421"/>
      <c r="I56" s="421"/>
      <c r="J56" s="421"/>
      <c r="K56" s="421"/>
      <c r="L56" s="421"/>
      <c r="M56" s="421"/>
      <c r="N56" s="421"/>
      <c r="O56" s="421"/>
      <c r="P56" s="421"/>
      <c r="Q56" s="421"/>
      <c r="R56" s="421"/>
      <c r="S56" s="421"/>
      <c r="T56" s="421"/>
      <c r="U56" s="421"/>
      <c r="V56" s="421"/>
      <c r="W56" s="421"/>
      <c r="X56" s="421"/>
      <c r="Y56" s="421"/>
      <c r="Z56" s="421"/>
      <c r="AA56" s="421"/>
      <c r="AB56" s="421"/>
      <c r="AC56" s="421"/>
      <c r="AD56" s="421"/>
      <c r="AE56" s="421"/>
      <c r="AF56" s="421"/>
      <c r="AG56" s="421"/>
      <c r="AH56" s="421"/>
      <c r="AI56" s="421"/>
      <c r="AJ56" s="421"/>
      <c r="AK56" s="421"/>
      <c r="AL56" s="421"/>
      <c r="AM56" s="421"/>
      <c r="AN56" s="421"/>
      <c r="AO56" s="422"/>
    </row>
    <row r="57" spans="1:41" ht="12.75" customHeight="1" x14ac:dyDescent="0.2">
      <c r="A57" s="353"/>
      <c r="B57" s="367" t="s">
        <v>105</v>
      </c>
      <c r="C57" s="367"/>
      <c r="D57" s="367"/>
      <c r="E57" s="367"/>
      <c r="F57" s="367"/>
      <c r="G57" s="367"/>
      <c r="H57" s="367"/>
      <c r="I57" s="367"/>
      <c r="J57" s="367"/>
      <c r="K57" s="367"/>
      <c r="L57" s="367"/>
      <c r="M57" s="367"/>
      <c r="N57" s="367"/>
      <c r="O57" s="367"/>
      <c r="P57" s="367"/>
      <c r="Q57" s="367"/>
      <c r="R57" s="367"/>
      <c r="S57" s="367"/>
      <c r="T57" s="367"/>
      <c r="U57" s="367"/>
      <c r="V57" s="367"/>
      <c r="W57" s="367"/>
      <c r="X57" s="367"/>
      <c r="Y57" s="367"/>
      <c r="Z57" s="367"/>
      <c r="AA57" s="367"/>
      <c r="AB57" s="367"/>
      <c r="AC57" s="367"/>
      <c r="AD57" s="367"/>
      <c r="AE57" s="367"/>
      <c r="AF57" s="367"/>
      <c r="AG57" s="367"/>
      <c r="AH57" s="367"/>
      <c r="AI57" s="367"/>
      <c r="AJ57" s="367"/>
      <c r="AK57" s="367"/>
      <c r="AL57" s="367"/>
      <c r="AM57" s="367"/>
      <c r="AN57" s="367"/>
      <c r="AO57" s="423"/>
    </row>
    <row r="58" spans="1:41" ht="12.75" customHeight="1" x14ac:dyDescent="0.2">
      <c r="A58" s="364"/>
      <c r="B58" s="364"/>
      <c r="C58" s="364"/>
      <c r="D58" s="364"/>
      <c r="E58" s="364"/>
      <c r="F58" s="364"/>
      <c r="G58" s="364"/>
      <c r="H58" s="364"/>
      <c r="I58" s="364"/>
      <c r="J58" s="364"/>
      <c r="K58" s="364"/>
      <c r="L58" s="364"/>
      <c r="M58" s="364"/>
      <c r="N58" s="364"/>
      <c r="O58" s="364"/>
      <c r="P58" s="364"/>
      <c r="Q58" s="364"/>
      <c r="R58" s="364"/>
      <c r="S58" s="364"/>
      <c r="T58" s="364"/>
      <c r="U58" s="364"/>
      <c r="V58" s="364"/>
      <c r="W58" s="364"/>
      <c r="X58" s="364"/>
      <c r="Y58" s="364"/>
      <c r="Z58" s="364"/>
      <c r="AA58" s="364"/>
      <c r="AB58" s="364"/>
      <c r="AC58" s="364"/>
      <c r="AD58" s="364"/>
      <c r="AE58" s="364"/>
      <c r="AF58" s="364"/>
      <c r="AG58" s="364"/>
      <c r="AH58" s="364"/>
      <c r="AI58" s="364"/>
      <c r="AJ58" s="364"/>
      <c r="AK58" s="364"/>
      <c r="AL58" s="364"/>
      <c r="AM58" s="364"/>
      <c r="AN58" s="364"/>
      <c r="AO58" s="364"/>
    </row>
    <row r="59" spans="1:41" ht="25.5" customHeight="1" x14ac:dyDescent="0.2">
      <c r="A59" s="377"/>
      <c r="B59" s="378"/>
      <c r="C59" s="378"/>
      <c r="D59" s="378"/>
      <c r="E59" s="378"/>
      <c r="F59" s="378"/>
      <c r="G59" s="378"/>
      <c r="H59" s="378"/>
      <c r="I59" s="378"/>
      <c r="J59" s="378"/>
      <c r="K59" s="378"/>
      <c r="L59" s="378"/>
      <c r="M59" s="378"/>
      <c r="N59" s="378"/>
      <c r="O59" s="378"/>
      <c r="P59" s="378"/>
      <c r="Q59" s="378"/>
      <c r="R59" s="378"/>
      <c r="S59" s="378"/>
      <c r="T59" s="378"/>
      <c r="U59" s="378"/>
      <c r="V59" s="378"/>
      <c r="W59" s="378"/>
      <c r="X59" s="378"/>
      <c r="Y59" s="378"/>
      <c r="Z59" s="378"/>
      <c r="AA59" s="378"/>
      <c r="AB59" s="378"/>
      <c r="AC59" s="378"/>
      <c r="AD59" s="378"/>
      <c r="AE59" s="378"/>
      <c r="AF59" s="378"/>
      <c r="AG59" s="378"/>
      <c r="AH59" s="378"/>
      <c r="AI59" s="378"/>
      <c r="AJ59" s="378"/>
      <c r="AK59" s="378"/>
      <c r="AL59" s="378"/>
      <c r="AM59" s="378"/>
      <c r="AN59" s="378"/>
      <c r="AO59" s="378"/>
    </row>
  </sheetData>
  <mergeCells count="167">
    <mergeCell ref="A58:AO58"/>
    <mergeCell ref="A59:AO59"/>
    <mergeCell ref="A52:Q52"/>
    <mergeCell ref="S52:W52"/>
    <mergeCell ref="X52:Y52"/>
    <mergeCell ref="AC52:AG52"/>
    <mergeCell ref="AH52:AI52"/>
    <mergeCell ref="A53:Q53"/>
    <mergeCell ref="S53:W53"/>
    <mergeCell ref="X53:Y53"/>
    <mergeCell ref="AC53:AG53"/>
    <mergeCell ref="AH53:AI53"/>
    <mergeCell ref="A51:Q51"/>
    <mergeCell ref="S51:W51"/>
    <mergeCell ref="X51:Y51"/>
    <mergeCell ref="AC51:AG51"/>
    <mergeCell ref="AH51:AI51"/>
    <mergeCell ref="A54:AO55"/>
    <mergeCell ref="A56:A57"/>
    <mergeCell ref="B56:AO56"/>
    <mergeCell ref="B57:AO57"/>
    <mergeCell ref="A49:Q49"/>
    <mergeCell ref="S49:W49"/>
    <mergeCell ref="X49:Y49"/>
    <mergeCell ref="AC49:AG49"/>
    <mergeCell ref="AH49:AI49"/>
    <mergeCell ref="A50:Q50"/>
    <mergeCell ref="S50:W50"/>
    <mergeCell ref="X50:Y50"/>
    <mergeCell ref="AC50:AG50"/>
    <mergeCell ref="AH50:AI50"/>
    <mergeCell ref="AH46:AI46"/>
    <mergeCell ref="A47:Q47"/>
    <mergeCell ref="S47:W47"/>
    <mergeCell ref="X47:Y47"/>
    <mergeCell ref="AC47:AG47"/>
    <mergeCell ref="AH47:AI47"/>
    <mergeCell ref="A48:Q48"/>
    <mergeCell ref="S48:W48"/>
    <mergeCell ref="X48:Y48"/>
    <mergeCell ref="AC48:AG48"/>
    <mergeCell ref="AH48:AI48"/>
    <mergeCell ref="A42:R42"/>
    <mergeCell ref="S42:Y42"/>
    <mergeCell ref="Z42:AB53"/>
    <mergeCell ref="AC42:AI42"/>
    <mergeCell ref="AJ42:AO53"/>
    <mergeCell ref="A43:Q43"/>
    <mergeCell ref="S43:W43"/>
    <mergeCell ref="X43:Y43"/>
    <mergeCell ref="AC43:AG43"/>
    <mergeCell ref="AH43:AI43"/>
    <mergeCell ref="A44:Q44"/>
    <mergeCell ref="S44:W44"/>
    <mergeCell ref="X44:Y44"/>
    <mergeCell ref="AC44:AG44"/>
    <mergeCell ref="AH44:AI44"/>
    <mergeCell ref="A45:Q45"/>
    <mergeCell ref="S45:W45"/>
    <mergeCell ref="X45:Y45"/>
    <mergeCell ref="AC45:AG45"/>
    <mergeCell ref="AH45:AI45"/>
    <mergeCell ref="A46:Q46"/>
    <mergeCell ref="S46:W46"/>
    <mergeCell ref="X46:Y46"/>
    <mergeCell ref="AC46:AG46"/>
    <mergeCell ref="A40:L40"/>
    <mergeCell ref="N40:R40"/>
    <mergeCell ref="T40:AC40"/>
    <mergeCell ref="AE40:AI40"/>
    <mergeCell ref="AK40:AO40"/>
    <mergeCell ref="A41:M41"/>
    <mergeCell ref="N41:S41"/>
    <mergeCell ref="AK41:AO41"/>
    <mergeCell ref="A38:L38"/>
    <mergeCell ref="N38:R38"/>
    <mergeCell ref="T38:AC38"/>
    <mergeCell ref="AE38:AI38"/>
    <mergeCell ref="AK38:AO38"/>
    <mergeCell ref="A39:L39"/>
    <mergeCell ref="N39:R39"/>
    <mergeCell ref="T39:AC39"/>
    <mergeCell ref="AE39:AI39"/>
    <mergeCell ref="AK39:AO39"/>
    <mergeCell ref="A36:L36"/>
    <mergeCell ref="N36:R36"/>
    <mergeCell ref="T36:AC36"/>
    <mergeCell ref="AE36:AI36"/>
    <mergeCell ref="AK36:AO36"/>
    <mergeCell ref="A37:L37"/>
    <mergeCell ref="N37:R37"/>
    <mergeCell ref="T37:AC37"/>
    <mergeCell ref="AE37:AI37"/>
    <mergeCell ref="AK37:AO37"/>
    <mergeCell ref="A34:L34"/>
    <mergeCell ref="N34:R34"/>
    <mergeCell ref="T34:AC34"/>
    <mergeCell ref="AE34:AI34"/>
    <mergeCell ref="AK34:AO34"/>
    <mergeCell ref="A35:L35"/>
    <mergeCell ref="N35:R35"/>
    <mergeCell ref="T35:AC35"/>
    <mergeCell ref="AE35:AI35"/>
    <mergeCell ref="AK35:AO35"/>
    <mergeCell ref="A32:M32"/>
    <mergeCell ref="N32:S32"/>
    <mergeCell ref="T32:AD32"/>
    <mergeCell ref="AE32:AJ32"/>
    <mergeCell ref="AK32:AO32"/>
    <mergeCell ref="A33:L33"/>
    <mergeCell ref="N33:R33"/>
    <mergeCell ref="T33:AC33"/>
    <mergeCell ref="AE33:AI33"/>
    <mergeCell ref="AK33:AO33"/>
    <mergeCell ref="E29:T29"/>
    <mergeCell ref="U29:AE29"/>
    <mergeCell ref="AF29:AO29"/>
    <mergeCell ref="A30:A31"/>
    <mergeCell ref="B30:AO30"/>
    <mergeCell ref="B31:AO31"/>
    <mergeCell ref="B24:V24"/>
    <mergeCell ref="X24:Z24"/>
    <mergeCell ref="AB24:AO24"/>
    <mergeCell ref="A25:AO25"/>
    <mergeCell ref="B26:AO26"/>
    <mergeCell ref="B28:R28"/>
    <mergeCell ref="S28:AB28"/>
    <mergeCell ref="AC28:AO28"/>
    <mergeCell ref="A16:AO16"/>
    <mergeCell ref="B17:AO17"/>
    <mergeCell ref="B19:AO19"/>
    <mergeCell ref="A21:AO21"/>
    <mergeCell ref="B22:AO22"/>
    <mergeCell ref="A23:AO23"/>
    <mergeCell ref="Z13:AE13"/>
    <mergeCell ref="AG13:AO13"/>
    <mergeCell ref="E14:X14"/>
    <mergeCell ref="Z14:AE14"/>
    <mergeCell ref="AG14:AO14"/>
    <mergeCell ref="E15:X15"/>
    <mergeCell ref="Z15:AE15"/>
    <mergeCell ref="AG15:AO15"/>
    <mergeCell ref="A9:AO9"/>
    <mergeCell ref="A10:AO10"/>
    <mergeCell ref="A11:D15"/>
    <mergeCell ref="E11:X11"/>
    <mergeCell ref="Z11:AE11"/>
    <mergeCell ref="AG11:AO11"/>
    <mergeCell ref="E12:X12"/>
    <mergeCell ref="Z12:AE12"/>
    <mergeCell ref="AG12:AO12"/>
    <mergeCell ref="E13:X13"/>
    <mergeCell ref="B5:AO5"/>
    <mergeCell ref="A6:AO6"/>
    <mergeCell ref="B7:Y7"/>
    <mergeCell ref="Z7:AO7"/>
    <mergeCell ref="A8:E8"/>
    <mergeCell ref="F8:AB8"/>
    <mergeCell ref="AC8:AO8"/>
    <mergeCell ref="A1:AO1"/>
    <mergeCell ref="A2:X2"/>
    <mergeCell ref="Y2:AH2"/>
    <mergeCell ref="AI2:AO4"/>
    <mergeCell ref="A3:Y3"/>
    <mergeCell ref="AA3:AH3"/>
    <mergeCell ref="A4:Y4"/>
    <mergeCell ref="AA4:AH4"/>
  </mergeCells>
  <printOptions horizontalCentered="1" verticalCentered="1"/>
  <pageMargins left="0.39370078740157483" right="0.39370078740157483" top="0.23622047244094491" bottom="0.23622047244094491" header="0" footer="0.23622047244094491"/>
  <pageSetup paperSize="122" orientation="portrait" horizontalDpi="300" verticalDpi="300" r:id="rId1"/>
  <headerFooter alignWithMargins="0">
    <oddFooter>&amp;RPage 2 of 5</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3D2FC7-B3CB-4B42-B50B-3BB903BACDCB}">
  <sheetPr>
    <pageSetUpPr fitToPage="1"/>
  </sheetPr>
  <dimension ref="A1:AO58"/>
  <sheetViews>
    <sheetView showGridLines="0" showZeros="0" topLeftCell="A4" zoomScale="108" workbookViewId="0">
      <selection activeCell="BD32" sqref="BD32"/>
    </sheetView>
  </sheetViews>
  <sheetFormatPr baseColWidth="10" defaultRowHeight="12.75" x14ac:dyDescent="0.2"/>
  <cols>
    <col min="1" max="178" width="2.42578125" customWidth="1"/>
    <col min="257" max="434" width="2.42578125" customWidth="1"/>
    <col min="513" max="690" width="2.42578125" customWidth="1"/>
    <col min="769" max="946" width="2.42578125" customWidth="1"/>
    <col min="1025" max="1202" width="2.42578125" customWidth="1"/>
    <col min="1281" max="1458" width="2.42578125" customWidth="1"/>
    <col min="1537" max="1714" width="2.42578125" customWidth="1"/>
    <col min="1793" max="1970" width="2.42578125" customWidth="1"/>
    <col min="2049" max="2226" width="2.42578125" customWidth="1"/>
    <col min="2305" max="2482" width="2.42578125" customWidth="1"/>
    <col min="2561" max="2738" width="2.42578125" customWidth="1"/>
    <col min="2817" max="2994" width="2.42578125" customWidth="1"/>
    <col min="3073" max="3250" width="2.42578125" customWidth="1"/>
    <col min="3329" max="3506" width="2.42578125" customWidth="1"/>
    <col min="3585" max="3762" width="2.42578125" customWidth="1"/>
    <col min="3841" max="4018" width="2.42578125" customWidth="1"/>
    <col min="4097" max="4274" width="2.42578125" customWidth="1"/>
    <col min="4353" max="4530" width="2.42578125" customWidth="1"/>
    <col min="4609" max="4786" width="2.42578125" customWidth="1"/>
    <col min="4865" max="5042" width="2.42578125" customWidth="1"/>
    <col min="5121" max="5298" width="2.42578125" customWidth="1"/>
    <col min="5377" max="5554" width="2.42578125" customWidth="1"/>
    <col min="5633" max="5810" width="2.42578125" customWidth="1"/>
    <col min="5889" max="6066" width="2.42578125" customWidth="1"/>
    <col min="6145" max="6322" width="2.42578125" customWidth="1"/>
    <col min="6401" max="6578" width="2.42578125" customWidth="1"/>
    <col min="6657" max="6834" width="2.42578125" customWidth="1"/>
    <col min="6913" max="7090" width="2.42578125" customWidth="1"/>
    <col min="7169" max="7346" width="2.42578125" customWidth="1"/>
    <col min="7425" max="7602" width="2.42578125" customWidth="1"/>
    <col min="7681" max="7858" width="2.42578125" customWidth="1"/>
    <col min="7937" max="8114" width="2.42578125" customWidth="1"/>
    <col min="8193" max="8370" width="2.42578125" customWidth="1"/>
    <col min="8449" max="8626" width="2.42578125" customWidth="1"/>
    <col min="8705" max="8882" width="2.42578125" customWidth="1"/>
    <col min="8961" max="9138" width="2.42578125" customWidth="1"/>
    <col min="9217" max="9394" width="2.42578125" customWidth="1"/>
    <col min="9473" max="9650" width="2.42578125" customWidth="1"/>
    <col min="9729" max="9906" width="2.42578125" customWidth="1"/>
    <col min="9985" max="10162" width="2.42578125" customWidth="1"/>
    <col min="10241" max="10418" width="2.42578125" customWidth="1"/>
    <col min="10497" max="10674" width="2.42578125" customWidth="1"/>
    <col min="10753" max="10930" width="2.42578125" customWidth="1"/>
    <col min="11009" max="11186" width="2.42578125" customWidth="1"/>
    <col min="11265" max="11442" width="2.42578125" customWidth="1"/>
    <col min="11521" max="11698" width="2.42578125" customWidth="1"/>
    <col min="11777" max="11954" width="2.42578125" customWidth="1"/>
    <col min="12033" max="12210" width="2.42578125" customWidth="1"/>
    <col min="12289" max="12466" width="2.42578125" customWidth="1"/>
    <col min="12545" max="12722" width="2.42578125" customWidth="1"/>
    <col min="12801" max="12978" width="2.42578125" customWidth="1"/>
    <col min="13057" max="13234" width="2.42578125" customWidth="1"/>
    <col min="13313" max="13490" width="2.42578125" customWidth="1"/>
    <col min="13569" max="13746" width="2.42578125" customWidth="1"/>
    <col min="13825" max="14002" width="2.42578125" customWidth="1"/>
    <col min="14081" max="14258" width="2.42578125" customWidth="1"/>
    <col min="14337" max="14514" width="2.42578125" customWidth="1"/>
    <col min="14593" max="14770" width="2.42578125" customWidth="1"/>
    <col min="14849" max="15026" width="2.42578125" customWidth="1"/>
    <col min="15105" max="15282" width="2.42578125" customWidth="1"/>
    <col min="15361" max="15538" width="2.42578125" customWidth="1"/>
    <col min="15617" max="15794" width="2.42578125" customWidth="1"/>
    <col min="15873" max="16050" width="2.42578125" customWidth="1"/>
    <col min="16129" max="16306" width="2.42578125" customWidth="1"/>
  </cols>
  <sheetData>
    <row r="1" spans="1:41" ht="12.75" customHeight="1" x14ac:dyDescent="0.25">
      <c r="A1" s="333" t="s">
        <v>0</v>
      </c>
      <c r="B1" s="333"/>
      <c r="C1" s="333"/>
      <c r="D1" s="333"/>
      <c r="E1" s="333"/>
      <c r="F1" s="333"/>
      <c r="G1" s="333"/>
      <c r="H1" s="333"/>
      <c r="I1" s="333"/>
      <c r="J1" s="333"/>
      <c r="K1" s="333"/>
      <c r="L1" s="333"/>
      <c r="M1" s="333"/>
      <c r="N1" s="333"/>
      <c r="O1" s="333"/>
      <c r="P1" s="333"/>
      <c r="Q1" s="333"/>
      <c r="R1" s="333"/>
      <c r="S1" s="333"/>
      <c r="T1" s="333"/>
      <c r="U1" s="333"/>
      <c r="V1" s="333"/>
      <c r="W1" s="333"/>
      <c r="X1" s="333"/>
      <c r="Y1" s="333"/>
      <c r="Z1" s="333"/>
      <c r="AA1" s="333"/>
      <c r="AB1" s="333"/>
      <c r="AC1" s="333"/>
      <c r="AD1" s="333"/>
      <c r="AE1" s="333"/>
      <c r="AF1" s="333"/>
      <c r="AG1" s="333"/>
      <c r="AH1" s="333"/>
      <c r="AI1" s="333"/>
      <c r="AJ1" s="333"/>
      <c r="AK1" s="333"/>
      <c r="AL1" s="333"/>
      <c r="AM1" s="333"/>
      <c r="AN1" s="333"/>
      <c r="AO1" s="333"/>
    </row>
    <row r="2" spans="1:41" ht="12.75" customHeight="1" x14ac:dyDescent="0.2">
      <c r="A2" s="334"/>
      <c r="B2" s="335"/>
      <c r="C2" s="335"/>
      <c r="D2" s="335"/>
      <c r="E2" s="335"/>
      <c r="F2" s="335"/>
      <c r="G2" s="335"/>
      <c r="H2" s="335"/>
      <c r="I2" s="335"/>
      <c r="J2" s="335"/>
      <c r="K2" s="335"/>
      <c r="L2" s="335"/>
      <c r="M2" s="335"/>
      <c r="N2" s="335"/>
      <c r="O2" s="335"/>
      <c r="P2" s="335"/>
      <c r="Q2" s="335"/>
      <c r="R2" s="335"/>
      <c r="S2" s="335"/>
      <c r="T2" s="335"/>
      <c r="U2" s="335"/>
      <c r="V2" s="335"/>
      <c r="W2" s="335"/>
      <c r="X2" s="335"/>
      <c r="Y2" s="336"/>
      <c r="Z2" s="336"/>
      <c r="AA2" s="336"/>
      <c r="AB2" s="336"/>
      <c r="AC2" s="336"/>
      <c r="AD2" s="336"/>
      <c r="AE2" s="336"/>
      <c r="AF2" s="336"/>
      <c r="AG2" s="336"/>
      <c r="AH2" s="337"/>
      <c r="AI2" s="380" t="s">
        <v>106</v>
      </c>
      <c r="AJ2" s="339"/>
      <c r="AK2" s="339"/>
      <c r="AL2" s="339"/>
      <c r="AM2" s="339"/>
      <c r="AN2" s="339"/>
      <c r="AO2" s="340"/>
    </row>
    <row r="3" spans="1:41" ht="12.75" customHeight="1" x14ac:dyDescent="0.2">
      <c r="A3" s="347" t="s">
        <v>2</v>
      </c>
      <c r="B3" s="348"/>
      <c r="C3" s="348"/>
      <c r="D3" s="348"/>
      <c r="E3" s="348"/>
      <c r="F3" s="348"/>
      <c r="G3" s="348"/>
      <c r="H3" s="348"/>
      <c r="I3" s="348"/>
      <c r="J3" s="348"/>
      <c r="K3" s="348"/>
      <c r="L3" s="348"/>
      <c r="M3" s="348"/>
      <c r="N3" s="348"/>
      <c r="O3" s="348"/>
      <c r="P3" s="348"/>
      <c r="Q3" s="348"/>
      <c r="R3" s="348"/>
      <c r="S3" s="348"/>
      <c r="T3" s="348"/>
      <c r="U3" s="348"/>
      <c r="V3" s="348"/>
      <c r="W3" s="348"/>
      <c r="X3" s="348"/>
      <c r="Y3" s="349"/>
      <c r="Z3" s="2" t="str">
        <f>+A!Z3</f>
        <v>X</v>
      </c>
      <c r="AA3" s="350" t="s">
        <v>3</v>
      </c>
      <c r="AB3" s="351"/>
      <c r="AC3" s="351"/>
      <c r="AD3" s="351"/>
      <c r="AE3" s="351"/>
      <c r="AF3" s="351"/>
      <c r="AG3" s="351"/>
      <c r="AH3" s="352"/>
      <c r="AI3" s="341"/>
      <c r="AJ3" s="342"/>
      <c r="AK3" s="342"/>
      <c r="AL3" s="342"/>
      <c r="AM3" s="342"/>
      <c r="AN3" s="342"/>
      <c r="AO3" s="343"/>
    </row>
    <row r="4" spans="1:41" ht="12.75" customHeight="1" x14ac:dyDescent="0.2">
      <c r="A4" s="353"/>
      <c r="B4" s="354"/>
      <c r="C4" s="354"/>
      <c r="D4" s="354"/>
      <c r="E4" s="354"/>
      <c r="F4" s="354"/>
      <c r="G4" s="354"/>
      <c r="H4" s="354"/>
      <c r="I4" s="354"/>
      <c r="J4" s="354"/>
      <c r="K4" s="354"/>
      <c r="L4" s="354"/>
      <c r="M4" s="354"/>
      <c r="N4" s="354"/>
      <c r="O4" s="354"/>
      <c r="P4" s="354"/>
      <c r="Q4" s="354"/>
      <c r="R4" s="354"/>
      <c r="S4" s="354"/>
      <c r="T4" s="354"/>
      <c r="U4" s="354"/>
      <c r="V4" s="354"/>
      <c r="W4" s="354"/>
      <c r="X4" s="354"/>
      <c r="Y4" s="355"/>
      <c r="Z4" s="2">
        <f>+A!Z4</f>
        <v>0</v>
      </c>
      <c r="AA4" s="356" t="s">
        <v>4</v>
      </c>
      <c r="AB4" s="357"/>
      <c r="AC4" s="357"/>
      <c r="AD4" s="357"/>
      <c r="AE4" s="357"/>
      <c r="AF4" s="357"/>
      <c r="AG4" s="357"/>
      <c r="AH4" s="358"/>
      <c r="AI4" s="344"/>
      <c r="AJ4" s="345"/>
      <c r="AK4" s="345"/>
      <c r="AL4" s="345"/>
      <c r="AM4" s="345"/>
      <c r="AN4" s="345"/>
      <c r="AO4" s="346"/>
    </row>
    <row r="5" spans="1:41" ht="12.75" customHeight="1" x14ac:dyDescent="0.2">
      <c r="A5" s="6"/>
      <c r="B5" s="322" t="s">
        <v>5</v>
      </c>
      <c r="C5" s="322"/>
      <c r="D5" s="322"/>
      <c r="E5" s="322"/>
      <c r="F5" s="322"/>
      <c r="G5" s="322"/>
      <c r="H5" s="322"/>
      <c r="I5" s="322"/>
      <c r="J5" s="322"/>
      <c r="K5" s="322"/>
      <c r="L5" s="322"/>
      <c r="M5" s="322"/>
      <c r="N5" s="322"/>
      <c r="O5" s="322"/>
      <c r="P5" s="322"/>
      <c r="Q5" s="322"/>
      <c r="R5" s="322"/>
      <c r="S5" s="322"/>
      <c r="T5" s="322"/>
      <c r="U5" s="322"/>
      <c r="V5" s="322"/>
      <c r="W5" s="322"/>
      <c r="X5" s="322"/>
      <c r="Y5" s="322"/>
      <c r="Z5" s="322"/>
      <c r="AA5" s="322"/>
      <c r="AB5" s="322"/>
      <c r="AC5" s="322"/>
      <c r="AD5" s="322"/>
      <c r="AE5" s="322"/>
      <c r="AF5" s="322"/>
      <c r="AG5" s="322"/>
      <c r="AH5" s="322"/>
      <c r="AI5" s="322"/>
      <c r="AJ5" s="322"/>
      <c r="AK5" s="322"/>
      <c r="AL5" s="322"/>
      <c r="AM5" s="322"/>
      <c r="AN5" s="322"/>
      <c r="AO5" s="323"/>
    </row>
    <row r="6" spans="1:41" ht="12.75" customHeight="1" x14ac:dyDescent="0.2">
      <c r="A6" s="353" t="str">
        <f>A!B6</f>
        <v>MSL Marine Surveyors And Logistics</v>
      </c>
      <c r="B6" s="354"/>
      <c r="C6" s="354"/>
      <c r="D6" s="354"/>
      <c r="E6" s="354"/>
      <c r="F6" s="354"/>
      <c r="G6" s="354"/>
      <c r="H6" s="354"/>
      <c r="I6" s="354"/>
      <c r="J6" s="354"/>
      <c r="K6" s="354"/>
      <c r="L6" s="354"/>
      <c r="M6" s="354"/>
      <c r="N6" s="354"/>
      <c r="O6" s="354"/>
      <c r="P6" s="354"/>
      <c r="Q6" s="354"/>
      <c r="R6" s="354"/>
      <c r="S6" s="354"/>
      <c r="T6" s="354"/>
      <c r="U6" s="354"/>
      <c r="V6" s="354"/>
      <c r="W6" s="354"/>
      <c r="X6" s="354"/>
      <c r="Y6" s="354"/>
      <c r="Z6" s="354"/>
      <c r="AA6" s="354"/>
      <c r="AB6" s="354"/>
      <c r="AC6" s="354"/>
      <c r="AD6" s="354"/>
      <c r="AE6" s="354"/>
      <c r="AF6" s="354"/>
      <c r="AG6" s="354"/>
      <c r="AH6" s="354"/>
      <c r="AI6" s="354"/>
      <c r="AJ6" s="354"/>
      <c r="AK6" s="354"/>
      <c r="AL6" s="354"/>
      <c r="AM6" s="354"/>
      <c r="AN6" s="354"/>
      <c r="AO6" s="355"/>
    </row>
    <row r="7" spans="1:41" ht="12.75" customHeight="1" x14ac:dyDescent="0.2">
      <c r="A7" s="6"/>
      <c r="B7" s="322" t="s">
        <v>11</v>
      </c>
      <c r="C7" s="322"/>
      <c r="D7" s="322"/>
      <c r="E7" s="322"/>
      <c r="F7" s="322"/>
      <c r="G7" s="322"/>
      <c r="H7" s="322"/>
      <c r="I7" s="322"/>
      <c r="J7" s="322"/>
      <c r="K7" s="322"/>
      <c r="L7" s="322"/>
      <c r="M7" s="322"/>
      <c r="N7" s="322"/>
      <c r="O7" s="322"/>
      <c r="P7" s="322"/>
      <c r="Q7" s="322"/>
      <c r="R7" s="322"/>
      <c r="S7" s="322"/>
      <c r="T7" s="322"/>
      <c r="U7" s="322"/>
      <c r="V7" s="322"/>
      <c r="W7" s="322"/>
      <c r="X7" s="322"/>
      <c r="Y7" s="322"/>
      <c r="Z7" s="322" t="s">
        <v>13</v>
      </c>
      <c r="AA7" s="322"/>
      <c r="AB7" s="322"/>
      <c r="AC7" s="322"/>
      <c r="AD7" s="322"/>
      <c r="AE7" s="322"/>
      <c r="AF7" s="322"/>
      <c r="AG7" s="322"/>
      <c r="AH7" s="322"/>
      <c r="AI7" s="322"/>
      <c r="AJ7" s="322"/>
      <c r="AK7" s="322"/>
      <c r="AL7" s="322"/>
      <c r="AM7" s="322"/>
      <c r="AN7" s="322"/>
      <c r="AO7" s="323"/>
    </row>
    <row r="8" spans="1:41" ht="12.75" customHeight="1" x14ac:dyDescent="0.2">
      <c r="A8" s="353"/>
      <c r="B8" s="354"/>
      <c r="C8" s="354"/>
      <c r="D8" s="354"/>
      <c r="E8" s="354"/>
      <c r="F8" s="379" t="str">
        <f>+A!G12</f>
        <v>MV SANTA CAROLINA</v>
      </c>
      <c r="G8" s="379"/>
      <c r="H8" s="379"/>
      <c r="I8" s="379"/>
      <c r="J8" s="379"/>
      <c r="K8" s="379"/>
      <c r="L8" s="379"/>
      <c r="M8" s="379"/>
      <c r="N8" s="379"/>
      <c r="O8" s="379"/>
      <c r="P8" s="379"/>
      <c r="Q8" s="379"/>
      <c r="R8" s="379"/>
      <c r="S8" s="379"/>
      <c r="T8" s="379"/>
      <c r="U8" s="379"/>
      <c r="V8" s="379"/>
      <c r="W8" s="379"/>
      <c r="X8" s="379"/>
      <c r="Y8" s="379"/>
      <c r="Z8" s="379"/>
      <c r="AA8" s="379"/>
      <c r="AB8" s="379"/>
      <c r="AC8" s="360" t="str">
        <f>+A!AG12</f>
        <v>2207-1407-2026</v>
      </c>
      <c r="AD8" s="360"/>
      <c r="AE8" s="360"/>
      <c r="AF8" s="360"/>
      <c r="AG8" s="360"/>
      <c r="AH8" s="360"/>
      <c r="AI8" s="360"/>
      <c r="AJ8" s="360"/>
      <c r="AK8" s="360"/>
      <c r="AL8" s="360"/>
      <c r="AM8" s="360"/>
      <c r="AN8" s="360"/>
      <c r="AO8" s="361"/>
    </row>
    <row r="9" spans="1:41" ht="12.75" customHeight="1" x14ac:dyDescent="0.2">
      <c r="A9" s="363" t="s">
        <v>107</v>
      </c>
      <c r="B9" s="364"/>
      <c r="C9" s="364"/>
      <c r="D9" s="364"/>
      <c r="E9" s="364"/>
      <c r="F9" s="364"/>
      <c r="G9" s="364"/>
      <c r="H9" s="364"/>
      <c r="I9" s="364"/>
      <c r="J9" s="364"/>
      <c r="K9" s="364"/>
      <c r="L9" s="364"/>
      <c r="M9" s="364"/>
      <c r="N9" s="364"/>
      <c r="O9" s="364"/>
      <c r="P9" s="364"/>
      <c r="Q9" s="364"/>
      <c r="R9" s="364"/>
      <c r="S9" s="364"/>
      <c r="T9" s="364"/>
      <c r="U9" s="364"/>
      <c r="V9" s="364"/>
      <c r="W9" s="364"/>
      <c r="X9" s="364"/>
      <c r="Y9" s="364"/>
      <c r="Z9" s="364"/>
      <c r="AA9" s="364"/>
      <c r="AB9" s="364"/>
      <c r="AC9" s="364"/>
      <c r="AD9" s="364"/>
      <c r="AE9" s="364"/>
      <c r="AF9" s="364"/>
      <c r="AG9" s="364"/>
      <c r="AH9" s="364"/>
      <c r="AI9" s="364"/>
      <c r="AJ9" s="364"/>
      <c r="AK9" s="364"/>
      <c r="AL9" s="364"/>
      <c r="AM9" s="364"/>
      <c r="AN9" s="364"/>
      <c r="AO9" s="365"/>
    </row>
    <row r="10" spans="1:41" ht="12.75" customHeight="1" x14ac:dyDescent="0.2">
      <c r="A10" s="381"/>
      <c r="B10" s="382"/>
      <c r="C10" s="382"/>
      <c r="D10" s="382"/>
      <c r="E10" s="382"/>
      <c r="F10" s="382"/>
      <c r="G10" s="382"/>
      <c r="H10" s="382"/>
      <c r="I10" s="382"/>
      <c r="J10" s="382"/>
      <c r="K10" s="382"/>
      <c r="L10" s="382"/>
      <c r="M10" s="382"/>
      <c r="N10" s="382"/>
      <c r="O10" s="382"/>
      <c r="P10" s="382"/>
      <c r="Q10" s="382"/>
      <c r="R10" s="382"/>
      <c r="S10" s="382"/>
      <c r="T10" s="382"/>
      <c r="U10" s="382"/>
      <c r="V10" s="382"/>
      <c r="W10" s="382"/>
      <c r="X10" s="382"/>
      <c r="Y10" s="382"/>
      <c r="Z10" s="382"/>
      <c r="AA10" s="382"/>
      <c r="AB10" s="382"/>
      <c r="AC10" s="382"/>
      <c r="AD10" s="382"/>
      <c r="AE10" s="382"/>
      <c r="AF10" s="382"/>
      <c r="AG10" s="382"/>
      <c r="AH10" s="382"/>
      <c r="AI10" s="382"/>
      <c r="AJ10" s="382"/>
      <c r="AK10" s="382"/>
      <c r="AL10" s="382"/>
      <c r="AM10" s="382"/>
      <c r="AN10" s="382"/>
      <c r="AO10" s="383"/>
    </row>
    <row r="11" spans="1:41" ht="12.75" customHeight="1" x14ac:dyDescent="0.2">
      <c r="A11" s="424" t="s">
        <v>108</v>
      </c>
      <c r="B11" s="425"/>
      <c r="C11" s="425"/>
      <c r="D11" s="425"/>
      <c r="E11" s="425"/>
      <c r="F11" s="425"/>
      <c r="G11" s="425"/>
      <c r="H11" s="425"/>
      <c r="I11" s="425"/>
      <c r="J11" s="425"/>
      <c r="K11" s="425"/>
      <c r="L11" s="425"/>
      <c r="M11" s="425"/>
      <c r="N11" s="425"/>
      <c r="O11" s="425"/>
      <c r="P11" s="425"/>
      <c r="Q11" s="425"/>
      <c r="R11" s="425"/>
      <c r="S11" s="425" t="s">
        <v>31</v>
      </c>
      <c r="T11" s="425"/>
      <c r="U11" s="425"/>
      <c r="V11" s="425"/>
      <c r="W11" s="425"/>
      <c r="X11" s="425"/>
      <c r="Y11" s="425"/>
      <c r="Z11" s="425"/>
      <c r="AA11" s="425"/>
      <c r="AB11" s="272"/>
      <c r="AC11" s="272"/>
      <c r="AD11" s="272"/>
      <c r="AE11" s="382" t="s">
        <v>32</v>
      </c>
      <c r="AF11" s="382"/>
      <c r="AG11" s="382"/>
      <c r="AH11" s="382"/>
      <c r="AI11" s="382"/>
      <c r="AJ11" s="382"/>
      <c r="AK11" s="382"/>
      <c r="AL11" s="382"/>
      <c r="AM11" s="382"/>
      <c r="AN11" s="272"/>
      <c r="AO11" s="287"/>
    </row>
    <row r="12" spans="1:41" ht="12.75" customHeight="1" x14ac:dyDescent="0.2">
      <c r="A12" s="381"/>
      <c r="B12" s="382"/>
      <c r="C12" s="382"/>
      <c r="D12" s="382"/>
      <c r="E12" s="382"/>
      <c r="F12" s="382"/>
      <c r="G12" s="382"/>
      <c r="H12" s="382"/>
      <c r="I12" s="382"/>
      <c r="J12" s="382"/>
      <c r="K12" s="382"/>
      <c r="L12" s="382"/>
      <c r="M12" s="382"/>
      <c r="N12" s="382"/>
      <c r="O12" s="382"/>
      <c r="P12" s="382"/>
      <c r="Q12" s="382"/>
      <c r="R12" s="382"/>
      <c r="S12" s="378" t="s">
        <v>109</v>
      </c>
      <c r="T12" s="377"/>
      <c r="U12" s="426">
        <f>Draft!T3</f>
        <v>0.63888888888888884</v>
      </c>
      <c r="V12" s="389"/>
      <c r="W12" s="389"/>
      <c r="X12" s="61" t="s">
        <v>110</v>
      </c>
      <c r="Y12" s="427">
        <f>Draft!T4</f>
        <v>0.68055555555555558</v>
      </c>
      <c r="Z12" s="378"/>
      <c r="AA12" s="378"/>
      <c r="AB12" s="272"/>
      <c r="AC12" s="272"/>
      <c r="AD12" s="272"/>
      <c r="AE12" s="378" t="s">
        <v>109</v>
      </c>
      <c r="AF12" s="377"/>
      <c r="AG12" s="426">
        <f>Draft!AS3</f>
        <v>0.66666666666666663</v>
      </c>
      <c r="AH12" s="389"/>
      <c r="AI12" s="389"/>
      <c r="AJ12" s="61" t="s">
        <v>110</v>
      </c>
      <c r="AK12" s="427">
        <f>Draft!AS4</f>
        <v>0.69444444444444442</v>
      </c>
      <c r="AL12" s="378"/>
      <c r="AM12" s="378"/>
      <c r="AN12" s="272"/>
      <c r="AO12" s="287"/>
    </row>
    <row r="13" spans="1:41" ht="12.75" customHeight="1" x14ac:dyDescent="0.2">
      <c r="A13" s="381"/>
      <c r="B13" s="382"/>
      <c r="C13" s="382"/>
      <c r="D13" s="382"/>
      <c r="E13" s="382"/>
      <c r="F13" s="382"/>
      <c r="G13" s="382"/>
      <c r="H13" s="382"/>
      <c r="I13" s="382"/>
      <c r="J13" s="382"/>
      <c r="K13" s="382"/>
      <c r="L13" s="382"/>
      <c r="M13" s="382"/>
      <c r="N13" s="382"/>
      <c r="O13" s="382"/>
      <c r="P13" s="382"/>
      <c r="Q13" s="382"/>
      <c r="R13" s="382"/>
      <c r="S13" s="425" t="s">
        <v>75</v>
      </c>
      <c r="T13" s="425"/>
      <c r="U13" s="425"/>
      <c r="V13" s="425"/>
      <c r="W13" s="425"/>
      <c r="X13" s="425"/>
      <c r="Y13" s="425"/>
      <c r="Z13" s="425"/>
      <c r="AA13" s="425"/>
      <c r="AB13" s="272"/>
      <c r="AC13" s="272"/>
      <c r="AD13" s="272"/>
      <c r="AE13" s="425" t="s">
        <v>75</v>
      </c>
      <c r="AF13" s="425"/>
      <c r="AG13" s="425"/>
      <c r="AH13" s="425"/>
      <c r="AI13" s="425"/>
      <c r="AJ13" s="425"/>
      <c r="AK13" s="425"/>
      <c r="AL13" s="425"/>
      <c r="AM13" s="425"/>
      <c r="AN13" s="272"/>
      <c r="AO13" s="287"/>
    </row>
    <row r="14" spans="1:41" ht="12.75" customHeight="1" x14ac:dyDescent="0.2">
      <c r="A14" s="23"/>
      <c r="B14" s="402" t="s">
        <v>111</v>
      </c>
      <c r="C14" s="402"/>
      <c r="D14" s="402"/>
      <c r="E14" s="402"/>
      <c r="F14" s="402"/>
      <c r="G14" s="402"/>
      <c r="H14" s="402"/>
      <c r="I14" s="402"/>
      <c r="J14" s="402"/>
      <c r="K14" s="402"/>
      <c r="L14" s="402"/>
      <c r="M14" s="402"/>
      <c r="N14" s="402"/>
      <c r="O14" s="402"/>
      <c r="P14" s="402"/>
      <c r="Q14" s="402"/>
      <c r="S14" s="428">
        <f>+Draft!A8</f>
        <v>11.43</v>
      </c>
      <c r="T14" s="429"/>
      <c r="U14" s="429"/>
      <c r="V14" s="429"/>
      <c r="W14" s="429"/>
      <c r="X14" s="429"/>
      <c r="Y14" s="429"/>
      <c r="Z14" s="429"/>
      <c r="AA14" s="62"/>
      <c r="AB14" s="272"/>
      <c r="AC14" s="272"/>
      <c r="AD14" s="272"/>
      <c r="AE14" s="428">
        <f>+Draft!Z8</f>
        <v>4.6500000000000004</v>
      </c>
      <c r="AF14" s="429"/>
      <c r="AG14" s="429"/>
      <c r="AH14" s="429"/>
      <c r="AI14" s="429"/>
      <c r="AJ14" s="429"/>
      <c r="AK14" s="429"/>
      <c r="AL14" s="429"/>
      <c r="AM14" s="62"/>
      <c r="AN14" s="286"/>
      <c r="AO14" s="287"/>
    </row>
    <row r="15" spans="1:41" ht="12.75" customHeight="1" x14ac:dyDescent="0.2">
      <c r="A15" s="23"/>
      <c r="B15" s="402" t="s">
        <v>112</v>
      </c>
      <c r="C15" s="402"/>
      <c r="D15" s="402"/>
      <c r="E15" s="402"/>
      <c r="F15" s="402"/>
      <c r="G15" s="402"/>
      <c r="H15" s="402"/>
      <c r="I15" s="402"/>
      <c r="J15" s="402"/>
      <c r="K15" s="402"/>
      <c r="L15" s="402"/>
      <c r="M15" s="402"/>
      <c r="N15" s="402"/>
      <c r="O15" s="402"/>
      <c r="P15" s="402"/>
      <c r="Q15" s="402"/>
      <c r="S15" s="428">
        <f>+Draft!E8</f>
        <v>11.44</v>
      </c>
      <c r="T15" s="429"/>
      <c r="U15" s="429"/>
      <c r="V15" s="429"/>
      <c r="W15" s="429"/>
      <c r="X15" s="429"/>
      <c r="Y15" s="429"/>
      <c r="Z15" s="429"/>
      <c r="AA15" s="62"/>
      <c r="AB15" s="272"/>
      <c r="AC15" s="272"/>
      <c r="AD15" s="272"/>
      <c r="AE15" s="428">
        <f>+Draft!AD8</f>
        <v>4.6500000000000004</v>
      </c>
      <c r="AF15" s="429"/>
      <c r="AG15" s="429"/>
      <c r="AH15" s="429"/>
      <c r="AI15" s="429"/>
      <c r="AJ15" s="429"/>
      <c r="AK15" s="429"/>
      <c r="AL15" s="429"/>
      <c r="AM15" s="62"/>
      <c r="AN15" s="286"/>
      <c r="AO15" s="287"/>
    </row>
    <row r="16" spans="1:41" ht="12.75" customHeight="1" x14ac:dyDescent="0.2">
      <c r="A16" s="23"/>
      <c r="B16" s="402" t="s">
        <v>113</v>
      </c>
      <c r="C16" s="402"/>
      <c r="D16" s="402"/>
      <c r="E16" s="402"/>
      <c r="F16" s="402"/>
      <c r="G16" s="402"/>
      <c r="H16" s="402"/>
      <c r="I16" s="402"/>
      <c r="J16" s="402"/>
      <c r="K16" s="402"/>
      <c r="L16" s="402"/>
      <c r="M16" s="402"/>
      <c r="N16" s="402"/>
      <c r="O16" s="402"/>
      <c r="P16" s="402"/>
      <c r="Q16" s="402"/>
      <c r="S16" s="428">
        <f>+Draft!J8</f>
        <v>11.434999999999999</v>
      </c>
      <c r="T16" s="429"/>
      <c r="U16" s="429"/>
      <c r="V16" s="429"/>
      <c r="W16" s="429"/>
      <c r="X16" s="429"/>
      <c r="Y16" s="429"/>
      <c r="Z16" s="429"/>
      <c r="AA16" s="62"/>
      <c r="AB16" s="272"/>
      <c r="AC16" s="272"/>
      <c r="AD16" s="272"/>
      <c r="AE16" s="428">
        <f>+Draft!AI8</f>
        <v>4.6500000000000004</v>
      </c>
      <c r="AF16" s="429"/>
      <c r="AG16" s="429"/>
      <c r="AH16" s="429"/>
      <c r="AI16" s="429"/>
      <c r="AJ16" s="429"/>
      <c r="AK16" s="429"/>
      <c r="AL16" s="429"/>
      <c r="AM16" s="62"/>
      <c r="AN16" s="286"/>
      <c r="AO16" s="287"/>
    </row>
    <row r="17" spans="1:41" ht="12.75" customHeight="1" x14ac:dyDescent="0.2">
      <c r="A17" s="23"/>
      <c r="B17" s="402" t="s">
        <v>114</v>
      </c>
      <c r="C17" s="402"/>
      <c r="D17" s="402"/>
      <c r="E17" s="402"/>
      <c r="F17" s="402"/>
      <c r="G17" s="402"/>
      <c r="H17" s="402"/>
      <c r="I17" s="402"/>
      <c r="J17" s="402"/>
      <c r="K17" s="402"/>
      <c r="L17" s="402"/>
      <c r="M17" s="402"/>
      <c r="N17" s="402"/>
      <c r="O17" s="402"/>
      <c r="P17" s="402"/>
      <c r="Q17" s="402"/>
      <c r="S17" s="428">
        <f>+Draft!N8</f>
        <v>-1.4769643156307617E-2</v>
      </c>
      <c r="T17" s="429"/>
      <c r="U17" s="429"/>
      <c r="V17" s="429"/>
      <c r="W17" s="429"/>
      <c r="X17" s="429"/>
      <c r="Y17" s="429"/>
      <c r="Z17" s="429"/>
      <c r="AA17" s="62"/>
      <c r="AB17" s="272"/>
      <c r="AC17" s="272"/>
      <c r="AD17" s="272"/>
      <c r="AE17" s="428">
        <f>+Draft!AM8</f>
        <v>-4.469760428882559E-2</v>
      </c>
      <c r="AF17" s="429"/>
      <c r="AG17" s="429"/>
      <c r="AH17" s="429"/>
      <c r="AI17" s="429"/>
      <c r="AJ17" s="429"/>
      <c r="AK17" s="429"/>
      <c r="AL17" s="429"/>
      <c r="AM17" s="62"/>
      <c r="AN17" s="286"/>
      <c r="AO17" s="287"/>
    </row>
    <row r="18" spans="1:41" ht="12.75" customHeight="1" x14ac:dyDescent="0.2">
      <c r="A18" s="23"/>
      <c r="B18" s="402" t="s">
        <v>115</v>
      </c>
      <c r="C18" s="402"/>
      <c r="D18" s="402"/>
      <c r="E18" s="402"/>
      <c r="F18" s="402"/>
      <c r="G18" s="402"/>
      <c r="H18" s="402"/>
      <c r="I18" s="402"/>
      <c r="J18" s="402"/>
      <c r="K18" s="402"/>
      <c r="L18" s="402"/>
      <c r="M18" s="402"/>
      <c r="N18" s="402"/>
      <c r="O18" s="402"/>
      <c r="P18" s="402"/>
      <c r="Q18" s="402"/>
      <c r="S18" s="428">
        <f>+Draft!R8</f>
        <v>11.420230356843691</v>
      </c>
      <c r="T18" s="429"/>
      <c r="U18" s="429"/>
      <c r="V18" s="429"/>
      <c r="W18" s="429"/>
      <c r="X18" s="429"/>
      <c r="Y18" s="429"/>
      <c r="Z18" s="429"/>
      <c r="AA18" s="62"/>
      <c r="AB18" s="272"/>
      <c r="AC18" s="272"/>
      <c r="AD18" s="272"/>
      <c r="AE18" s="428">
        <f>+Draft!AQ8</f>
        <v>4.6053023957111749</v>
      </c>
      <c r="AF18" s="429"/>
      <c r="AG18" s="429"/>
      <c r="AH18" s="429"/>
      <c r="AI18" s="429"/>
      <c r="AJ18" s="429"/>
      <c r="AK18" s="429"/>
      <c r="AL18" s="429"/>
      <c r="AM18" s="62"/>
      <c r="AN18" s="286"/>
      <c r="AO18" s="287"/>
    </row>
    <row r="19" spans="1:41" ht="12.75" customHeight="1" x14ac:dyDescent="0.2">
      <c r="A19" s="23"/>
      <c r="B19" s="402" t="s">
        <v>116</v>
      </c>
      <c r="C19" s="402"/>
      <c r="D19" s="402"/>
      <c r="E19" s="402"/>
      <c r="F19" s="402"/>
      <c r="G19" s="402"/>
      <c r="H19" s="402"/>
      <c r="I19" s="402"/>
      <c r="J19" s="402"/>
      <c r="K19" s="402"/>
      <c r="L19" s="402"/>
      <c r="M19" s="402"/>
      <c r="N19" s="402"/>
      <c r="O19" s="402"/>
      <c r="P19" s="402"/>
      <c r="Q19" s="402"/>
      <c r="S19" s="428">
        <f>+Draft!A10</f>
        <v>12.19</v>
      </c>
      <c r="T19" s="429"/>
      <c r="U19" s="429"/>
      <c r="V19" s="429"/>
      <c r="W19" s="429"/>
      <c r="X19" s="429"/>
      <c r="Y19" s="429"/>
      <c r="Z19" s="429"/>
      <c r="AA19" s="62"/>
      <c r="AB19" s="272"/>
      <c r="AC19" s="272"/>
      <c r="AD19" s="272"/>
      <c r="AE19" s="428">
        <f>+Draft!Z10</f>
        <v>6.95</v>
      </c>
      <c r="AF19" s="429"/>
      <c r="AG19" s="429"/>
      <c r="AH19" s="429"/>
      <c r="AI19" s="429"/>
      <c r="AJ19" s="429"/>
      <c r="AK19" s="429"/>
      <c r="AL19" s="429"/>
      <c r="AM19" s="62"/>
      <c r="AN19" s="286"/>
      <c r="AO19" s="287"/>
    </row>
    <row r="20" spans="1:41" ht="12.75" customHeight="1" x14ac:dyDescent="0.2">
      <c r="A20" s="23"/>
      <c r="B20" s="408" t="s">
        <v>117</v>
      </c>
      <c r="C20" s="402"/>
      <c r="D20" s="402"/>
      <c r="E20" s="402"/>
      <c r="F20" s="402"/>
      <c r="G20" s="402"/>
      <c r="H20" s="402"/>
      <c r="I20" s="402"/>
      <c r="J20" s="402"/>
      <c r="K20" s="402"/>
      <c r="L20" s="402"/>
      <c r="M20" s="402"/>
      <c r="N20" s="402"/>
      <c r="O20" s="402"/>
      <c r="P20" s="402"/>
      <c r="Q20" s="402"/>
      <c r="S20" s="428">
        <f>+Draft!E10</f>
        <v>12.2</v>
      </c>
      <c r="T20" s="429"/>
      <c r="U20" s="429"/>
      <c r="V20" s="429"/>
      <c r="W20" s="429"/>
      <c r="X20" s="429"/>
      <c r="Y20" s="429"/>
      <c r="Z20" s="429"/>
      <c r="AA20" s="62"/>
      <c r="AB20" s="272"/>
      <c r="AC20" s="272"/>
      <c r="AD20" s="272"/>
      <c r="AE20" s="428">
        <f>+Draft!AD10</f>
        <v>6.95</v>
      </c>
      <c r="AF20" s="429"/>
      <c r="AG20" s="429"/>
      <c r="AH20" s="429"/>
      <c r="AI20" s="429"/>
      <c r="AJ20" s="429"/>
      <c r="AK20" s="429"/>
      <c r="AL20" s="429"/>
      <c r="AM20" s="62"/>
      <c r="AN20" s="286"/>
      <c r="AO20" s="287"/>
    </row>
    <row r="21" spans="1:41" ht="12.75" customHeight="1" x14ac:dyDescent="0.2">
      <c r="A21" s="23"/>
      <c r="B21" s="402" t="s">
        <v>118</v>
      </c>
      <c r="C21" s="402"/>
      <c r="D21" s="402"/>
      <c r="E21" s="402"/>
      <c r="F21" s="402"/>
      <c r="G21" s="402"/>
      <c r="H21" s="402"/>
      <c r="I21" s="402"/>
      <c r="J21" s="402"/>
      <c r="K21" s="402"/>
      <c r="L21" s="402"/>
      <c r="M21" s="402"/>
      <c r="N21" s="402"/>
      <c r="O21" s="402"/>
      <c r="P21" s="402"/>
      <c r="Q21" s="402"/>
      <c r="S21" s="428">
        <f>+Draft!J10</f>
        <v>12.195</v>
      </c>
      <c r="T21" s="429"/>
      <c r="U21" s="429"/>
      <c r="V21" s="429"/>
      <c r="W21" s="429"/>
      <c r="X21" s="429"/>
      <c r="Y21" s="429"/>
      <c r="Z21" s="429"/>
      <c r="AA21" s="62"/>
      <c r="AB21" s="272"/>
      <c r="AC21" s="272"/>
      <c r="AD21" s="272"/>
      <c r="AE21" s="428">
        <f>+Draft!AI10</f>
        <v>6.95</v>
      </c>
      <c r="AF21" s="429"/>
      <c r="AG21" s="429"/>
      <c r="AH21" s="429"/>
      <c r="AI21" s="429"/>
      <c r="AJ21" s="429"/>
      <c r="AK21" s="429"/>
      <c r="AL21" s="429"/>
      <c r="AM21" s="62"/>
      <c r="AN21" s="286"/>
      <c r="AO21" s="287"/>
    </row>
    <row r="22" spans="1:41" ht="12.75" customHeight="1" x14ac:dyDescent="0.2">
      <c r="A22" s="23"/>
      <c r="B22" s="402" t="s">
        <v>114</v>
      </c>
      <c r="C22" s="402"/>
      <c r="D22" s="402"/>
      <c r="E22" s="402"/>
      <c r="F22" s="402"/>
      <c r="G22" s="402"/>
      <c r="H22" s="402"/>
      <c r="I22" s="402"/>
      <c r="J22" s="402"/>
      <c r="K22" s="402"/>
      <c r="L22" s="402"/>
      <c r="M22" s="402"/>
      <c r="N22" s="402"/>
      <c r="O22" s="402"/>
      <c r="P22" s="402"/>
      <c r="Q22" s="402"/>
      <c r="S22" s="428">
        <f>+Draft!N10</f>
        <v>5.9205897135198637E-2</v>
      </c>
      <c r="T22" s="429"/>
      <c r="U22" s="429"/>
      <c r="V22" s="429"/>
      <c r="W22" s="429"/>
      <c r="X22" s="429"/>
      <c r="Y22" s="429"/>
      <c r="Z22" s="429"/>
      <c r="AA22" s="62"/>
      <c r="AB22" s="272"/>
      <c r="AC22" s="272"/>
      <c r="AD22" s="272"/>
      <c r="AE22" s="428">
        <f>+Draft!AM10</f>
        <v>0.179175741330206</v>
      </c>
      <c r="AF22" s="429"/>
      <c r="AG22" s="429"/>
      <c r="AH22" s="429"/>
      <c r="AI22" s="429"/>
      <c r="AJ22" s="429"/>
      <c r="AK22" s="429"/>
      <c r="AL22" s="429"/>
      <c r="AM22" s="62"/>
      <c r="AN22" s="286"/>
      <c r="AO22" s="287"/>
    </row>
    <row r="23" spans="1:41" ht="12.75" customHeight="1" x14ac:dyDescent="0.2">
      <c r="A23" s="23"/>
      <c r="B23" s="402" t="s">
        <v>119</v>
      </c>
      <c r="C23" s="402"/>
      <c r="D23" s="402"/>
      <c r="E23" s="402"/>
      <c r="F23" s="402"/>
      <c r="G23" s="402"/>
      <c r="H23" s="402"/>
      <c r="I23" s="402"/>
      <c r="J23" s="402"/>
      <c r="K23" s="402"/>
      <c r="L23" s="402"/>
      <c r="M23" s="402"/>
      <c r="N23" s="402"/>
      <c r="O23" s="402"/>
      <c r="P23" s="402"/>
      <c r="Q23" s="402"/>
      <c r="S23" s="428">
        <f>+Draft!R10</f>
        <v>12.254205897135199</v>
      </c>
      <c r="T23" s="429"/>
      <c r="U23" s="429"/>
      <c r="V23" s="429"/>
      <c r="W23" s="429"/>
      <c r="X23" s="429"/>
      <c r="Y23" s="429"/>
      <c r="Z23" s="429"/>
      <c r="AA23" s="62"/>
      <c r="AB23" s="272"/>
      <c r="AC23" s="272"/>
      <c r="AD23" s="272"/>
      <c r="AE23" s="428">
        <f>+Draft!AQ10</f>
        <v>7.1291757413302062</v>
      </c>
      <c r="AF23" s="429"/>
      <c r="AG23" s="429"/>
      <c r="AH23" s="429"/>
      <c r="AI23" s="429"/>
      <c r="AJ23" s="429"/>
      <c r="AK23" s="429"/>
      <c r="AL23" s="429"/>
      <c r="AM23" s="62"/>
      <c r="AN23" s="286"/>
      <c r="AO23" s="287"/>
    </row>
    <row r="24" spans="1:41" ht="12.75" customHeight="1" x14ac:dyDescent="0.2">
      <c r="A24" s="23"/>
      <c r="B24" s="402" t="s">
        <v>120</v>
      </c>
      <c r="C24" s="402"/>
      <c r="D24" s="402"/>
      <c r="E24" s="402"/>
      <c r="F24" s="402"/>
      <c r="G24" s="402"/>
      <c r="H24" s="402"/>
      <c r="I24" s="402"/>
      <c r="J24" s="402"/>
      <c r="K24" s="402"/>
      <c r="L24" s="402"/>
      <c r="M24" s="402"/>
      <c r="N24" s="402"/>
      <c r="O24" s="402"/>
      <c r="P24" s="402"/>
      <c r="Q24" s="402"/>
      <c r="S24" s="428">
        <f>(+S18+S23)/2</f>
        <v>11.837218126989445</v>
      </c>
      <c r="T24" s="429"/>
      <c r="U24" s="429"/>
      <c r="V24" s="429"/>
      <c r="W24" s="429"/>
      <c r="X24" s="429"/>
      <c r="Y24" s="429"/>
      <c r="Z24" s="429"/>
      <c r="AA24" s="62"/>
      <c r="AB24" s="272"/>
      <c r="AC24" s="272"/>
      <c r="AD24" s="272"/>
      <c r="AE24" s="428">
        <f>(+AE18+AE23)/2</f>
        <v>5.867239068520691</v>
      </c>
      <c r="AF24" s="429"/>
      <c r="AG24" s="429"/>
      <c r="AH24" s="429"/>
      <c r="AI24" s="429"/>
      <c r="AJ24" s="429"/>
      <c r="AK24" s="429"/>
      <c r="AL24" s="429"/>
      <c r="AM24" s="62"/>
      <c r="AN24" s="286"/>
      <c r="AO24" s="287"/>
    </row>
    <row r="25" spans="1:41" ht="12.75" customHeight="1" x14ac:dyDescent="0.2">
      <c r="A25" s="23"/>
      <c r="B25" s="402" t="s">
        <v>121</v>
      </c>
      <c r="C25" s="402"/>
      <c r="D25" s="402"/>
      <c r="E25" s="402"/>
      <c r="F25" s="402"/>
      <c r="G25" s="402"/>
      <c r="H25" s="402"/>
      <c r="I25" s="402"/>
      <c r="J25" s="402"/>
      <c r="K25" s="402"/>
      <c r="L25" s="402"/>
      <c r="M25" s="402"/>
      <c r="N25" s="402"/>
      <c r="O25" s="402"/>
      <c r="P25" s="402"/>
      <c r="Q25" s="402"/>
      <c r="S25" s="428">
        <f>+Draft!A9</f>
        <v>11.78</v>
      </c>
      <c r="T25" s="429"/>
      <c r="U25" s="429"/>
      <c r="V25" s="429"/>
      <c r="W25" s="429"/>
      <c r="X25" s="429"/>
      <c r="Y25" s="429"/>
      <c r="Z25" s="429"/>
      <c r="AA25" s="62"/>
      <c r="AB25" s="272"/>
      <c r="AC25" s="272"/>
      <c r="AD25" s="272"/>
      <c r="AE25" s="428">
        <f>+Draft!Z9</f>
        <v>5.76</v>
      </c>
      <c r="AF25" s="429"/>
      <c r="AG25" s="429"/>
      <c r="AH25" s="429"/>
      <c r="AI25" s="429"/>
      <c r="AJ25" s="429"/>
      <c r="AK25" s="429"/>
      <c r="AL25" s="429"/>
      <c r="AM25" s="62"/>
      <c r="AN25" s="286"/>
      <c r="AO25" s="287"/>
    </row>
    <row r="26" spans="1:41" ht="12.75" customHeight="1" x14ac:dyDescent="0.2">
      <c r="A26" s="23"/>
      <c r="B26" s="402" t="s">
        <v>122</v>
      </c>
      <c r="C26" s="402"/>
      <c r="D26" s="402"/>
      <c r="E26" s="402"/>
      <c r="F26" s="402"/>
      <c r="G26" s="402"/>
      <c r="H26" s="402"/>
      <c r="I26" s="402"/>
      <c r="J26" s="402"/>
      <c r="K26" s="402"/>
      <c r="L26" s="402"/>
      <c r="M26" s="402"/>
      <c r="N26" s="402"/>
      <c r="O26" s="402"/>
      <c r="P26" s="402"/>
      <c r="Q26" s="402"/>
      <c r="S26" s="428">
        <f>+Draft!E9</f>
        <v>11.79</v>
      </c>
      <c r="T26" s="429"/>
      <c r="U26" s="429"/>
      <c r="V26" s="429"/>
      <c r="W26" s="429"/>
      <c r="X26" s="429"/>
      <c r="Y26" s="429"/>
      <c r="Z26" s="429"/>
      <c r="AA26" s="62"/>
      <c r="AB26" s="272"/>
      <c r="AC26" s="272"/>
      <c r="AD26" s="272"/>
      <c r="AE26" s="428">
        <f>+Draft!AD9</f>
        <v>5.76</v>
      </c>
      <c r="AF26" s="429"/>
      <c r="AG26" s="429"/>
      <c r="AH26" s="429"/>
      <c r="AI26" s="429"/>
      <c r="AJ26" s="429"/>
      <c r="AK26" s="429"/>
      <c r="AL26" s="429"/>
      <c r="AM26" s="62"/>
      <c r="AN26" s="286"/>
      <c r="AO26" s="287"/>
    </row>
    <row r="27" spans="1:41" ht="12.75" customHeight="1" x14ac:dyDescent="0.2">
      <c r="A27" s="23"/>
      <c r="B27" s="402" t="s">
        <v>123</v>
      </c>
      <c r="C27" s="402"/>
      <c r="D27" s="402"/>
      <c r="E27" s="402"/>
      <c r="F27" s="402"/>
      <c r="G27" s="402"/>
      <c r="H27" s="402"/>
      <c r="I27" s="402"/>
      <c r="J27" s="402"/>
      <c r="K27" s="402"/>
      <c r="L27" s="402"/>
      <c r="M27" s="402"/>
      <c r="N27" s="402"/>
      <c r="O27" s="402"/>
      <c r="P27" s="402"/>
      <c r="Q27" s="402"/>
      <c r="S27" s="428">
        <f>+Draft!J9</f>
        <v>11.785</v>
      </c>
      <c r="T27" s="429"/>
      <c r="U27" s="429"/>
      <c r="V27" s="429"/>
      <c r="W27" s="429"/>
      <c r="X27" s="429"/>
      <c r="Y27" s="429"/>
      <c r="Z27" s="429"/>
      <c r="AA27" s="62"/>
      <c r="AB27" s="272"/>
      <c r="AC27" s="272"/>
      <c r="AD27" s="272"/>
      <c r="AE27" s="428">
        <f>+Draft!AI9</f>
        <v>5.76</v>
      </c>
      <c r="AF27" s="429"/>
      <c r="AG27" s="429"/>
      <c r="AH27" s="429"/>
      <c r="AI27" s="429"/>
      <c r="AJ27" s="429"/>
      <c r="AK27" s="429"/>
      <c r="AL27" s="429"/>
      <c r="AM27" s="62"/>
      <c r="AN27" s="286"/>
      <c r="AO27" s="287"/>
    </row>
    <row r="28" spans="1:41" ht="12.75" customHeight="1" x14ac:dyDescent="0.2">
      <c r="A28" s="23"/>
      <c r="B28" s="402" t="s">
        <v>124</v>
      </c>
      <c r="C28" s="402"/>
      <c r="D28" s="402"/>
      <c r="E28" s="402"/>
      <c r="F28" s="402"/>
      <c r="G28" s="402"/>
      <c r="H28" s="402"/>
      <c r="I28" s="402"/>
      <c r="J28" s="402"/>
      <c r="K28" s="402"/>
      <c r="L28" s="402"/>
      <c r="M28" s="402"/>
      <c r="N28" s="402"/>
      <c r="O28" s="402"/>
      <c r="P28" s="402"/>
      <c r="Q28" s="402"/>
      <c r="S28" s="428">
        <f>+Draft!N9</f>
        <v>-2.1220751661361519E-3</v>
      </c>
      <c r="T28" s="429"/>
      <c r="U28" s="429"/>
      <c r="V28" s="429"/>
      <c r="W28" s="429"/>
      <c r="X28" s="429"/>
      <c r="Y28" s="429"/>
      <c r="Z28" s="429"/>
      <c r="AA28" s="62"/>
      <c r="AB28" s="272"/>
      <c r="AC28" s="272"/>
      <c r="AD28" s="272"/>
      <c r="AE28" s="428">
        <f>+Draft!AM9</f>
        <v>-6.4220695817278151E-3</v>
      </c>
      <c r="AF28" s="429"/>
      <c r="AG28" s="429"/>
      <c r="AH28" s="429"/>
      <c r="AI28" s="429"/>
      <c r="AJ28" s="429"/>
      <c r="AK28" s="429"/>
      <c r="AL28" s="429"/>
      <c r="AM28" s="62"/>
      <c r="AN28" s="286"/>
      <c r="AO28" s="287"/>
    </row>
    <row r="29" spans="1:41" ht="12.75" customHeight="1" x14ac:dyDescent="0.2">
      <c r="A29" s="23"/>
      <c r="B29" s="402" t="s">
        <v>125</v>
      </c>
      <c r="C29" s="402"/>
      <c r="D29" s="402"/>
      <c r="E29" s="402"/>
      <c r="F29" s="402"/>
      <c r="G29" s="402"/>
      <c r="H29" s="402"/>
      <c r="I29" s="402"/>
      <c r="J29" s="402"/>
      <c r="K29" s="402"/>
      <c r="L29" s="402"/>
      <c r="M29" s="402"/>
      <c r="N29" s="402"/>
      <c r="O29" s="402"/>
      <c r="P29" s="402"/>
      <c r="Q29" s="402"/>
      <c r="S29" s="428">
        <f>+Draft!R9</f>
        <v>11.782877924833864</v>
      </c>
      <c r="T29" s="429"/>
      <c r="U29" s="429"/>
      <c r="V29" s="429"/>
      <c r="W29" s="429"/>
      <c r="X29" s="429"/>
      <c r="Y29" s="429"/>
      <c r="Z29" s="429"/>
      <c r="AA29" s="62"/>
      <c r="AB29" s="272"/>
      <c r="AC29" s="272"/>
      <c r="AD29" s="272"/>
      <c r="AE29" s="428">
        <f>+Draft!AQ9</f>
        <v>5.7535779304182721</v>
      </c>
      <c r="AF29" s="429"/>
      <c r="AG29" s="429"/>
      <c r="AH29" s="429"/>
      <c r="AI29" s="429"/>
      <c r="AJ29" s="429"/>
      <c r="AK29" s="429"/>
      <c r="AL29" s="429"/>
      <c r="AM29" s="62"/>
      <c r="AN29" s="286"/>
      <c r="AO29" s="287"/>
    </row>
    <row r="30" spans="1:41" ht="12.75" customHeight="1" x14ac:dyDescent="0.2">
      <c r="A30" s="23"/>
      <c r="B30" s="402" t="s">
        <v>126</v>
      </c>
      <c r="C30" s="402"/>
      <c r="D30" s="402"/>
      <c r="E30" s="402"/>
      <c r="F30" s="402"/>
      <c r="G30" s="402"/>
      <c r="H30" s="402"/>
      <c r="I30" s="402"/>
      <c r="J30" s="402"/>
      <c r="K30" s="402"/>
      <c r="L30" s="402"/>
      <c r="M30" s="402"/>
      <c r="N30" s="402"/>
      <c r="O30" s="402"/>
      <c r="P30" s="402"/>
      <c r="Q30" s="402"/>
      <c r="S30" s="428">
        <f t="shared" ref="S30:Z30" si="0">+S27-(S16+S21)/2</f>
        <v>-2.9999999999999361E-2</v>
      </c>
      <c r="T30" s="429">
        <f t="shared" si="0"/>
        <v>0</v>
      </c>
      <c r="U30" s="429">
        <f t="shared" si="0"/>
        <v>0</v>
      </c>
      <c r="V30" s="429">
        <f t="shared" si="0"/>
        <v>0</v>
      </c>
      <c r="W30" s="429">
        <f t="shared" si="0"/>
        <v>0</v>
      </c>
      <c r="X30" s="429">
        <f t="shared" si="0"/>
        <v>0</v>
      </c>
      <c r="Y30" s="429">
        <f t="shared" si="0"/>
        <v>0</v>
      </c>
      <c r="Z30" s="429">
        <f t="shared" si="0"/>
        <v>0</v>
      </c>
      <c r="AA30" s="62"/>
      <c r="AB30" s="272"/>
      <c r="AC30" s="272"/>
      <c r="AD30" s="272"/>
      <c r="AE30" s="428">
        <f t="shared" ref="AE30:AL30" si="1">+AE27-(AE16+AE21)/2</f>
        <v>-4.0000000000000924E-2</v>
      </c>
      <c r="AF30" s="429">
        <f t="shared" si="1"/>
        <v>0</v>
      </c>
      <c r="AG30" s="429">
        <f t="shared" si="1"/>
        <v>0</v>
      </c>
      <c r="AH30" s="429">
        <f t="shared" si="1"/>
        <v>0</v>
      </c>
      <c r="AI30" s="429">
        <f t="shared" si="1"/>
        <v>0</v>
      </c>
      <c r="AJ30" s="429">
        <f t="shared" si="1"/>
        <v>0</v>
      </c>
      <c r="AK30" s="429">
        <f t="shared" si="1"/>
        <v>0</v>
      </c>
      <c r="AL30" s="429">
        <f t="shared" si="1"/>
        <v>0</v>
      </c>
      <c r="AM30" s="62"/>
      <c r="AN30" s="286"/>
      <c r="AO30" s="287"/>
    </row>
    <row r="31" spans="1:41" ht="12.75" customHeight="1" x14ac:dyDescent="0.2">
      <c r="A31" s="23"/>
      <c r="B31" s="402" t="s">
        <v>127</v>
      </c>
      <c r="C31" s="402"/>
      <c r="D31" s="402"/>
      <c r="E31" s="402"/>
      <c r="F31" s="402"/>
      <c r="G31" s="402"/>
      <c r="H31" s="402"/>
      <c r="I31" s="402"/>
      <c r="J31" s="402"/>
      <c r="K31" s="402"/>
      <c r="L31" s="402"/>
      <c r="M31" s="402"/>
      <c r="N31" s="402"/>
      <c r="O31" s="402"/>
      <c r="P31" s="402"/>
      <c r="Q31" s="402"/>
      <c r="S31" s="430">
        <f>+Draft!R13</f>
        <v>11.796462975372759</v>
      </c>
      <c r="T31" s="431"/>
      <c r="U31" s="431"/>
      <c r="V31" s="431"/>
      <c r="W31" s="431"/>
      <c r="X31" s="431"/>
      <c r="Y31" s="431"/>
      <c r="Z31" s="431"/>
      <c r="AA31" s="62"/>
      <c r="AB31" s="272"/>
      <c r="AC31" s="272"/>
      <c r="AD31" s="272"/>
      <c r="AE31" s="430">
        <f>+Draft!AQ13</f>
        <v>5.7819932149438769</v>
      </c>
      <c r="AF31" s="431"/>
      <c r="AG31" s="431"/>
      <c r="AH31" s="431"/>
      <c r="AI31" s="431"/>
      <c r="AJ31" s="431"/>
      <c r="AK31" s="431"/>
      <c r="AL31" s="431"/>
      <c r="AM31" s="62"/>
      <c r="AN31" s="286"/>
      <c r="AO31" s="287"/>
    </row>
    <row r="32" spans="1:41" ht="12.75" customHeight="1" x14ac:dyDescent="0.2">
      <c r="A32" s="23"/>
      <c r="B32" s="402" t="s">
        <v>128</v>
      </c>
      <c r="C32" s="402"/>
      <c r="D32" s="402"/>
      <c r="E32" s="402"/>
      <c r="F32" s="402"/>
      <c r="G32" s="402"/>
      <c r="H32" s="402"/>
      <c r="I32" s="402"/>
      <c r="J32" s="402"/>
      <c r="K32" s="402"/>
      <c r="L32" s="402"/>
      <c r="M32" s="402"/>
      <c r="N32" s="402"/>
      <c r="O32" s="402"/>
      <c r="P32" s="402"/>
      <c r="Q32" s="402"/>
      <c r="S32" s="432" t="s">
        <v>129</v>
      </c>
      <c r="T32" s="433"/>
      <c r="U32" s="433"/>
      <c r="V32" s="433"/>
      <c r="W32" s="433"/>
      <c r="X32" s="433"/>
      <c r="Y32" s="433"/>
      <c r="Z32" s="433"/>
      <c r="AA32" s="62"/>
      <c r="AB32" s="272"/>
      <c r="AC32" s="272"/>
      <c r="AD32" s="272"/>
      <c r="AE32" s="432" t="s">
        <v>129</v>
      </c>
      <c r="AF32" s="433"/>
      <c r="AG32" s="433"/>
      <c r="AH32" s="433"/>
      <c r="AI32" s="433"/>
      <c r="AJ32" s="433"/>
      <c r="AK32" s="433"/>
      <c r="AL32" s="433"/>
      <c r="AM32" s="62"/>
      <c r="AN32" s="286"/>
      <c r="AO32" s="287"/>
    </row>
    <row r="33" spans="1:41" ht="12.75" customHeight="1" x14ac:dyDescent="0.2">
      <c r="A33" s="23"/>
      <c r="B33" s="402" t="s">
        <v>130</v>
      </c>
      <c r="C33" s="402"/>
      <c r="D33" s="402"/>
      <c r="E33" s="402"/>
      <c r="F33" s="402"/>
      <c r="G33" s="402"/>
      <c r="H33" s="402"/>
      <c r="I33" s="402"/>
      <c r="J33" s="402"/>
      <c r="K33" s="402"/>
      <c r="L33" s="402"/>
      <c r="M33" s="402"/>
      <c r="N33" s="402"/>
      <c r="O33" s="402"/>
      <c r="P33" s="402"/>
      <c r="Q33" s="402"/>
      <c r="S33" s="432" t="str">
        <f>+S32</f>
        <v>Nil</v>
      </c>
      <c r="T33" s="433"/>
      <c r="U33" s="433"/>
      <c r="V33" s="433"/>
      <c r="W33" s="433"/>
      <c r="X33" s="433"/>
      <c r="Y33" s="433"/>
      <c r="Z33" s="433"/>
      <c r="AA33" s="62"/>
      <c r="AB33" s="272"/>
      <c r="AC33" s="272"/>
      <c r="AD33" s="272"/>
      <c r="AE33" s="432" t="str">
        <f>+AE32</f>
        <v>Nil</v>
      </c>
      <c r="AF33" s="433"/>
      <c r="AG33" s="433"/>
      <c r="AH33" s="433"/>
      <c r="AI33" s="433"/>
      <c r="AJ33" s="433"/>
      <c r="AK33" s="433"/>
      <c r="AL33" s="433"/>
      <c r="AM33" s="62"/>
      <c r="AN33" s="286"/>
      <c r="AO33" s="287"/>
    </row>
    <row r="34" spans="1:41" ht="12.75" customHeight="1" x14ac:dyDescent="0.2">
      <c r="A34" s="23"/>
      <c r="B34" s="402" t="s">
        <v>131</v>
      </c>
      <c r="C34" s="402"/>
      <c r="D34" s="402"/>
      <c r="E34" s="402"/>
      <c r="F34" s="402"/>
      <c r="G34" s="402"/>
      <c r="H34" s="402"/>
      <c r="I34" s="402"/>
      <c r="J34" s="402"/>
      <c r="K34" s="402"/>
      <c r="L34" s="402"/>
      <c r="M34" s="402"/>
      <c r="N34" s="402"/>
      <c r="O34" s="402"/>
      <c r="P34" s="402"/>
      <c r="Q34" s="402"/>
      <c r="S34" s="432" t="str">
        <f>+S33</f>
        <v>Nil</v>
      </c>
      <c r="T34" s="433"/>
      <c r="U34" s="433"/>
      <c r="V34" s="433"/>
      <c r="W34" s="433"/>
      <c r="X34" s="433"/>
      <c r="Y34" s="433"/>
      <c r="Z34" s="433"/>
      <c r="AA34" s="62"/>
      <c r="AB34" s="272"/>
      <c r="AC34" s="272"/>
      <c r="AD34" s="272"/>
      <c r="AE34" s="432" t="str">
        <f>+AE33</f>
        <v>Nil</v>
      </c>
      <c r="AF34" s="433"/>
      <c r="AG34" s="433"/>
      <c r="AH34" s="433"/>
      <c r="AI34" s="433"/>
      <c r="AJ34" s="433"/>
      <c r="AK34" s="433"/>
      <c r="AL34" s="433"/>
      <c r="AM34" s="62"/>
      <c r="AN34" s="286"/>
      <c r="AO34" s="287"/>
    </row>
    <row r="35" spans="1:41" ht="12.75" customHeight="1" x14ac:dyDescent="0.2">
      <c r="A35" s="23"/>
      <c r="B35" s="402" t="s">
        <v>132</v>
      </c>
      <c r="C35" s="402"/>
      <c r="D35" s="402"/>
      <c r="E35" s="402"/>
      <c r="F35" s="402"/>
      <c r="G35" s="402"/>
      <c r="H35" s="402"/>
      <c r="I35" s="402"/>
      <c r="J35" s="402"/>
      <c r="K35" s="402"/>
      <c r="L35" s="402"/>
      <c r="M35" s="402"/>
      <c r="N35" s="402"/>
      <c r="O35" s="402"/>
      <c r="P35" s="402"/>
      <c r="Q35" s="402"/>
      <c r="S35" s="432" t="str">
        <f>+S34</f>
        <v>Nil</v>
      </c>
      <c r="T35" s="433"/>
      <c r="U35" s="433"/>
      <c r="V35" s="433"/>
      <c r="W35" s="433"/>
      <c r="X35" s="433"/>
      <c r="Y35" s="433"/>
      <c r="Z35" s="433"/>
      <c r="AA35" s="62"/>
      <c r="AB35" s="272"/>
      <c r="AC35" s="272"/>
      <c r="AD35" s="272"/>
      <c r="AE35" s="432" t="str">
        <f>+AE34</f>
        <v>Nil</v>
      </c>
      <c r="AF35" s="433"/>
      <c r="AG35" s="433"/>
      <c r="AH35" s="433"/>
      <c r="AI35" s="433"/>
      <c r="AJ35" s="433"/>
      <c r="AK35" s="433"/>
      <c r="AL35" s="433"/>
      <c r="AM35" s="62"/>
      <c r="AN35" s="286"/>
      <c r="AO35" s="287"/>
    </row>
    <row r="36" spans="1:41" ht="12.75" customHeight="1" x14ac:dyDescent="0.2">
      <c r="A36" s="23"/>
      <c r="B36" s="402" t="s">
        <v>133</v>
      </c>
      <c r="C36" s="402"/>
      <c r="D36" s="402"/>
      <c r="E36" s="402"/>
      <c r="F36" s="402"/>
      <c r="G36" s="402"/>
      <c r="H36" s="402"/>
      <c r="I36" s="402"/>
      <c r="J36" s="402"/>
      <c r="K36" s="402"/>
      <c r="L36" s="402"/>
      <c r="M36" s="402"/>
      <c r="N36" s="402"/>
      <c r="O36" s="402"/>
      <c r="P36" s="402"/>
      <c r="Q36" s="402"/>
      <c r="S36" s="428">
        <f>+Draft!E13</f>
        <v>0.83397554029150811</v>
      </c>
      <c r="T36" s="429"/>
      <c r="U36" s="429"/>
      <c r="V36" s="429"/>
      <c r="W36" s="429"/>
      <c r="X36" s="429"/>
      <c r="Y36" s="429"/>
      <c r="Z36" s="429"/>
      <c r="AA36" s="62"/>
      <c r="AB36" s="272"/>
      <c r="AC36" s="272"/>
      <c r="AD36" s="272"/>
      <c r="AE36" s="428">
        <f>+Draft!AD13</f>
        <v>2.5238733456190312</v>
      </c>
      <c r="AF36" s="429"/>
      <c r="AG36" s="429"/>
      <c r="AH36" s="429"/>
      <c r="AI36" s="429"/>
      <c r="AJ36" s="429"/>
      <c r="AK36" s="429"/>
      <c r="AL36" s="429"/>
      <c r="AM36" s="62"/>
      <c r="AN36" s="286"/>
      <c r="AO36" s="287"/>
    </row>
    <row r="37" spans="1:41" ht="12.75" customHeight="1" x14ac:dyDescent="0.2">
      <c r="A37" s="23"/>
      <c r="B37" s="24"/>
      <c r="C37" s="24"/>
      <c r="D37" s="25"/>
      <c r="E37" s="24"/>
      <c r="F37" s="24"/>
      <c r="G37" s="24"/>
      <c r="H37" s="24"/>
      <c r="I37" s="24"/>
      <c r="J37" s="24"/>
      <c r="K37" s="24"/>
      <c r="L37" s="24"/>
      <c r="M37" s="24"/>
      <c r="N37" s="34"/>
      <c r="S37" s="434" t="s">
        <v>134</v>
      </c>
      <c r="T37" s="434"/>
      <c r="U37" s="434"/>
      <c r="V37" s="434"/>
      <c r="W37" s="434"/>
      <c r="X37" s="434"/>
      <c r="Y37" s="434"/>
      <c r="Z37" s="434"/>
      <c r="AA37" s="434"/>
      <c r="AB37" s="272"/>
      <c r="AC37" s="272"/>
      <c r="AD37" s="272"/>
      <c r="AE37" s="435" t="s">
        <v>134</v>
      </c>
      <c r="AF37" s="435"/>
      <c r="AG37" s="435"/>
      <c r="AH37" s="435"/>
      <c r="AI37" s="435"/>
      <c r="AJ37" s="435"/>
      <c r="AK37" s="435"/>
      <c r="AL37" s="435"/>
      <c r="AM37" s="435"/>
      <c r="AN37" s="272"/>
      <c r="AO37" s="287"/>
    </row>
    <row r="38" spans="1:41" ht="12.75" customHeight="1" x14ac:dyDescent="0.2">
      <c r="A38" s="23"/>
      <c r="B38" s="402" t="s">
        <v>135</v>
      </c>
      <c r="C38" s="402"/>
      <c r="D38" s="402"/>
      <c r="E38" s="402"/>
      <c r="F38" s="402"/>
      <c r="G38" s="402"/>
      <c r="H38" s="402"/>
      <c r="I38" s="402"/>
      <c r="J38" s="402"/>
      <c r="K38" s="402"/>
      <c r="L38" s="402"/>
      <c r="M38" s="402"/>
      <c r="N38" s="402"/>
      <c r="O38" s="402"/>
      <c r="P38" s="402"/>
      <c r="Q38" s="402"/>
      <c r="S38" s="428">
        <f>+Draft!I13</f>
        <v>1.0189999999999999</v>
      </c>
      <c r="T38" s="429"/>
      <c r="U38" s="429"/>
      <c r="V38" s="429"/>
      <c r="W38" s="429"/>
      <c r="X38" s="429"/>
      <c r="Y38" s="429"/>
      <c r="Z38" s="429"/>
      <c r="AA38" s="63"/>
      <c r="AB38" s="272"/>
      <c r="AC38" s="272"/>
      <c r="AD38" s="272"/>
      <c r="AE38" s="428">
        <f>+Draft!AH13</f>
        <v>1.0189999999999999</v>
      </c>
      <c r="AF38" s="429"/>
      <c r="AG38" s="429"/>
      <c r="AH38" s="429"/>
      <c r="AI38" s="429"/>
      <c r="AJ38" s="429"/>
      <c r="AK38" s="429"/>
      <c r="AL38" s="429"/>
      <c r="AM38" s="63"/>
      <c r="AN38" s="286"/>
      <c r="AO38" s="287"/>
    </row>
    <row r="39" spans="1:41" ht="12.75" customHeight="1" x14ac:dyDescent="0.2">
      <c r="A39" s="23"/>
      <c r="B39" s="402" t="s">
        <v>136</v>
      </c>
      <c r="C39" s="402"/>
      <c r="D39" s="402"/>
      <c r="E39" s="402"/>
      <c r="F39" s="402"/>
      <c r="G39" s="402"/>
      <c r="H39" s="402"/>
      <c r="I39" s="402"/>
      <c r="J39" s="402"/>
      <c r="K39" s="402"/>
      <c r="L39" s="402"/>
      <c r="M39" s="402"/>
      <c r="N39" s="402"/>
      <c r="O39" s="402"/>
      <c r="P39" s="402"/>
      <c r="Q39" s="402"/>
      <c r="S39" s="436"/>
      <c r="T39" s="433"/>
      <c r="U39" s="433"/>
      <c r="V39" s="433"/>
      <c r="W39" s="433"/>
      <c r="X39" s="433"/>
      <c r="Y39" s="433"/>
      <c r="Z39" s="433"/>
      <c r="AA39" s="63"/>
      <c r="AB39" s="272"/>
      <c r="AC39" s="272"/>
      <c r="AD39" s="272"/>
      <c r="AE39" s="436"/>
      <c r="AF39" s="433"/>
      <c r="AG39" s="433"/>
      <c r="AH39" s="433"/>
      <c r="AI39" s="433"/>
      <c r="AJ39" s="433"/>
      <c r="AK39" s="433"/>
      <c r="AL39" s="433"/>
      <c r="AM39" s="63"/>
      <c r="AN39" s="286"/>
      <c r="AO39" s="287"/>
    </row>
    <row r="40" spans="1:41" ht="12.75" customHeight="1" x14ac:dyDescent="0.2">
      <c r="A40" s="23"/>
      <c r="B40" s="272"/>
      <c r="C40" s="272"/>
      <c r="D40" s="272"/>
      <c r="E40" s="272"/>
      <c r="F40" s="272"/>
      <c r="G40" s="425" t="s">
        <v>137</v>
      </c>
      <c r="H40" s="425"/>
      <c r="I40" s="425"/>
      <c r="J40" s="425"/>
      <c r="K40" s="425"/>
      <c r="L40" s="425"/>
      <c r="M40" s="308">
        <f>+General!L32</f>
        <v>1234564555</v>
      </c>
      <c r="N40" s="308"/>
      <c r="O40" s="308"/>
      <c r="P40" s="308"/>
      <c r="Q40" s="308"/>
      <c r="S40" s="436"/>
      <c r="T40" s="433"/>
      <c r="U40" s="433"/>
      <c r="V40" s="433"/>
      <c r="W40" s="433"/>
      <c r="X40" s="433"/>
      <c r="Y40" s="433"/>
      <c r="Z40" s="433"/>
      <c r="AA40" s="63"/>
      <c r="AB40" s="272"/>
      <c r="AC40" s="272"/>
      <c r="AD40" s="272"/>
      <c r="AE40" s="436"/>
      <c r="AF40" s="433"/>
      <c r="AG40" s="433"/>
      <c r="AH40" s="433"/>
      <c r="AI40" s="433"/>
      <c r="AJ40" s="433"/>
      <c r="AK40" s="433"/>
      <c r="AL40" s="433"/>
      <c r="AM40" s="63"/>
      <c r="AN40" s="286"/>
      <c r="AO40" s="287"/>
    </row>
    <row r="41" spans="1:41" ht="12.75" customHeight="1" x14ac:dyDescent="0.2">
      <c r="A41" s="23"/>
      <c r="B41" s="24"/>
      <c r="C41" s="24"/>
      <c r="D41" s="25"/>
      <c r="E41" s="24"/>
      <c r="F41" s="24"/>
      <c r="G41" s="24"/>
      <c r="H41" s="24"/>
      <c r="I41" s="24"/>
      <c r="J41" s="24"/>
      <c r="K41" s="24"/>
      <c r="L41" s="24"/>
      <c r="M41" s="24"/>
      <c r="N41" s="34"/>
      <c r="S41" s="434" t="s">
        <v>138</v>
      </c>
      <c r="T41" s="434"/>
      <c r="U41" s="434"/>
      <c r="V41" s="434"/>
      <c r="W41" s="434"/>
      <c r="X41" s="434"/>
      <c r="Y41" s="434"/>
      <c r="Z41" s="434"/>
      <c r="AA41" s="434"/>
      <c r="AB41" s="272"/>
      <c r="AC41" s="272"/>
      <c r="AD41" s="272"/>
      <c r="AE41" s="435" t="s">
        <v>138</v>
      </c>
      <c r="AF41" s="435"/>
      <c r="AG41" s="435"/>
      <c r="AH41" s="435"/>
      <c r="AI41" s="435"/>
      <c r="AJ41" s="435"/>
      <c r="AK41" s="435"/>
      <c r="AL41" s="435"/>
      <c r="AM41" s="435"/>
      <c r="AN41" s="272"/>
      <c r="AO41" s="287"/>
    </row>
    <row r="42" spans="1:41" ht="12.75" customHeight="1" x14ac:dyDescent="0.2">
      <c r="A42" s="23"/>
      <c r="B42" s="402" t="s">
        <v>139</v>
      </c>
      <c r="C42" s="402"/>
      <c r="D42" s="402"/>
      <c r="E42" s="402"/>
      <c r="F42" s="402"/>
      <c r="G42" s="402"/>
      <c r="H42" s="402"/>
      <c r="I42" s="402"/>
      <c r="J42" s="402"/>
      <c r="K42" s="402"/>
      <c r="L42" s="402"/>
      <c r="M42" s="402"/>
      <c r="N42" s="402"/>
      <c r="O42" s="402"/>
      <c r="P42" s="402"/>
      <c r="Q42" s="402"/>
      <c r="S42" s="437">
        <f>+Draft!M20</f>
        <v>64634.383962975371</v>
      </c>
      <c r="T42" s="433"/>
      <c r="U42" s="433"/>
      <c r="V42" s="433"/>
      <c r="W42" s="433"/>
      <c r="X42" s="433"/>
      <c r="Y42" s="433"/>
      <c r="Z42" s="433"/>
      <c r="AA42" s="64"/>
      <c r="AB42" s="272"/>
      <c r="AC42" s="272"/>
      <c r="AD42" s="272"/>
      <c r="AE42" s="437">
        <f>+Draft!AG20</f>
        <v>30022.372648266042</v>
      </c>
      <c r="AF42" s="433"/>
      <c r="AG42" s="433"/>
      <c r="AH42" s="433"/>
      <c r="AI42" s="433"/>
      <c r="AJ42" s="433"/>
      <c r="AK42" s="433"/>
      <c r="AL42" s="433"/>
      <c r="AM42" s="64"/>
      <c r="AN42" s="286"/>
      <c r="AO42" s="287"/>
    </row>
    <row r="43" spans="1:41" ht="12.75" customHeight="1" x14ac:dyDescent="0.2">
      <c r="A43" s="23"/>
      <c r="B43" s="402" t="s">
        <v>140</v>
      </c>
      <c r="C43" s="402"/>
      <c r="D43" s="402"/>
      <c r="E43" s="402"/>
      <c r="F43" s="402"/>
      <c r="G43" s="402"/>
      <c r="H43" s="402"/>
      <c r="I43" s="402"/>
      <c r="J43" s="402"/>
      <c r="K43" s="402"/>
      <c r="L43" s="402"/>
      <c r="M43" s="402"/>
      <c r="N43" s="402"/>
      <c r="O43" s="402"/>
      <c r="P43" s="402"/>
      <c r="Q43" s="402"/>
      <c r="S43" s="437">
        <f>+Draft!M21</f>
        <v>38.775617078102904</v>
      </c>
      <c r="T43" s="433"/>
      <c r="U43" s="433"/>
      <c r="V43" s="433"/>
      <c r="W43" s="433"/>
      <c r="X43" s="433"/>
      <c r="Y43" s="433"/>
      <c r="Z43" s="433"/>
      <c r="AA43" s="64"/>
      <c r="AB43" s="272"/>
      <c r="AC43" s="272"/>
      <c r="AD43" s="272"/>
      <c r="AE43" s="437">
        <f>+Draft!AG21</f>
        <v>-432.41649863583984</v>
      </c>
      <c r="AF43" s="433"/>
      <c r="AG43" s="433"/>
      <c r="AH43" s="433"/>
      <c r="AI43" s="433"/>
      <c r="AJ43" s="433"/>
      <c r="AK43" s="433"/>
      <c r="AL43" s="433"/>
      <c r="AM43" s="64"/>
      <c r="AN43" s="286"/>
      <c r="AO43" s="287"/>
    </row>
    <row r="44" spans="1:41" ht="12.75" customHeight="1" x14ac:dyDescent="0.2">
      <c r="A44" s="23"/>
      <c r="B44" s="402" t="s">
        <v>141</v>
      </c>
      <c r="C44" s="402"/>
      <c r="D44" s="402"/>
      <c r="E44" s="402"/>
      <c r="F44" s="402"/>
      <c r="G44" s="402"/>
      <c r="H44" s="402"/>
      <c r="I44" s="402"/>
      <c r="J44" s="402"/>
      <c r="K44" s="402"/>
      <c r="L44" s="402"/>
      <c r="M44" s="402"/>
      <c r="N44" s="402"/>
      <c r="O44" s="402"/>
      <c r="P44" s="402"/>
      <c r="Q44" s="402"/>
      <c r="S44" s="437">
        <f>+Draft!M22</f>
        <v>3.4121149101698425</v>
      </c>
      <c r="T44" s="433"/>
      <c r="U44" s="433"/>
      <c r="V44" s="433"/>
      <c r="W44" s="433"/>
      <c r="X44" s="433"/>
      <c r="Y44" s="433"/>
      <c r="Z44" s="433"/>
      <c r="AA44" s="64"/>
      <c r="AB44" s="272"/>
      <c r="AC44" s="272"/>
      <c r="AD44" s="272"/>
      <c r="AE44" s="437">
        <f>+Draft!AG22</f>
        <v>41.774942360439567</v>
      </c>
      <c r="AF44" s="433"/>
      <c r="AG44" s="433"/>
      <c r="AH44" s="433"/>
      <c r="AI44" s="433"/>
      <c r="AJ44" s="433"/>
      <c r="AK44" s="433"/>
      <c r="AL44" s="433"/>
      <c r="AM44" s="64"/>
      <c r="AN44" s="286"/>
      <c r="AO44" s="287"/>
    </row>
    <row r="45" spans="1:41" ht="12.75" customHeight="1" x14ac:dyDescent="0.2">
      <c r="A45" s="23"/>
      <c r="B45" s="402" t="s">
        <v>142</v>
      </c>
      <c r="C45" s="402"/>
      <c r="D45" s="402"/>
      <c r="E45" s="402"/>
      <c r="F45" s="402"/>
      <c r="G45" s="402"/>
      <c r="H45" s="402"/>
      <c r="I45" s="402"/>
      <c r="J45" s="402"/>
      <c r="K45" s="402"/>
      <c r="L45" s="402"/>
      <c r="M45" s="402"/>
      <c r="N45" s="402"/>
      <c r="O45" s="402"/>
      <c r="P45" s="402"/>
      <c r="Q45" s="402"/>
      <c r="S45" s="437">
        <f>+S44+S43</f>
        <v>42.187731988272745</v>
      </c>
      <c r="T45" s="433"/>
      <c r="U45" s="433"/>
      <c r="V45" s="433"/>
      <c r="W45" s="433"/>
      <c r="X45" s="433"/>
      <c r="Y45" s="433"/>
      <c r="Z45" s="433"/>
      <c r="AA45" s="64"/>
      <c r="AB45" s="272"/>
      <c r="AC45" s="272"/>
      <c r="AD45" s="272"/>
      <c r="AE45" s="437">
        <f>+Draft!AG23</f>
        <v>-390.64155627540026</v>
      </c>
      <c r="AF45" s="433"/>
      <c r="AG45" s="433"/>
      <c r="AH45" s="433"/>
      <c r="AI45" s="433"/>
      <c r="AJ45" s="433"/>
      <c r="AK45" s="433"/>
      <c r="AL45" s="433"/>
      <c r="AM45" s="64"/>
      <c r="AN45" s="286"/>
      <c r="AO45" s="287"/>
    </row>
    <row r="46" spans="1:41" ht="12.75" customHeight="1" x14ac:dyDescent="0.2">
      <c r="A46" s="23"/>
      <c r="B46" s="402" t="s">
        <v>143</v>
      </c>
      <c r="C46" s="402"/>
      <c r="D46" s="402"/>
      <c r="E46" s="402"/>
      <c r="F46" s="402"/>
      <c r="G46" s="402"/>
      <c r="H46" s="402"/>
      <c r="I46" s="402"/>
      <c r="J46" s="402"/>
      <c r="K46" s="402"/>
      <c r="L46" s="402"/>
      <c r="M46" s="402"/>
      <c r="N46" s="402"/>
      <c r="O46" s="402"/>
      <c r="P46" s="402"/>
      <c r="Q46" s="402"/>
      <c r="S46" s="437">
        <f t="shared" ref="S46:Z46" si="2">+S42+S45</f>
        <v>64676.571694963641</v>
      </c>
      <c r="T46" s="433">
        <f t="shared" si="2"/>
        <v>0</v>
      </c>
      <c r="U46" s="433">
        <f t="shared" si="2"/>
        <v>0</v>
      </c>
      <c r="V46" s="433">
        <f t="shared" si="2"/>
        <v>0</v>
      </c>
      <c r="W46" s="433">
        <f t="shared" si="2"/>
        <v>0</v>
      </c>
      <c r="X46" s="433">
        <f t="shared" si="2"/>
        <v>0</v>
      </c>
      <c r="Y46" s="433">
        <f t="shared" si="2"/>
        <v>0</v>
      </c>
      <c r="Z46" s="433">
        <f t="shared" si="2"/>
        <v>0</v>
      </c>
      <c r="AA46" s="64"/>
      <c r="AB46" s="272"/>
      <c r="AC46" s="272"/>
      <c r="AD46" s="272"/>
      <c r="AE46" s="437">
        <f t="shared" ref="AE46:AL46" si="3">+AE42+AE45</f>
        <v>29631.731091990641</v>
      </c>
      <c r="AF46" s="433">
        <f t="shared" si="3"/>
        <v>0</v>
      </c>
      <c r="AG46" s="433">
        <f t="shared" si="3"/>
        <v>0</v>
      </c>
      <c r="AH46" s="433">
        <f t="shared" si="3"/>
        <v>0</v>
      </c>
      <c r="AI46" s="433">
        <f t="shared" si="3"/>
        <v>0</v>
      </c>
      <c r="AJ46" s="433">
        <f t="shared" si="3"/>
        <v>0</v>
      </c>
      <c r="AK46" s="433">
        <f t="shared" si="3"/>
        <v>0</v>
      </c>
      <c r="AL46" s="433">
        <f t="shared" si="3"/>
        <v>0</v>
      </c>
      <c r="AM46" s="64"/>
      <c r="AN46" s="286"/>
      <c r="AO46" s="287"/>
    </row>
    <row r="47" spans="1:41" ht="12.75" customHeight="1" x14ac:dyDescent="0.2">
      <c r="A47" s="23"/>
      <c r="B47" s="402" t="s">
        <v>144</v>
      </c>
      <c r="C47" s="402"/>
      <c r="D47" s="402"/>
      <c r="E47" s="402"/>
      <c r="F47" s="402"/>
      <c r="G47" s="402"/>
      <c r="H47" s="402"/>
      <c r="I47" s="402"/>
      <c r="J47" s="402"/>
      <c r="K47" s="402"/>
      <c r="L47" s="402"/>
      <c r="M47" s="402"/>
      <c r="N47" s="402"/>
      <c r="O47" s="402"/>
      <c r="P47" s="402"/>
      <c r="Q47" s="402"/>
      <c r="S47" s="437">
        <f>+S46-Draft!M24</f>
        <v>64676.571694963641</v>
      </c>
      <c r="T47" s="433"/>
      <c r="U47" s="433"/>
      <c r="V47" s="433"/>
      <c r="W47" s="433"/>
      <c r="X47" s="433"/>
      <c r="Y47" s="433"/>
      <c r="Z47" s="433"/>
      <c r="AA47" s="64"/>
      <c r="AB47" s="272"/>
      <c r="AC47" s="272"/>
      <c r="AD47" s="272"/>
      <c r="AE47" s="437">
        <f>+AE46-Draft!AG24</f>
        <v>29631.731091990641</v>
      </c>
      <c r="AF47" s="433"/>
      <c r="AG47" s="433"/>
      <c r="AH47" s="433"/>
      <c r="AI47" s="433"/>
      <c r="AJ47" s="433"/>
      <c r="AK47" s="433"/>
      <c r="AL47" s="433"/>
      <c r="AM47" s="64"/>
      <c r="AN47" s="286"/>
      <c r="AO47" s="287"/>
    </row>
    <row r="48" spans="1:41" ht="12.75" customHeight="1" x14ac:dyDescent="0.2">
      <c r="A48" s="23"/>
      <c r="B48" s="402" t="s">
        <v>145</v>
      </c>
      <c r="C48" s="402"/>
      <c r="D48" s="402"/>
      <c r="E48" s="402"/>
      <c r="F48" s="402"/>
      <c r="G48" s="402"/>
      <c r="H48" s="402"/>
      <c r="I48" s="402"/>
      <c r="J48" s="402"/>
      <c r="K48" s="402"/>
      <c r="L48" s="402"/>
      <c r="M48" s="402"/>
      <c r="N48" s="402"/>
      <c r="O48" s="402"/>
      <c r="P48" s="402"/>
      <c r="Q48" s="402"/>
      <c r="S48" s="437">
        <f>+Draft!M26</f>
        <v>-378.59456601929975</v>
      </c>
      <c r="T48" s="433"/>
      <c r="U48" s="433"/>
      <c r="V48" s="433"/>
      <c r="W48" s="433"/>
      <c r="X48" s="433"/>
      <c r="Y48" s="433"/>
      <c r="Z48" s="433"/>
      <c r="AA48" s="64"/>
      <c r="AB48" s="272"/>
      <c r="AC48" s="272"/>
      <c r="AD48" s="272"/>
      <c r="AE48" s="437">
        <f>+Draft!AG26</f>
        <v>-173.45403566043319</v>
      </c>
      <c r="AF48" s="433"/>
      <c r="AG48" s="433"/>
      <c r="AH48" s="433"/>
      <c r="AI48" s="433"/>
      <c r="AJ48" s="433"/>
      <c r="AK48" s="433"/>
      <c r="AL48" s="433"/>
      <c r="AM48" s="64"/>
      <c r="AN48" s="286"/>
      <c r="AO48" s="287"/>
    </row>
    <row r="49" spans="1:41" ht="12.75" customHeight="1" x14ac:dyDescent="0.2">
      <c r="A49" s="23"/>
      <c r="B49" s="402" t="s">
        <v>146</v>
      </c>
      <c r="C49" s="402"/>
      <c r="D49" s="402"/>
      <c r="E49" s="402"/>
      <c r="F49" s="402"/>
      <c r="G49" s="402"/>
      <c r="H49" s="402"/>
      <c r="I49" s="402"/>
      <c r="J49" s="402"/>
      <c r="K49" s="402"/>
      <c r="L49" s="402"/>
      <c r="M49" s="402"/>
      <c r="N49" s="402"/>
      <c r="O49" s="402"/>
      <c r="P49" s="402"/>
      <c r="Q49" s="402"/>
      <c r="S49" s="437">
        <f>+Draft!M27</f>
        <v>64297.977128944338</v>
      </c>
      <c r="T49" s="433"/>
      <c r="U49" s="433"/>
      <c r="V49" s="433"/>
      <c r="W49" s="433"/>
      <c r="X49" s="433"/>
      <c r="Y49" s="433"/>
      <c r="Z49" s="433"/>
      <c r="AA49" s="64"/>
      <c r="AB49" s="272"/>
      <c r="AC49" s="272"/>
      <c r="AD49" s="272"/>
      <c r="AE49" s="437">
        <f>+Draft!AG27</f>
        <v>29458.277056330207</v>
      </c>
      <c r="AF49" s="433"/>
      <c r="AG49" s="433"/>
      <c r="AH49" s="433"/>
      <c r="AI49" s="433"/>
      <c r="AJ49" s="433"/>
      <c r="AK49" s="433"/>
      <c r="AL49" s="433"/>
      <c r="AM49" s="64"/>
      <c r="AN49" s="286"/>
      <c r="AO49" s="287"/>
    </row>
    <row r="50" spans="1:41" ht="12.75" customHeight="1" x14ac:dyDescent="0.2">
      <c r="A50" s="23"/>
      <c r="B50" s="24"/>
      <c r="C50" s="24"/>
      <c r="D50" s="25"/>
      <c r="E50" s="25"/>
      <c r="F50" s="25"/>
      <c r="G50" s="25"/>
      <c r="H50" s="25"/>
      <c r="I50" s="25"/>
      <c r="J50" s="25"/>
      <c r="K50" s="25"/>
      <c r="L50" s="25"/>
      <c r="M50" s="24"/>
      <c r="N50" s="34"/>
      <c r="S50" s="436"/>
      <c r="T50" s="433"/>
      <c r="U50" s="433"/>
      <c r="V50" s="433"/>
      <c r="W50" s="433"/>
      <c r="X50" s="433"/>
      <c r="Y50" s="433"/>
      <c r="Z50" s="433"/>
      <c r="AA50" s="64"/>
      <c r="AB50" s="272"/>
      <c r="AC50" s="272"/>
      <c r="AD50" s="272"/>
      <c r="AE50" s="436"/>
      <c r="AF50" s="433"/>
      <c r="AG50" s="433"/>
      <c r="AH50" s="433"/>
      <c r="AI50" s="433"/>
      <c r="AJ50" s="433"/>
      <c r="AK50" s="433"/>
      <c r="AL50" s="433"/>
      <c r="AM50" s="64"/>
      <c r="AN50" s="286"/>
      <c r="AO50" s="287"/>
    </row>
    <row r="51" spans="1:41" ht="12.75" customHeight="1" x14ac:dyDescent="0.2">
      <c r="A51" s="23"/>
      <c r="B51" s="402" t="s">
        <v>147</v>
      </c>
      <c r="C51" s="402"/>
      <c r="D51" s="402"/>
      <c r="E51" s="402"/>
      <c r="F51" s="402"/>
      <c r="G51" s="402"/>
      <c r="H51" s="402"/>
      <c r="I51" s="402"/>
      <c r="J51" s="402"/>
      <c r="K51" s="402"/>
      <c r="L51" s="402"/>
      <c r="M51" s="402"/>
      <c r="N51" s="402"/>
      <c r="O51" s="402"/>
      <c r="P51" s="402"/>
      <c r="Q51" s="402"/>
      <c r="S51" s="440">
        <f>+Draft!G26</f>
        <v>1916.89</v>
      </c>
      <c r="T51" s="433"/>
      <c r="U51" s="433"/>
      <c r="V51" s="433"/>
      <c r="W51" s="433"/>
      <c r="X51" s="433"/>
      <c r="Y51" s="433"/>
      <c r="Z51" s="433"/>
      <c r="AA51" s="64"/>
      <c r="AB51" s="272"/>
      <c r="AC51" s="272"/>
      <c r="AD51" s="272"/>
      <c r="AE51" s="440">
        <f>+Draft!AS26</f>
        <v>18199.726339999997</v>
      </c>
      <c r="AF51" s="433"/>
      <c r="AG51" s="433"/>
      <c r="AH51" s="433"/>
      <c r="AI51" s="433"/>
      <c r="AJ51" s="433"/>
      <c r="AK51" s="433"/>
      <c r="AL51" s="433"/>
      <c r="AM51" s="64"/>
      <c r="AN51" s="286"/>
      <c r="AO51" s="287"/>
    </row>
    <row r="52" spans="1:41" ht="12.75" customHeight="1" x14ac:dyDescent="0.2">
      <c r="A52" s="23"/>
      <c r="B52" s="402" t="s">
        <v>148</v>
      </c>
      <c r="C52" s="402"/>
      <c r="D52" s="402"/>
      <c r="E52" s="402"/>
      <c r="F52" s="402"/>
      <c r="G52" s="402"/>
      <c r="H52" s="402"/>
      <c r="I52" s="402"/>
      <c r="J52" s="402"/>
      <c r="K52" s="402"/>
      <c r="L52" s="402"/>
      <c r="M52" s="402"/>
      <c r="N52" s="402"/>
      <c r="O52" s="402"/>
      <c r="P52" s="402"/>
      <c r="Q52" s="402"/>
      <c r="S52" s="437">
        <f>+Draft!M32</f>
        <v>62381.087128944338</v>
      </c>
      <c r="T52" s="433">
        <f t="shared" ref="T52:Z52" si="4">+T49-T51</f>
        <v>0</v>
      </c>
      <c r="U52" s="433">
        <f t="shared" si="4"/>
        <v>0</v>
      </c>
      <c r="V52" s="433">
        <f t="shared" si="4"/>
        <v>0</v>
      </c>
      <c r="W52" s="433">
        <f t="shared" si="4"/>
        <v>0</v>
      </c>
      <c r="X52" s="433">
        <f t="shared" si="4"/>
        <v>0</v>
      </c>
      <c r="Y52" s="433">
        <f t="shared" si="4"/>
        <v>0</v>
      </c>
      <c r="Z52" s="433">
        <f t="shared" si="4"/>
        <v>0</v>
      </c>
      <c r="AA52" s="64"/>
      <c r="AB52" s="272"/>
      <c r="AC52" s="272"/>
      <c r="AD52" s="272"/>
      <c r="AE52" s="437">
        <f>+Draft!AG33</f>
        <v>11258.55071633021</v>
      </c>
      <c r="AF52" s="433">
        <f t="shared" ref="AF52:AL52" si="5">+AF49-AF51</f>
        <v>0</v>
      </c>
      <c r="AG52" s="433">
        <f t="shared" si="5"/>
        <v>0</v>
      </c>
      <c r="AH52" s="433">
        <f t="shared" si="5"/>
        <v>0</v>
      </c>
      <c r="AI52" s="433">
        <f t="shared" si="5"/>
        <v>0</v>
      </c>
      <c r="AJ52" s="433">
        <f t="shared" si="5"/>
        <v>0</v>
      </c>
      <c r="AK52" s="433">
        <f t="shared" si="5"/>
        <v>0</v>
      </c>
      <c r="AL52" s="433">
        <f t="shared" si="5"/>
        <v>0</v>
      </c>
      <c r="AM52" s="64"/>
      <c r="AN52" s="286"/>
      <c r="AO52" s="287"/>
    </row>
    <row r="53" spans="1:41" ht="6" customHeight="1" x14ac:dyDescent="0.2">
      <c r="A53" s="353"/>
      <c r="B53" s="354"/>
      <c r="C53" s="354"/>
      <c r="D53" s="354"/>
      <c r="E53" s="354"/>
      <c r="F53" s="354"/>
      <c r="G53" s="354"/>
      <c r="H53" s="354"/>
      <c r="I53" s="354"/>
      <c r="J53" s="354"/>
      <c r="K53" s="354"/>
      <c r="L53" s="354"/>
      <c r="M53" s="354"/>
      <c r="N53" s="354"/>
      <c r="O53" s="354"/>
      <c r="P53" s="354"/>
      <c r="Q53" s="354"/>
      <c r="R53" s="354"/>
      <c r="S53" s="354"/>
      <c r="T53" s="354"/>
      <c r="U53" s="354"/>
      <c r="V53" s="354"/>
      <c r="W53" s="354"/>
      <c r="X53" s="354"/>
      <c r="Y53" s="354"/>
      <c r="Z53" s="354"/>
      <c r="AA53" s="354"/>
      <c r="AB53" s="354"/>
      <c r="AC53" s="354"/>
      <c r="AD53" s="354"/>
      <c r="AE53" s="354"/>
      <c r="AF53" s="354"/>
      <c r="AG53" s="354"/>
      <c r="AH53" s="354"/>
      <c r="AI53" s="354"/>
      <c r="AJ53" s="354"/>
      <c r="AK53" s="354"/>
      <c r="AL53" s="354"/>
      <c r="AM53" s="354"/>
      <c r="AN53" s="354"/>
      <c r="AO53" s="355"/>
    </row>
    <row r="54" spans="1:41" ht="12.75" customHeight="1" x14ac:dyDescent="0.2">
      <c r="A54" s="363"/>
      <c r="B54" s="421" t="s">
        <v>149</v>
      </c>
      <c r="C54" s="421"/>
      <c r="D54" s="421"/>
      <c r="E54" s="421"/>
      <c r="F54" s="421"/>
      <c r="G54" s="421"/>
      <c r="H54" s="421"/>
      <c r="I54" s="421"/>
      <c r="J54" s="421"/>
      <c r="K54" s="421"/>
      <c r="L54" s="421"/>
      <c r="M54" s="421"/>
      <c r="N54" s="421"/>
      <c r="O54" s="421"/>
      <c r="P54" s="421"/>
      <c r="Q54" s="421"/>
      <c r="R54" s="421"/>
      <c r="S54" s="421"/>
      <c r="T54" s="421"/>
      <c r="U54" s="421"/>
      <c r="V54" s="421"/>
      <c r="W54" s="421"/>
      <c r="X54" s="421"/>
      <c r="Y54" s="421"/>
      <c r="Z54" s="421"/>
      <c r="AA54" s="421"/>
      <c r="AB54" s="421"/>
      <c r="AC54" s="421"/>
      <c r="AD54" s="421"/>
      <c r="AE54" s="421"/>
      <c r="AF54" s="421"/>
      <c r="AG54" s="421"/>
      <c r="AH54" s="421"/>
      <c r="AI54" s="421"/>
      <c r="AJ54" s="421"/>
      <c r="AK54" s="421"/>
      <c r="AL54" s="421"/>
      <c r="AM54" s="421"/>
      <c r="AN54" s="421"/>
      <c r="AO54" s="422"/>
    </row>
    <row r="55" spans="1:41" ht="12.75" customHeight="1" x14ac:dyDescent="0.2">
      <c r="A55" s="381"/>
      <c r="B55" s="393" t="s">
        <v>150</v>
      </c>
      <c r="C55" s="393"/>
      <c r="D55" s="393"/>
      <c r="E55" s="393"/>
      <c r="F55" s="393"/>
      <c r="G55" s="393"/>
      <c r="H55" s="393"/>
      <c r="I55" s="393"/>
      <c r="J55" s="393"/>
      <c r="K55" s="393"/>
      <c r="L55" s="393"/>
      <c r="M55" s="393"/>
      <c r="N55" s="393"/>
      <c r="O55" s="393"/>
      <c r="P55" s="393"/>
      <c r="Q55" s="393"/>
      <c r="R55" s="393"/>
      <c r="S55" s="393"/>
      <c r="T55" s="393"/>
      <c r="U55" s="393"/>
      <c r="V55" s="393"/>
      <c r="W55" s="393"/>
      <c r="X55" s="393"/>
      <c r="Y55" s="393"/>
      <c r="Z55" s="393"/>
      <c r="AA55" s="393"/>
      <c r="AB55" s="393"/>
      <c r="AC55" s="393"/>
      <c r="AD55" s="393"/>
      <c r="AE55" s="393"/>
      <c r="AF55" s="393"/>
      <c r="AG55" s="393"/>
      <c r="AH55" s="393"/>
      <c r="AI55" s="393"/>
      <c r="AJ55" s="393"/>
      <c r="AK55" s="393"/>
      <c r="AL55" s="393"/>
      <c r="AM55" s="393"/>
      <c r="AN55" s="393"/>
      <c r="AO55" s="394"/>
    </row>
    <row r="56" spans="1:41" ht="6.75" customHeight="1" x14ac:dyDescent="0.2">
      <c r="A56" s="353"/>
      <c r="B56" s="438"/>
      <c r="C56" s="438"/>
      <c r="D56" s="438"/>
      <c r="E56" s="438"/>
      <c r="F56" s="438"/>
      <c r="G56" s="438"/>
      <c r="H56" s="438"/>
      <c r="I56" s="438"/>
      <c r="J56" s="438"/>
      <c r="K56" s="438"/>
      <c r="L56" s="438"/>
      <c r="M56" s="438"/>
      <c r="N56" s="438"/>
      <c r="O56" s="438"/>
      <c r="P56" s="438"/>
      <c r="Q56" s="438"/>
      <c r="R56" s="438"/>
      <c r="S56" s="438"/>
      <c r="T56" s="438"/>
      <c r="U56" s="438"/>
      <c r="V56" s="438"/>
      <c r="W56" s="438"/>
      <c r="X56" s="438"/>
      <c r="Y56" s="438"/>
      <c r="Z56" s="438"/>
      <c r="AA56" s="438"/>
      <c r="AB56" s="438"/>
      <c r="AC56" s="438"/>
      <c r="AD56" s="438"/>
      <c r="AE56" s="438"/>
      <c r="AF56" s="438"/>
      <c r="AG56" s="438"/>
      <c r="AH56" s="438"/>
      <c r="AI56" s="438"/>
      <c r="AJ56" s="438"/>
      <c r="AK56" s="438"/>
      <c r="AL56" s="438"/>
      <c r="AM56" s="438"/>
      <c r="AN56" s="438"/>
      <c r="AO56" s="439"/>
    </row>
    <row r="57" spans="1:41" ht="12.75" customHeight="1" x14ac:dyDescent="0.2">
      <c r="A57" s="364"/>
      <c r="B57" s="364"/>
      <c r="C57" s="364"/>
      <c r="D57" s="364"/>
      <c r="E57" s="364"/>
      <c r="F57" s="364"/>
      <c r="G57" s="364"/>
      <c r="H57" s="364"/>
      <c r="I57" s="364"/>
      <c r="J57" s="364"/>
      <c r="K57" s="364"/>
      <c r="L57" s="364"/>
      <c r="M57" s="364"/>
      <c r="N57" s="364"/>
      <c r="O57" s="364"/>
      <c r="P57" s="364"/>
      <c r="Q57" s="364"/>
      <c r="R57" s="364"/>
      <c r="S57" s="364"/>
      <c r="T57" s="364"/>
      <c r="U57" s="364"/>
      <c r="V57" s="364"/>
      <c r="W57" s="364"/>
      <c r="X57" s="364"/>
      <c r="Y57" s="364"/>
      <c r="Z57" s="364"/>
      <c r="AA57" s="364"/>
      <c r="AB57" s="364"/>
      <c r="AC57" s="364"/>
      <c r="AD57" s="364"/>
      <c r="AE57" s="364"/>
      <c r="AF57" s="364"/>
      <c r="AG57" s="364"/>
      <c r="AH57" s="364"/>
      <c r="AI57" s="364"/>
      <c r="AJ57" s="364"/>
      <c r="AK57" s="364"/>
      <c r="AL57" s="364"/>
      <c r="AM57" s="364"/>
      <c r="AN57" s="364"/>
      <c r="AO57" s="364"/>
    </row>
    <row r="58" spans="1:41" ht="24.75" customHeight="1" x14ac:dyDescent="0.2">
      <c r="A58" s="377"/>
      <c r="B58" s="378"/>
      <c r="C58" s="378"/>
      <c r="D58" s="378"/>
      <c r="E58" s="378"/>
      <c r="F58" s="378"/>
      <c r="G58" s="378"/>
      <c r="H58" s="378"/>
      <c r="I58" s="378"/>
      <c r="J58" s="378"/>
      <c r="K58" s="378"/>
      <c r="L58" s="378"/>
      <c r="M58" s="378"/>
      <c r="N58" s="378"/>
      <c r="O58" s="378"/>
      <c r="P58" s="378"/>
      <c r="Q58" s="378"/>
      <c r="R58" s="378"/>
      <c r="S58" s="378"/>
      <c r="T58" s="378"/>
      <c r="U58" s="378"/>
      <c r="V58" s="378"/>
      <c r="W58" s="378"/>
      <c r="X58" s="378"/>
      <c r="Y58" s="378"/>
      <c r="Z58" s="378"/>
      <c r="AA58" s="378"/>
      <c r="AB58" s="378"/>
      <c r="AC58" s="378"/>
      <c r="AD58" s="378"/>
      <c r="AE58" s="378"/>
      <c r="AF58" s="378"/>
      <c r="AG58" s="378"/>
      <c r="AH58" s="378"/>
      <c r="AI58" s="378"/>
      <c r="AJ58" s="378"/>
      <c r="AK58" s="378"/>
      <c r="AL58" s="378"/>
      <c r="AM58" s="378"/>
      <c r="AN58" s="378"/>
      <c r="AO58" s="378"/>
    </row>
  </sheetData>
  <mergeCells count="236">
    <mergeCell ref="A58:AO58"/>
    <mergeCell ref="A53:AO53"/>
    <mergeCell ref="A54:A56"/>
    <mergeCell ref="B54:AO54"/>
    <mergeCell ref="B55:AO55"/>
    <mergeCell ref="B56:AO56"/>
    <mergeCell ref="A57:AO57"/>
    <mergeCell ref="B51:Q51"/>
    <mergeCell ref="S51:Z51"/>
    <mergeCell ref="AB51:AD51"/>
    <mergeCell ref="AE51:AL51"/>
    <mergeCell ref="AN51:AO51"/>
    <mergeCell ref="B52:Q52"/>
    <mergeCell ref="S52:Z52"/>
    <mergeCell ref="AB52:AD52"/>
    <mergeCell ref="AE52:AL52"/>
    <mergeCell ref="AN52:AO52"/>
    <mergeCell ref="B49:Q49"/>
    <mergeCell ref="S49:Z49"/>
    <mergeCell ref="AB49:AD49"/>
    <mergeCell ref="AE49:AL49"/>
    <mergeCell ref="AN49:AO49"/>
    <mergeCell ref="S50:Z50"/>
    <mergeCell ref="AB50:AD50"/>
    <mergeCell ref="AE50:AL50"/>
    <mergeCell ref="AN50:AO50"/>
    <mergeCell ref="B47:Q47"/>
    <mergeCell ref="S47:Z47"/>
    <mergeCell ref="AB47:AD47"/>
    <mergeCell ref="AE47:AL47"/>
    <mergeCell ref="AN47:AO47"/>
    <mergeCell ref="B48:Q48"/>
    <mergeCell ref="S48:Z48"/>
    <mergeCell ref="AB48:AD48"/>
    <mergeCell ref="AE48:AL48"/>
    <mergeCell ref="AN48:AO48"/>
    <mergeCell ref="B45:Q45"/>
    <mergeCell ref="S45:Z45"/>
    <mergeCell ref="AB45:AD45"/>
    <mergeCell ref="AE45:AL45"/>
    <mergeCell ref="AN45:AO45"/>
    <mergeCell ref="B46:Q46"/>
    <mergeCell ref="S46:Z46"/>
    <mergeCell ref="AB46:AD46"/>
    <mergeCell ref="AE46:AL46"/>
    <mergeCell ref="AN46:AO46"/>
    <mergeCell ref="B43:Q43"/>
    <mergeCell ref="S43:Z43"/>
    <mergeCell ref="AB43:AD43"/>
    <mergeCell ref="AE43:AL43"/>
    <mergeCell ref="AN43:AO43"/>
    <mergeCell ref="B44:Q44"/>
    <mergeCell ref="S44:Z44"/>
    <mergeCell ref="AB44:AD44"/>
    <mergeCell ref="AE44:AL44"/>
    <mergeCell ref="AN44:AO44"/>
    <mergeCell ref="AN40:AO40"/>
    <mergeCell ref="S41:AA41"/>
    <mergeCell ref="AB41:AD41"/>
    <mergeCell ref="AE41:AM41"/>
    <mergeCell ref="AN41:AO41"/>
    <mergeCell ref="B42:Q42"/>
    <mergeCell ref="S42:Z42"/>
    <mergeCell ref="AB42:AD42"/>
    <mergeCell ref="AE42:AL42"/>
    <mergeCell ref="AN42:AO42"/>
    <mergeCell ref="B40:F40"/>
    <mergeCell ref="G40:L40"/>
    <mergeCell ref="M40:Q40"/>
    <mergeCell ref="S40:Z40"/>
    <mergeCell ref="AB40:AD40"/>
    <mergeCell ref="AE40:AL40"/>
    <mergeCell ref="B38:Q38"/>
    <mergeCell ref="S38:Z38"/>
    <mergeCell ref="AB38:AD38"/>
    <mergeCell ref="AE38:AL38"/>
    <mergeCell ref="AN38:AO38"/>
    <mergeCell ref="B39:Q39"/>
    <mergeCell ref="S39:Z39"/>
    <mergeCell ref="AB39:AD39"/>
    <mergeCell ref="AE39:AL39"/>
    <mergeCell ref="AN39:AO39"/>
    <mergeCell ref="B36:Q36"/>
    <mergeCell ref="S36:Z36"/>
    <mergeCell ref="AB36:AD36"/>
    <mergeCell ref="AE36:AL36"/>
    <mergeCell ref="AN36:AO36"/>
    <mergeCell ref="S37:AA37"/>
    <mergeCell ref="AB37:AD37"/>
    <mergeCell ref="AE37:AM37"/>
    <mergeCell ref="AN37:AO37"/>
    <mergeCell ref="B34:Q34"/>
    <mergeCell ref="S34:Z34"/>
    <mergeCell ref="AB34:AD34"/>
    <mergeCell ref="AE34:AL34"/>
    <mergeCell ref="AN34:AO34"/>
    <mergeCell ref="B35:Q35"/>
    <mergeCell ref="S35:Z35"/>
    <mergeCell ref="AB35:AD35"/>
    <mergeCell ref="AE35:AL35"/>
    <mergeCell ref="AN35:AO35"/>
    <mergeCell ref="B32:Q32"/>
    <mergeCell ref="S32:Z32"/>
    <mergeCell ref="AB32:AD32"/>
    <mergeCell ref="AE32:AL32"/>
    <mergeCell ref="AN32:AO32"/>
    <mergeCell ref="B33:Q33"/>
    <mergeCell ref="S33:Z33"/>
    <mergeCell ref="AB33:AD33"/>
    <mergeCell ref="AE33:AL33"/>
    <mergeCell ref="AN33:AO33"/>
    <mergeCell ref="B30:Q30"/>
    <mergeCell ref="S30:Z30"/>
    <mergeCell ref="AB30:AD30"/>
    <mergeCell ref="AE30:AL30"/>
    <mergeCell ref="AN30:AO30"/>
    <mergeCell ref="B31:Q31"/>
    <mergeCell ref="S31:Z31"/>
    <mergeCell ref="AB31:AD31"/>
    <mergeCell ref="AE31:AL31"/>
    <mergeCell ref="AN31:AO31"/>
    <mergeCell ref="B28:Q28"/>
    <mergeCell ref="S28:Z28"/>
    <mergeCell ref="AB28:AD28"/>
    <mergeCell ref="AE28:AL28"/>
    <mergeCell ref="AN28:AO28"/>
    <mergeCell ref="B29:Q29"/>
    <mergeCell ref="S29:Z29"/>
    <mergeCell ref="AB29:AD29"/>
    <mergeCell ref="AE29:AL29"/>
    <mergeCell ref="AN29:AO29"/>
    <mergeCell ref="B26:Q26"/>
    <mergeCell ref="S26:Z26"/>
    <mergeCell ref="AB26:AD26"/>
    <mergeCell ref="AE26:AL26"/>
    <mergeCell ref="AN26:AO26"/>
    <mergeCell ref="B27:Q27"/>
    <mergeCell ref="S27:Z27"/>
    <mergeCell ref="AB27:AD27"/>
    <mergeCell ref="AE27:AL27"/>
    <mergeCell ref="AN27:AO27"/>
    <mergeCell ref="B24:Q24"/>
    <mergeCell ref="S24:Z24"/>
    <mergeCell ref="AB24:AD24"/>
    <mergeCell ref="AE24:AL24"/>
    <mergeCell ref="AN24:AO24"/>
    <mergeCell ref="B25:Q25"/>
    <mergeCell ref="S25:Z25"/>
    <mergeCell ref="AB25:AD25"/>
    <mergeCell ref="AE25:AL25"/>
    <mergeCell ref="AN25:AO25"/>
    <mergeCell ref="B22:Q22"/>
    <mergeCell ref="S22:Z22"/>
    <mergeCell ref="AB22:AD22"/>
    <mergeCell ref="AE22:AL22"/>
    <mergeCell ref="AN22:AO22"/>
    <mergeCell ref="B23:Q23"/>
    <mergeCell ref="S23:Z23"/>
    <mergeCell ref="AB23:AD23"/>
    <mergeCell ref="AE23:AL23"/>
    <mergeCell ref="AN23:AO23"/>
    <mergeCell ref="B20:Q20"/>
    <mergeCell ref="S20:Z20"/>
    <mergeCell ref="AB20:AD20"/>
    <mergeCell ref="AE20:AL20"/>
    <mergeCell ref="AN20:AO20"/>
    <mergeCell ref="B21:Q21"/>
    <mergeCell ref="S21:Z21"/>
    <mergeCell ref="AB21:AD21"/>
    <mergeCell ref="AE21:AL21"/>
    <mergeCell ref="AN21:AO21"/>
    <mergeCell ref="B18:Q18"/>
    <mergeCell ref="S18:Z18"/>
    <mergeCell ref="AB18:AD18"/>
    <mergeCell ref="AE18:AL18"/>
    <mergeCell ref="AN18:AO18"/>
    <mergeCell ref="B19:Q19"/>
    <mergeCell ref="S19:Z19"/>
    <mergeCell ref="AB19:AD19"/>
    <mergeCell ref="AE19:AL19"/>
    <mergeCell ref="AN19:AO19"/>
    <mergeCell ref="B16:Q16"/>
    <mergeCell ref="S16:Z16"/>
    <mergeCell ref="AB16:AD16"/>
    <mergeCell ref="AE16:AL16"/>
    <mergeCell ref="AN16:AO16"/>
    <mergeCell ref="B17:Q17"/>
    <mergeCell ref="S17:Z17"/>
    <mergeCell ref="AB17:AD17"/>
    <mergeCell ref="AE17:AL17"/>
    <mergeCell ref="AN17:AO17"/>
    <mergeCell ref="B14:Q14"/>
    <mergeCell ref="S14:Z14"/>
    <mergeCell ref="AB14:AD14"/>
    <mergeCell ref="AE14:AL14"/>
    <mergeCell ref="AN14:AO14"/>
    <mergeCell ref="B15:Q15"/>
    <mergeCell ref="S15:Z15"/>
    <mergeCell ref="AB15:AD15"/>
    <mergeCell ref="AE15:AL15"/>
    <mergeCell ref="AN15:AO15"/>
    <mergeCell ref="AG12:AI12"/>
    <mergeCell ref="AK12:AM12"/>
    <mergeCell ref="AN12:AO12"/>
    <mergeCell ref="S13:AA13"/>
    <mergeCell ref="AB13:AD13"/>
    <mergeCell ref="AE13:AM13"/>
    <mergeCell ref="AN13:AO13"/>
    <mergeCell ref="A12:R13"/>
    <mergeCell ref="S12:T12"/>
    <mergeCell ref="U12:W12"/>
    <mergeCell ref="Y12:AA12"/>
    <mergeCell ref="AB12:AD12"/>
    <mergeCell ref="AE12:AF12"/>
    <mergeCell ref="A10:AO10"/>
    <mergeCell ref="A11:R11"/>
    <mergeCell ref="S11:AA11"/>
    <mergeCell ref="AB11:AD11"/>
    <mergeCell ref="AE11:AM11"/>
    <mergeCell ref="AN11:AO11"/>
    <mergeCell ref="B5:AO5"/>
    <mergeCell ref="A6:AO6"/>
    <mergeCell ref="B7:Y7"/>
    <mergeCell ref="Z7:AO7"/>
    <mergeCell ref="A8:E8"/>
    <mergeCell ref="F8:AB8"/>
    <mergeCell ref="AC8:AO8"/>
    <mergeCell ref="A1:AO1"/>
    <mergeCell ref="A2:X2"/>
    <mergeCell ref="Y2:AH2"/>
    <mergeCell ref="AI2:AO4"/>
    <mergeCell ref="A3:Y3"/>
    <mergeCell ref="AA3:AH3"/>
    <mergeCell ref="A4:Y4"/>
    <mergeCell ref="AA4:AH4"/>
    <mergeCell ref="A9:AO9"/>
  </mergeCells>
  <printOptions horizontalCentered="1" verticalCentered="1"/>
  <pageMargins left="0.39370078740157483" right="0.39370078740157483" top="0.23622047244094491" bottom="0.23622047244094491" header="0" footer="0.23622047244094491"/>
  <pageSetup paperSize="9" scale="96" orientation="portrait" horizontalDpi="300" verticalDpi="300" r:id="rId1"/>
  <headerFooter alignWithMargins="0">
    <oddFooter>&amp;RPage 3 of 5</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0404C-C8F4-4224-AC20-DB2C494DD8A8}">
  <dimension ref="A1:CN83"/>
  <sheetViews>
    <sheetView showGridLines="0" showZeros="0" zoomScaleNormal="100" workbookViewId="0">
      <selection activeCell="M20" sqref="M20:R20"/>
    </sheetView>
  </sheetViews>
  <sheetFormatPr baseColWidth="10" defaultRowHeight="12.75" x14ac:dyDescent="0.2"/>
  <cols>
    <col min="1" max="23" width="2.42578125" customWidth="1"/>
    <col min="24" max="24" width="3.28515625" customWidth="1"/>
    <col min="25" max="37" width="2.42578125" customWidth="1"/>
    <col min="38" max="38" width="3.28515625" customWidth="1"/>
    <col min="39" max="129" width="2.42578125" customWidth="1"/>
    <col min="257" max="279" width="2.42578125" customWidth="1"/>
    <col min="280" max="280" width="3.28515625" customWidth="1"/>
    <col min="281" max="293" width="2.42578125" customWidth="1"/>
    <col min="294" max="294" width="3.28515625" customWidth="1"/>
    <col min="295" max="385" width="2.42578125" customWidth="1"/>
    <col min="513" max="535" width="2.42578125" customWidth="1"/>
    <col min="536" max="536" width="3.28515625" customWidth="1"/>
    <col min="537" max="549" width="2.42578125" customWidth="1"/>
    <col min="550" max="550" width="3.28515625" customWidth="1"/>
    <col min="551" max="641" width="2.42578125" customWidth="1"/>
    <col min="769" max="791" width="2.42578125" customWidth="1"/>
    <col min="792" max="792" width="3.28515625" customWidth="1"/>
    <col min="793" max="805" width="2.42578125" customWidth="1"/>
    <col min="806" max="806" width="3.28515625" customWidth="1"/>
    <col min="807" max="897" width="2.42578125" customWidth="1"/>
    <col min="1025" max="1047" width="2.42578125" customWidth="1"/>
    <col min="1048" max="1048" width="3.28515625" customWidth="1"/>
    <col min="1049" max="1061" width="2.42578125" customWidth="1"/>
    <col min="1062" max="1062" width="3.28515625" customWidth="1"/>
    <col min="1063" max="1153" width="2.42578125" customWidth="1"/>
    <col min="1281" max="1303" width="2.42578125" customWidth="1"/>
    <col min="1304" max="1304" width="3.28515625" customWidth="1"/>
    <col min="1305" max="1317" width="2.42578125" customWidth="1"/>
    <col min="1318" max="1318" width="3.28515625" customWidth="1"/>
    <col min="1319" max="1409" width="2.42578125" customWidth="1"/>
    <col min="1537" max="1559" width="2.42578125" customWidth="1"/>
    <col min="1560" max="1560" width="3.28515625" customWidth="1"/>
    <col min="1561" max="1573" width="2.42578125" customWidth="1"/>
    <col min="1574" max="1574" width="3.28515625" customWidth="1"/>
    <col min="1575" max="1665" width="2.42578125" customWidth="1"/>
    <col min="1793" max="1815" width="2.42578125" customWidth="1"/>
    <col min="1816" max="1816" width="3.28515625" customWidth="1"/>
    <col min="1817" max="1829" width="2.42578125" customWidth="1"/>
    <col min="1830" max="1830" width="3.28515625" customWidth="1"/>
    <col min="1831" max="1921" width="2.42578125" customWidth="1"/>
    <col min="2049" max="2071" width="2.42578125" customWidth="1"/>
    <col min="2072" max="2072" width="3.28515625" customWidth="1"/>
    <col min="2073" max="2085" width="2.42578125" customWidth="1"/>
    <col min="2086" max="2086" width="3.28515625" customWidth="1"/>
    <col min="2087" max="2177" width="2.42578125" customWidth="1"/>
    <col min="2305" max="2327" width="2.42578125" customWidth="1"/>
    <col min="2328" max="2328" width="3.28515625" customWidth="1"/>
    <col min="2329" max="2341" width="2.42578125" customWidth="1"/>
    <col min="2342" max="2342" width="3.28515625" customWidth="1"/>
    <col min="2343" max="2433" width="2.42578125" customWidth="1"/>
    <col min="2561" max="2583" width="2.42578125" customWidth="1"/>
    <col min="2584" max="2584" width="3.28515625" customWidth="1"/>
    <col min="2585" max="2597" width="2.42578125" customWidth="1"/>
    <col min="2598" max="2598" width="3.28515625" customWidth="1"/>
    <col min="2599" max="2689" width="2.42578125" customWidth="1"/>
    <col min="2817" max="2839" width="2.42578125" customWidth="1"/>
    <col min="2840" max="2840" width="3.28515625" customWidth="1"/>
    <col min="2841" max="2853" width="2.42578125" customWidth="1"/>
    <col min="2854" max="2854" width="3.28515625" customWidth="1"/>
    <col min="2855" max="2945" width="2.42578125" customWidth="1"/>
    <col min="3073" max="3095" width="2.42578125" customWidth="1"/>
    <col min="3096" max="3096" width="3.28515625" customWidth="1"/>
    <col min="3097" max="3109" width="2.42578125" customWidth="1"/>
    <col min="3110" max="3110" width="3.28515625" customWidth="1"/>
    <col min="3111" max="3201" width="2.42578125" customWidth="1"/>
    <col min="3329" max="3351" width="2.42578125" customWidth="1"/>
    <col min="3352" max="3352" width="3.28515625" customWidth="1"/>
    <col min="3353" max="3365" width="2.42578125" customWidth="1"/>
    <col min="3366" max="3366" width="3.28515625" customWidth="1"/>
    <col min="3367" max="3457" width="2.42578125" customWidth="1"/>
    <col min="3585" max="3607" width="2.42578125" customWidth="1"/>
    <col min="3608" max="3608" width="3.28515625" customWidth="1"/>
    <col min="3609" max="3621" width="2.42578125" customWidth="1"/>
    <col min="3622" max="3622" width="3.28515625" customWidth="1"/>
    <col min="3623" max="3713" width="2.42578125" customWidth="1"/>
    <col min="3841" max="3863" width="2.42578125" customWidth="1"/>
    <col min="3864" max="3864" width="3.28515625" customWidth="1"/>
    <col min="3865" max="3877" width="2.42578125" customWidth="1"/>
    <col min="3878" max="3878" width="3.28515625" customWidth="1"/>
    <col min="3879" max="3969" width="2.42578125" customWidth="1"/>
    <col min="4097" max="4119" width="2.42578125" customWidth="1"/>
    <col min="4120" max="4120" width="3.28515625" customWidth="1"/>
    <col min="4121" max="4133" width="2.42578125" customWidth="1"/>
    <col min="4134" max="4134" width="3.28515625" customWidth="1"/>
    <col min="4135" max="4225" width="2.42578125" customWidth="1"/>
    <col min="4353" max="4375" width="2.42578125" customWidth="1"/>
    <col min="4376" max="4376" width="3.28515625" customWidth="1"/>
    <col min="4377" max="4389" width="2.42578125" customWidth="1"/>
    <col min="4390" max="4390" width="3.28515625" customWidth="1"/>
    <col min="4391" max="4481" width="2.42578125" customWidth="1"/>
    <col min="4609" max="4631" width="2.42578125" customWidth="1"/>
    <col min="4632" max="4632" width="3.28515625" customWidth="1"/>
    <col min="4633" max="4645" width="2.42578125" customWidth="1"/>
    <col min="4646" max="4646" width="3.28515625" customWidth="1"/>
    <col min="4647" max="4737" width="2.42578125" customWidth="1"/>
    <col min="4865" max="4887" width="2.42578125" customWidth="1"/>
    <col min="4888" max="4888" width="3.28515625" customWidth="1"/>
    <col min="4889" max="4901" width="2.42578125" customWidth="1"/>
    <col min="4902" max="4902" width="3.28515625" customWidth="1"/>
    <col min="4903" max="4993" width="2.42578125" customWidth="1"/>
    <col min="5121" max="5143" width="2.42578125" customWidth="1"/>
    <col min="5144" max="5144" width="3.28515625" customWidth="1"/>
    <col min="5145" max="5157" width="2.42578125" customWidth="1"/>
    <col min="5158" max="5158" width="3.28515625" customWidth="1"/>
    <col min="5159" max="5249" width="2.42578125" customWidth="1"/>
    <col min="5377" max="5399" width="2.42578125" customWidth="1"/>
    <col min="5400" max="5400" width="3.28515625" customWidth="1"/>
    <col min="5401" max="5413" width="2.42578125" customWidth="1"/>
    <col min="5414" max="5414" width="3.28515625" customWidth="1"/>
    <col min="5415" max="5505" width="2.42578125" customWidth="1"/>
    <col min="5633" max="5655" width="2.42578125" customWidth="1"/>
    <col min="5656" max="5656" width="3.28515625" customWidth="1"/>
    <col min="5657" max="5669" width="2.42578125" customWidth="1"/>
    <col min="5670" max="5670" width="3.28515625" customWidth="1"/>
    <col min="5671" max="5761" width="2.42578125" customWidth="1"/>
    <col min="5889" max="5911" width="2.42578125" customWidth="1"/>
    <col min="5912" max="5912" width="3.28515625" customWidth="1"/>
    <col min="5913" max="5925" width="2.42578125" customWidth="1"/>
    <col min="5926" max="5926" width="3.28515625" customWidth="1"/>
    <col min="5927" max="6017" width="2.42578125" customWidth="1"/>
    <col min="6145" max="6167" width="2.42578125" customWidth="1"/>
    <col min="6168" max="6168" width="3.28515625" customWidth="1"/>
    <col min="6169" max="6181" width="2.42578125" customWidth="1"/>
    <col min="6182" max="6182" width="3.28515625" customWidth="1"/>
    <col min="6183" max="6273" width="2.42578125" customWidth="1"/>
    <col min="6401" max="6423" width="2.42578125" customWidth="1"/>
    <col min="6424" max="6424" width="3.28515625" customWidth="1"/>
    <col min="6425" max="6437" width="2.42578125" customWidth="1"/>
    <col min="6438" max="6438" width="3.28515625" customWidth="1"/>
    <col min="6439" max="6529" width="2.42578125" customWidth="1"/>
    <col min="6657" max="6679" width="2.42578125" customWidth="1"/>
    <col min="6680" max="6680" width="3.28515625" customWidth="1"/>
    <col min="6681" max="6693" width="2.42578125" customWidth="1"/>
    <col min="6694" max="6694" width="3.28515625" customWidth="1"/>
    <col min="6695" max="6785" width="2.42578125" customWidth="1"/>
    <col min="6913" max="6935" width="2.42578125" customWidth="1"/>
    <col min="6936" max="6936" width="3.28515625" customWidth="1"/>
    <col min="6937" max="6949" width="2.42578125" customWidth="1"/>
    <col min="6950" max="6950" width="3.28515625" customWidth="1"/>
    <col min="6951" max="7041" width="2.42578125" customWidth="1"/>
    <col min="7169" max="7191" width="2.42578125" customWidth="1"/>
    <col min="7192" max="7192" width="3.28515625" customWidth="1"/>
    <col min="7193" max="7205" width="2.42578125" customWidth="1"/>
    <col min="7206" max="7206" width="3.28515625" customWidth="1"/>
    <col min="7207" max="7297" width="2.42578125" customWidth="1"/>
    <col min="7425" max="7447" width="2.42578125" customWidth="1"/>
    <col min="7448" max="7448" width="3.28515625" customWidth="1"/>
    <col min="7449" max="7461" width="2.42578125" customWidth="1"/>
    <col min="7462" max="7462" width="3.28515625" customWidth="1"/>
    <col min="7463" max="7553" width="2.42578125" customWidth="1"/>
    <col min="7681" max="7703" width="2.42578125" customWidth="1"/>
    <col min="7704" max="7704" width="3.28515625" customWidth="1"/>
    <col min="7705" max="7717" width="2.42578125" customWidth="1"/>
    <col min="7718" max="7718" width="3.28515625" customWidth="1"/>
    <col min="7719" max="7809" width="2.42578125" customWidth="1"/>
    <col min="7937" max="7959" width="2.42578125" customWidth="1"/>
    <col min="7960" max="7960" width="3.28515625" customWidth="1"/>
    <col min="7961" max="7973" width="2.42578125" customWidth="1"/>
    <col min="7974" max="7974" width="3.28515625" customWidth="1"/>
    <col min="7975" max="8065" width="2.42578125" customWidth="1"/>
    <col min="8193" max="8215" width="2.42578125" customWidth="1"/>
    <col min="8216" max="8216" width="3.28515625" customWidth="1"/>
    <col min="8217" max="8229" width="2.42578125" customWidth="1"/>
    <col min="8230" max="8230" width="3.28515625" customWidth="1"/>
    <col min="8231" max="8321" width="2.42578125" customWidth="1"/>
    <col min="8449" max="8471" width="2.42578125" customWidth="1"/>
    <col min="8472" max="8472" width="3.28515625" customWidth="1"/>
    <col min="8473" max="8485" width="2.42578125" customWidth="1"/>
    <col min="8486" max="8486" width="3.28515625" customWidth="1"/>
    <col min="8487" max="8577" width="2.42578125" customWidth="1"/>
    <col min="8705" max="8727" width="2.42578125" customWidth="1"/>
    <col min="8728" max="8728" width="3.28515625" customWidth="1"/>
    <col min="8729" max="8741" width="2.42578125" customWidth="1"/>
    <col min="8742" max="8742" width="3.28515625" customWidth="1"/>
    <col min="8743" max="8833" width="2.42578125" customWidth="1"/>
    <col min="8961" max="8983" width="2.42578125" customWidth="1"/>
    <col min="8984" max="8984" width="3.28515625" customWidth="1"/>
    <col min="8985" max="8997" width="2.42578125" customWidth="1"/>
    <col min="8998" max="8998" width="3.28515625" customWidth="1"/>
    <col min="8999" max="9089" width="2.42578125" customWidth="1"/>
    <col min="9217" max="9239" width="2.42578125" customWidth="1"/>
    <col min="9240" max="9240" width="3.28515625" customWidth="1"/>
    <col min="9241" max="9253" width="2.42578125" customWidth="1"/>
    <col min="9254" max="9254" width="3.28515625" customWidth="1"/>
    <col min="9255" max="9345" width="2.42578125" customWidth="1"/>
    <col min="9473" max="9495" width="2.42578125" customWidth="1"/>
    <col min="9496" max="9496" width="3.28515625" customWidth="1"/>
    <col min="9497" max="9509" width="2.42578125" customWidth="1"/>
    <col min="9510" max="9510" width="3.28515625" customWidth="1"/>
    <col min="9511" max="9601" width="2.42578125" customWidth="1"/>
    <col min="9729" max="9751" width="2.42578125" customWidth="1"/>
    <col min="9752" max="9752" width="3.28515625" customWidth="1"/>
    <col min="9753" max="9765" width="2.42578125" customWidth="1"/>
    <col min="9766" max="9766" width="3.28515625" customWidth="1"/>
    <col min="9767" max="9857" width="2.42578125" customWidth="1"/>
    <col min="9985" max="10007" width="2.42578125" customWidth="1"/>
    <col min="10008" max="10008" width="3.28515625" customWidth="1"/>
    <col min="10009" max="10021" width="2.42578125" customWidth="1"/>
    <col min="10022" max="10022" width="3.28515625" customWidth="1"/>
    <col min="10023" max="10113" width="2.42578125" customWidth="1"/>
    <col min="10241" max="10263" width="2.42578125" customWidth="1"/>
    <col min="10264" max="10264" width="3.28515625" customWidth="1"/>
    <col min="10265" max="10277" width="2.42578125" customWidth="1"/>
    <col min="10278" max="10278" width="3.28515625" customWidth="1"/>
    <col min="10279" max="10369" width="2.42578125" customWidth="1"/>
    <col min="10497" max="10519" width="2.42578125" customWidth="1"/>
    <col min="10520" max="10520" width="3.28515625" customWidth="1"/>
    <col min="10521" max="10533" width="2.42578125" customWidth="1"/>
    <col min="10534" max="10534" width="3.28515625" customWidth="1"/>
    <col min="10535" max="10625" width="2.42578125" customWidth="1"/>
    <col min="10753" max="10775" width="2.42578125" customWidth="1"/>
    <col min="10776" max="10776" width="3.28515625" customWidth="1"/>
    <col min="10777" max="10789" width="2.42578125" customWidth="1"/>
    <col min="10790" max="10790" width="3.28515625" customWidth="1"/>
    <col min="10791" max="10881" width="2.42578125" customWidth="1"/>
    <col min="11009" max="11031" width="2.42578125" customWidth="1"/>
    <col min="11032" max="11032" width="3.28515625" customWidth="1"/>
    <col min="11033" max="11045" width="2.42578125" customWidth="1"/>
    <col min="11046" max="11046" width="3.28515625" customWidth="1"/>
    <col min="11047" max="11137" width="2.42578125" customWidth="1"/>
    <col min="11265" max="11287" width="2.42578125" customWidth="1"/>
    <col min="11288" max="11288" width="3.28515625" customWidth="1"/>
    <col min="11289" max="11301" width="2.42578125" customWidth="1"/>
    <col min="11302" max="11302" width="3.28515625" customWidth="1"/>
    <col min="11303" max="11393" width="2.42578125" customWidth="1"/>
    <col min="11521" max="11543" width="2.42578125" customWidth="1"/>
    <col min="11544" max="11544" width="3.28515625" customWidth="1"/>
    <col min="11545" max="11557" width="2.42578125" customWidth="1"/>
    <col min="11558" max="11558" width="3.28515625" customWidth="1"/>
    <col min="11559" max="11649" width="2.42578125" customWidth="1"/>
    <col min="11777" max="11799" width="2.42578125" customWidth="1"/>
    <col min="11800" max="11800" width="3.28515625" customWidth="1"/>
    <col min="11801" max="11813" width="2.42578125" customWidth="1"/>
    <col min="11814" max="11814" width="3.28515625" customWidth="1"/>
    <col min="11815" max="11905" width="2.42578125" customWidth="1"/>
    <col min="12033" max="12055" width="2.42578125" customWidth="1"/>
    <col min="12056" max="12056" width="3.28515625" customWidth="1"/>
    <col min="12057" max="12069" width="2.42578125" customWidth="1"/>
    <col min="12070" max="12070" width="3.28515625" customWidth="1"/>
    <col min="12071" max="12161" width="2.42578125" customWidth="1"/>
    <col min="12289" max="12311" width="2.42578125" customWidth="1"/>
    <col min="12312" max="12312" width="3.28515625" customWidth="1"/>
    <col min="12313" max="12325" width="2.42578125" customWidth="1"/>
    <col min="12326" max="12326" width="3.28515625" customWidth="1"/>
    <col min="12327" max="12417" width="2.42578125" customWidth="1"/>
    <col min="12545" max="12567" width="2.42578125" customWidth="1"/>
    <col min="12568" max="12568" width="3.28515625" customWidth="1"/>
    <col min="12569" max="12581" width="2.42578125" customWidth="1"/>
    <col min="12582" max="12582" width="3.28515625" customWidth="1"/>
    <col min="12583" max="12673" width="2.42578125" customWidth="1"/>
    <col min="12801" max="12823" width="2.42578125" customWidth="1"/>
    <col min="12824" max="12824" width="3.28515625" customWidth="1"/>
    <col min="12825" max="12837" width="2.42578125" customWidth="1"/>
    <col min="12838" max="12838" width="3.28515625" customWidth="1"/>
    <col min="12839" max="12929" width="2.42578125" customWidth="1"/>
    <col min="13057" max="13079" width="2.42578125" customWidth="1"/>
    <col min="13080" max="13080" width="3.28515625" customWidth="1"/>
    <col min="13081" max="13093" width="2.42578125" customWidth="1"/>
    <col min="13094" max="13094" width="3.28515625" customWidth="1"/>
    <col min="13095" max="13185" width="2.42578125" customWidth="1"/>
    <col min="13313" max="13335" width="2.42578125" customWidth="1"/>
    <col min="13336" max="13336" width="3.28515625" customWidth="1"/>
    <col min="13337" max="13349" width="2.42578125" customWidth="1"/>
    <col min="13350" max="13350" width="3.28515625" customWidth="1"/>
    <col min="13351" max="13441" width="2.42578125" customWidth="1"/>
    <col min="13569" max="13591" width="2.42578125" customWidth="1"/>
    <col min="13592" max="13592" width="3.28515625" customWidth="1"/>
    <col min="13593" max="13605" width="2.42578125" customWidth="1"/>
    <col min="13606" max="13606" width="3.28515625" customWidth="1"/>
    <col min="13607" max="13697" width="2.42578125" customWidth="1"/>
    <col min="13825" max="13847" width="2.42578125" customWidth="1"/>
    <col min="13848" max="13848" width="3.28515625" customWidth="1"/>
    <col min="13849" max="13861" width="2.42578125" customWidth="1"/>
    <col min="13862" max="13862" width="3.28515625" customWidth="1"/>
    <col min="13863" max="13953" width="2.42578125" customWidth="1"/>
    <col min="14081" max="14103" width="2.42578125" customWidth="1"/>
    <col min="14104" max="14104" width="3.28515625" customWidth="1"/>
    <col min="14105" max="14117" width="2.42578125" customWidth="1"/>
    <col min="14118" max="14118" width="3.28515625" customWidth="1"/>
    <col min="14119" max="14209" width="2.42578125" customWidth="1"/>
    <col min="14337" max="14359" width="2.42578125" customWidth="1"/>
    <col min="14360" max="14360" width="3.28515625" customWidth="1"/>
    <col min="14361" max="14373" width="2.42578125" customWidth="1"/>
    <col min="14374" max="14374" width="3.28515625" customWidth="1"/>
    <col min="14375" max="14465" width="2.42578125" customWidth="1"/>
    <col min="14593" max="14615" width="2.42578125" customWidth="1"/>
    <col min="14616" max="14616" width="3.28515625" customWidth="1"/>
    <col min="14617" max="14629" width="2.42578125" customWidth="1"/>
    <col min="14630" max="14630" width="3.28515625" customWidth="1"/>
    <col min="14631" max="14721" width="2.42578125" customWidth="1"/>
    <col min="14849" max="14871" width="2.42578125" customWidth="1"/>
    <col min="14872" max="14872" width="3.28515625" customWidth="1"/>
    <col min="14873" max="14885" width="2.42578125" customWidth="1"/>
    <col min="14886" max="14886" width="3.28515625" customWidth="1"/>
    <col min="14887" max="14977" width="2.42578125" customWidth="1"/>
    <col min="15105" max="15127" width="2.42578125" customWidth="1"/>
    <col min="15128" max="15128" width="3.28515625" customWidth="1"/>
    <col min="15129" max="15141" width="2.42578125" customWidth="1"/>
    <col min="15142" max="15142" width="3.28515625" customWidth="1"/>
    <col min="15143" max="15233" width="2.42578125" customWidth="1"/>
    <col min="15361" max="15383" width="2.42578125" customWidth="1"/>
    <col min="15384" max="15384" width="3.28515625" customWidth="1"/>
    <col min="15385" max="15397" width="2.42578125" customWidth="1"/>
    <col min="15398" max="15398" width="3.28515625" customWidth="1"/>
    <col min="15399" max="15489" width="2.42578125" customWidth="1"/>
    <col min="15617" max="15639" width="2.42578125" customWidth="1"/>
    <col min="15640" max="15640" width="3.28515625" customWidth="1"/>
    <col min="15641" max="15653" width="2.42578125" customWidth="1"/>
    <col min="15654" max="15654" width="3.28515625" customWidth="1"/>
    <col min="15655" max="15745" width="2.42578125" customWidth="1"/>
    <col min="15873" max="15895" width="2.42578125" customWidth="1"/>
    <col min="15896" max="15896" width="3.28515625" customWidth="1"/>
    <col min="15897" max="15909" width="2.42578125" customWidth="1"/>
    <col min="15910" max="15910" width="3.28515625" customWidth="1"/>
    <col min="15911" max="16001" width="2.42578125" customWidth="1"/>
    <col min="16129" max="16151" width="2.42578125" customWidth="1"/>
    <col min="16152" max="16152" width="3.28515625" customWidth="1"/>
    <col min="16153" max="16165" width="2.42578125" customWidth="1"/>
    <col min="16166" max="16166" width="3.28515625" customWidth="1"/>
    <col min="16167" max="16257" width="2.42578125" customWidth="1"/>
  </cols>
  <sheetData>
    <row r="1" spans="1:38" x14ac:dyDescent="0.2">
      <c r="S1" s="272" t="s">
        <v>11</v>
      </c>
      <c r="T1" s="272"/>
      <c r="U1" s="272"/>
      <c r="V1" s="272"/>
      <c r="W1" s="272"/>
      <c r="X1" s="273" t="s">
        <v>424</v>
      </c>
      <c r="Y1" s="274"/>
      <c r="Z1" s="274"/>
      <c r="AA1" s="274"/>
      <c r="AB1" s="274"/>
      <c r="AC1" s="274"/>
      <c r="AD1" s="274"/>
      <c r="AE1" s="274"/>
      <c r="AF1" s="274"/>
      <c r="AG1" s="274"/>
      <c r="AH1" s="274"/>
      <c r="AI1" s="274"/>
      <c r="AJ1" s="274"/>
      <c r="AK1" s="274"/>
      <c r="AL1" s="274"/>
    </row>
    <row r="3" spans="1:38" x14ac:dyDescent="0.2">
      <c r="S3" s="275" t="s">
        <v>13</v>
      </c>
      <c r="T3" s="275"/>
      <c r="U3" s="275"/>
      <c r="V3" s="275"/>
      <c r="W3" s="276"/>
      <c r="X3" s="269" t="s">
        <v>430</v>
      </c>
      <c r="Y3" s="270"/>
      <c r="Z3" s="270"/>
      <c r="AA3" s="270"/>
      <c r="AB3" s="270"/>
      <c r="AC3" s="270"/>
      <c r="AD3" s="271"/>
      <c r="AE3" t="s">
        <v>12</v>
      </c>
      <c r="AI3" s="269" t="s">
        <v>344</v>
      </c>
      <c r="AJ3" s="270"/>
      <c r="AK3" s="270"/>
      <c r="AL3" s="271"/>
    </row>
    <row r="4" spans="1:38" ht="12.75" customHeight="1" x14ac:dyDescent="0.2"/>
    <row r="5" spans="1:38" ht="12.75" customHeight="1" x14ac:dyDescent="0.2"/>
    <row r="6" spans="1:38" ht="12.75" customHeight="1" x14ac:dyDescent="0.2">
      <c r="A6" t="s">
        <v>14</v>
      </c>
      <c r="J6" s="269"/>
      <c r="K6" s="270"/>
      <c r="L6" s="270"/>
      <c r="M6" s="270"/>
      <c r="N6" s="270"/>
      <c r="O6" s="270"/>
      <c r="P6" s="270"/>
      <c r="Q6" s="270"/>
      <c r="R6" s="270"/>
      <c r="S6" s="270"/>
      <c r="T6" s="270"/>
      <c r="U6" s="270"/>
      <c r="V6" s="270"/>
      <c r="W6" s="270"/>
      <c r="X6" s="270"/>
      <c r="Y6" s="270"/>
      <c r="Z6" s="270"/>
      <c r="AA6" s="270"/>
      <c r="AB6" s="270"/>
      <c r="AC6" s="270"/>
      <c r="AD6" s="270"/>
      <c r="AE6" s="270"/>
      <c r="AF6" s="270"/>
      <c r="AG6" s="270"/>
      <c r="AH6" s="270"/>
      <c r="AI6" s="270"/>
      <c r="AJ6" s="270"/>
      <c r="AK6" s="270"/>
      <c r="AL6" s="271"/>
    </row>
    <row r="7" spans="1:38" ht="6.75" customHeight="1" x14ac:dyDescent="0.2">
      <c r="J7" s="54"/>
      <c r="K7" s="54"/>
      <c r="L7" s="54"/>
      <c r="M7" s="60"/>
      <c r="N7" s="60"/>
      <c r="O7" s="60"/>
      <c r="P7" s="60"/>
      <c r="Q7" s="60"/>
      <c r="R7" s="60"/>
      <c r="S7" s="54"/>
      <c r="T7" s="54"/>
      <c r="U7" s="54"/>
      <c r="V7" s="54"/>
      <c r="W7" s="60"/>
      <c r="X7" s="60"/>
      <c r="Y7" s="54"/>
      <c r="Z7" s="54"/>
      <c r="AA7" s="81"/>
      <c r="AB7" s="81"/>
      <c r="AC7" s="81"/>
      <c r="AD7" s="81"/>
      <c r="AE7" s="81"/>
      <c r="AF7" s="81"/>
      <c r="AG7" s="81"/>
      <c r="AH7" s="81"/>
      <c r="AI7" s="81"/>
      <c r="AJ7" s="81"/>
      <c r="AK7" s="81"/>
      <c r="AL7" s="81"/>
    </row>
    <row r="8" spans="1:38" ht="12.75" customHeight="1" x14ac:dyDescent="0.2">
      <c r="A8" t="s">
        <v>18</v>
      </c>
      <c r="C8" s="283" t="s">
        <v>418</v>
      </c>
      <c r="D8" s="284"/>
      <c r="E8" s="284"/>
      <c r="F8" s="284"/>
      <c r="G8" s="284"/>
      <c r="H8" s="285"/>
      <c r="I8" s="286" t="s">
        <v>15</v>
      </c>
      <c r="J8" s="272"/>
      <c r="K8" s="272"/>
      <c r="L8" s="287"/>
      <c r="M8" s="288" t="s">
        <v>417</v>
      </c>
      <c r="N8" s="289"/>
      <c r="O8" s="289"/>
      <c r="P8" s="289"/>
      <c r="Q8" s="289"/>
      <c r="R8" s="290"/>
      <c r="S8" s="286" t="s">
        <v>16</v>
      </c>
      <c r="T8" s="272"/>
      <c r="U8" s="272"/>
      <c r="V8" s="287"/>
      <c r="W8" s="291" t="s">
        <v>418</v>
      </c>
      <c r="X8" s="292"/>
      <c r="Y8" s="286" t="s">
        <v>17</v>
      </c>
      <c r="Z8" s="287"/>
      <c r="AA8" s="293" t="s">
        <v>398</v>
      </c>
      <c r="AB8" s="294"/>
      <c r="AC8" s="294"/>
      <c r="AD8" s="294"/>
      <c r="AE8" s="294"/>
      <c r="AF8" s="294"/>
      <c r="AG8" s="294"/>
      <c r="AH8" s="294"/>
      <c r="AI8" s="294"/>
      <c r="AJ8" s="294"/>
      <c r="AK8" s="294"/>
      <c r="AL8" s="295"/>
    </row>
    <row r="9" spans="1:38" ht="12.75" customHeight="1" x14ac:dyDescent="0.2"/>
    <row r="10" spans="1:38" ht="12.75" customHeight="1" x14ac:dyDescent="0.2">
      <c r="A10" t="s">
        <v>38</v>
      </c>
      <c r="H10" s="277" t="s">
        <v>432</v>
      </c>
      <c r="I10" s="278"/>
      <c r="J10" s="278"/>
      <c r="K10" s="278"/>
      <c r="L10" s="278"/>
      <c r="M10" s="278"/>
      <c r="N10" s="278"/>
      <c r="O10" s="278"/>
      <c r="P10" s="278"/>
      <c r="Q10" s="278"/>
      <c r="R10" s="279"/>
      <c r="T10" t="s">
        <v>345</v>
      </c>
      <c r="AB10" s="277" t="s">
        <v>416</v>
      </c>
      <c r="AC10" s="278"/>
      <c r="AD10" s="278"/>
      <c r="AE10" s="278"/>
      <c r="AF10" s="278"/>
      <c r="AG10" s="278"/>
      <c r="AH10" s="278"/>
      <c r="AI10" s="278"/>
      <c r="AJ10" s="278"/>
      <c r="AK10" s="278"/>
      <c r="AL10" s="279"/>
    </row>
    <row r="11" spans="1:38" ht="12.75" customHeight="1" x14ac:dyDescent="0.2">
      <c r="A11" t="s">
        <v>39</v>
      </c>
      <c r="H11" s="277" t="s">
        <v>423</v>
      </c>
      <c r="I11" s="278"/>
      <c r="J11" s="278"/>
      <c r="K11" s="278"/>
      <c r="L11" s="278"/>
      <c r="M11" s="278"/>
      <c r="N11" s="278"/>
      <c r="O11" s="278"/>
      <c r="P11" s="278"/>
      <c r="Q11" s="278"/>
      <c r="R11" s="279"/>
      <c r="T11" t="s">
        <v>346</v>
      </c>
      <c r="AB11" s="277" t="s">
        <v>416</v>
      </c>
      <c r="AC11" s="278"/>
      <c r="AD11" s="278"/>
      <c r="AE11" s="278"/>
      <c r="AF11" s="278"/>
      <c r="AG11" s="278"/>
      <c r="AH11" s="278"/>
      <c r="AI11" s="278"/>
      <c r="AJ11" s="278"/>
      <c r="AK11" s="278"/>
      <c r="AL11" s="279"/>
    </row>
    <row r="12" spans="1:38" ht="12.75" customHeight="1" x14ac:dyDescent="0.2">
      <c r="A12" t="s">
        <v>40</v>
      </c>
      <c r="H12" s="277"/>
      <c r="I12" s="278"/>
      <c r="J12" s="278"/>
      <c r="K12" s="278"/>
      <c r="L12" s="278"/>
      <c r="M12" s="278"/>
      <c r="N12" s="278"/>
      <c r="O12" s="278"/>
      <c r="P12" s="278"/>
      <c r="Q12" s="278"/>
      <c r="R12" s="279"/>
      <c r="T12" t="s">
        <v>19</v>
      </c>
      <c r="AB12" s="280" t="s">
        <v>396</v>
      </c>
      <c r="AC12" s="281"/>
      <c r="AD12" s="281"/>
      <c r="AE12" s="281"/>
      <c r="AF12" s="281"/>
      <c r="AG12" s="281"/>
      <c r="AH12" s="281"/>
      <c r="AI12" s="281"/>
      <c r="AJ12" s="281"/>
      <c r="AK12" s="281"/>
      <c r="AL12" s="282"/>
    </row>
    <row r="13" spans="1:38" ht="12.75" customHeight="1" x14ac:dyDescent="0.2">
      <c r="A13" t="s">
        <v>41</v>
      </c>
      <c r="H13" s="277">
        <v>0</v>
      </c>
      <c r="I13" s="278"/>
      <c r="J13" s="278"/>
      <c r="K13" s="278"/>
      <c r="L13" s="278"/>
      <c r="M13" s="278"/>
      <c r="N13" s="278"/>
      <c r="O13" s="278"/>
      <c r="P13" s="278"/>
      <c r="Q13" s="278"/>
      <c r="R13" s="279"/>
      <c r="T13" t="s">
        <v>20</v>
      </c>
      <c r="AB13" s="280"/>
      <c r="AC13" s="281"/>
      <c r="AD13" s="281"/>
      <c r="AE13" s="281"/>
      <c r="AF13" s="281"/>
      <c r="AG13" s="281"/>
      <c r="AH13" s="281"/>
      <c r="AI13" s="281"/>
      <c r="AJ13" s="281"/>
      <c r="AK13" s="281"/>
      <c r="AL13" s="282"/>
    </row>
    <row r="14" spans="1:38" ht="12.75" customHeight="1" x14ac:dyDescent="0.2">
      <c r="A14" s="189" t="s">
        <v>347</v>
      </c>
      <c r="H14" s="296">
        <v>0</v>
      </c>
      <c r="I14" s="278"/>
      <c r="J14" s="278"/>
      <c r="K14" s="278"/>
      <c r="L14" s="278"/>
      <c r="M14" s="278"/>
      <c r="N14" s="278"/>
      <c r="O14" s="278"/>
      <c r="P14" s="278"/>
      <c r="Q14" s="278"/>
      <c r="R14" s="279"/>
      <c r="T14" t="s">
        <v>348</v>
      </c>
      <c r="AB14" s="280" t="s">
        <v>349</v>
      </c>
      <c r="AC14" s="281"/>
      <c r="AD14" s="281"/>
      <c r="AE14" s="281"/>
      <c r="AF14" s="281"/>
      <c r="AG14" s="281"/>
      <c r="AH14" s="281"/>
      <c r="AI14" s="281"/>
      <c r="AJ14" s="281"/>
      <c r="AK14" s="281"/>
      <c r="AL14" s="282"/>
    </row>
    <row r="15" spans="1:38" ht="12.75" customHeight="1" x14ac:dyDescent="0.2">
      <c r="A15" s="189"/>
      <c r="H15" s="188"/>
      <c r="I15" s="188"/>
      <c r="J15" s="188"/>
      <c r="K15" s="188"/>
      <c r="L15" s="188"/>
      <c r="M15" s="188"/>
      <c r="N15" s="188"/>
      <c r="O15" s="188"/>
      <c r="P15" s="188"/>
      <c r="Q15" s="188"/>
      <c r="R15" s="188"/>
      <c r="AB15" s="188"/>
      <c r="AC15" s="188"/>
      <c r="AD15" s="188"/>
      <c r="AE15" s="188"/>
      <c r="AF15" s="188"/>
      <c r="AG15" s="188"/>
      <c r="AH15" s="188"/>
      <c r="AI15" s="188"/>
      <c r="AJ15" s="188"/>
      <c r="AK15" s="188"/>
      <c r="AL15" s="188"/>
    </row>
    <row r="16" spans="1:38" ht="12.75" customHeight="1" x14ac:dyDescent="0.2">
      <c r="A16" s="189" t="s">
        <v>350</v>
      </c>
      <c r="H16" s="297" t="s">
        <v>419</v>
      </c>
      <c r="I16" s="298"/>
      <c r="J16" s="298"/>
      <c r="K16" s="298"/>
      <c r="L16" s="298"/>
      <c r="M16" s="298"/>
      <c r="N16" s="298"/>
      <c r="O16" s="298"/>
      <c r="P16" s="298"/>
      <c r="Q16" s="298"/>
      <c r="R16" s="299"/>
      <c r="T16" s="188" t="s">
        <v>351</v>
      </c>
      <c r="AB16" s="297" t="s">
        <v>419</v>
      </c>
      <c r="AC16" s="298"/>
      <c r="AD16" s="298"/>
      <c r="AE16" s="298"/>
      <c r="AF16" s="298"/>
      <c r="AG16" s="298"/>
      <c r="AH16" s="298"/>
      <c r="AI16" s="298"/>
      <c r="AJ16" s="298"/>
      <c r="AK16" s="298"/>
      <c r="AL16" s="299"/>
    </row>
    <row r="17" spans="1:38" ht="12.75" customHeight="1" x14ac:dyDescent="0.2"/>
    <row r="18" spans="1:38" ht="12.75" customHeight="1" x14ac:dyDescent="0.2">
      <c r="A18" t="s">
        <v>77</v>
      </c>
      <c r="M18" s="300">
        <v>189.99</v>
      </c>
      <c r="N18" s="301"/>
      <c r="O18" s="301"/>
      <c r="P18" s="301"/>
      <c r="Q18" s="301"/>
      <c r="R18" s="302"/>
      <c r="T18" t="s">
        <v>78</v>
      </c>
      <c r="AG18" s="303">
        <v>220</v>
      </c>
      <c r="AH18" s="304"/>
      <c r="AI18" s="304"/>
      <c r="AJ18" s="304"/>
      <c r="AK18" s="304"/>
      <c r="AL18" s="305"/>
    </row>
    <row r="19" spans="1:38" ht="12.75" customHeight="1" x14ac:dyDescent="0.2">
      <c r="A19" t="s">
        <v>79</v>
      </c>
      <c r="M19" s="300">
        <v>182.96</v>
      </c>
      <c r="N19" s="301"/>
      <c r="O19" s="301"/>
      <c r="P19" s="301"/>
      <c r="Q19" s="301"/>
      <c r="R19" s="302"/>
      <c r="T19" t="s">
        <v>80</v>
      </c>
      <c r="AG19" s="300">
        <f>+Draft!M30</f>
        <v>300</v>
      </c>
      <c r="AH19" s="301"/>
      <c r="AI19" s="301"/>
      <c r="AJ19" s="301"/>
      <c r="AK19" s="301"/>
      <c r="AL19" s="302"/>
    </row>
    <row r="20" spans="1:38" ht="12.75" customHeight="1" x14ac:dyDescent="0.2">
      <c r="A20" t="s">
        <v>81</v>
      </c>
      <c r="M20" s="300"/>
      <c r="N20" s="301"/>
      <c r="O20" s="301"/>
      <c r="P20" s="301"/>
      <c r="Q20" s="301"/>
      <c r="R20" s="302"/>
      <c r="T20" t="s">
        <v>82</v>
      </c>
      <c r="AG20" s="303">
        <f>+Draft!M29</f>
        <v>10787</v>
      </c>
      <c r="AH20" s="304"/>
      <c r="AI20" s="304"/>
      <c r="AJ20" s="304"/>
      <c r="AK20" s="304"/>
      <c r="AL20" s="305"/>
    </row>
    <row r="21" spans="1:38" ht="12.75" customHeight="1" x14ac:dyDescent="0.2">
      <c r="A21" t="s">
        <v>83</v>
      </c>
      <c r="M21" s="300">
        <v>28.3</v>
      </c>
      <c r="N21" s="301"/>
      <c r="O21" s="301"/>
      <c r="P21" s="301"/>
      <c r="Q21" s="301"/>
      <c r="R21" s="302"/>
      <c r="T21" t="s">
        <v>84</v>
      </c>
      <c r="AG21" s="300">
        <f>Draft!M29</f>
        <v>10787</v>
      </c>
      <c r="AH21" s="301"/>
      <c r="AI21" s="301"/>
      <c r="AJ21" s="301"/>
      <c r="AK21" s="301"/>
      <c r="AL21" s="302"/>
    </row>
    <row r="22" spans="1:38" ht="12.75" customHeight="1" x14ac:dyDescent="0.2">
      <c r="A22" t="s">
        <v>85</v>
      </c>
      <c r="M22" s="300"/>
      <c r="N22" s="301"/>
      <c r="O22" s="301"/>
      <c r="P22" s="301"/>
      <c r="Q22" s="301"/>
      <c r="R22" s="302"/>
      <c r="T22" t="s">
        <v>86</v>
      </c>
      <c r="AG22" s="300">
        <v>46970</v>
      </c>
      <c r="AH22" s="301"/>
      <c r="AI22" s="301"/>
      <c r="AJ22" s="301"/>
      <c r="AK22" s="301"/>
      <c r="AL22" s="302"/>
    </row>
    <row r="23" spans="1:38" ht="12.75" customHeight="1" x14ac:dyDescent="0.2">
      <c r="A23" t="s">
        <v>87</v>
      </c>
      <c r="M23" s="300">
        <v>18.2</v>
      </c>
      <c r="N23" s="301"/>
      <c r="O23" s="301"/>
      <c r="P23" s="301"/>
      <c r="Q23" s="301"/>
      <c r="R23" s="302"/>
      <c r="T23" t="s">
        <v>88</v>
      </c>
      <c r="AG23" s="300">
        <v>37205</v>
      </c>
      <c r="AH23" s="301"/>
      <c r="AI23" s="301"/>
      <c r="AJ23" s="301"/>
      <c r="AK23" s="301"/>
      <c r="AL23" s="302"/>
    </row>
    <row r="24" spans="1:38" ht="12.75" customHeight="1" x14ac:dyDescent="0.2">
      <c r="A24" t="s">
        <v>89</v>
      </c>
      <c r="M24" s="309">
        <v>10.5</v>
      </c>
      <c r="N24" s="310"/>
      <c r="O24" s="310"/>
      <c r="P24" s="310"/>
      <c r="Q24" s="310"/>
      <c r="R24" s="311"/>
      <c r="T24" t="s">
        <v>90</v>
      </c>
      <c r="AG24" s="300">
        <v>12205</v>
      </c>
      <c r="AH24" s="301"/>
      <c r="AI24" s="301"/>
      <c r="AJ24" s="301"/>
      <c r="AK24" s="301"/>
      <c r="AL24" s="302"/>
    </row>
    <row r="25" spans="1:38" ht="12.75" customHeight="1" x14ac:dyDescent="0.2">
      <c r="A25" t="s">
        <v>91</v>
      </c>
      <c r="M25" s="309">
        <v>4.7320000000000002</v>
      </c>
      <c r="N25" s="310"/>
      <c r="O25" s="310"/>
      <c r="P25" s="310"/>
      <c r="Q25" s="310"/>
      <c r="R25" s="311"/>
      <c r="T25" t="s">
        <v>92</v>
      </c>
      <c r="AG25" s="300">
        <v>24196</v>
      </c>
      <c r="AH25" s="301"/>
      <c r="AI25" s="301"/>
      <c r="AJ25" s="301"/>
      <c r="AK25" s="301"/>
      <c r="AL25" s="302"/>
    </row>
    <row r="26" spans="1:38" ht="12.75" customHeight="1" x14ac:dyDescent="0.2"/>
    <row r="27" spans="1:38" ht="12.75" customHeight="1" x14ac:dyDescent="0.2">
      <c r="A27" s="43" t="s">
        <v>66</v>
      </c>
      <c r="B27" s="13"/>
      <c r="C27" s="13"/>
      <c r="D27" s="13"/>
      <c r="E27" s="13"/>
      <c r="F27" s="13"/>
      <c r="G27" s="13"/>
      <c r="H27" s="13"/>
      <c r="I27" s="13"/>
      <c r="J27" s="13"/>
      <c r="K27" s="13"/>
      <c r="L27" s="13"/>
      <c r="M27" s="13"/>
      <c r="N27" s="13"/>
      <c r="O27" s="13"/>
      <c r="P27" s="13"/>
      <c r="Q27" s="13"/>
      <c r="R27" s="13"/>
      <c r="S27" s="13"/>
      <c r="T27" s="13"/>
      <c r="U27" s="13"/>
      <c r="V27" s="13"/>
      <c r="W27" s="13"/>
      <c r="X27" s="13"/>
      <c r="Y27" s="13"/>
      <c r="Z27" s="13"/>
      <c r="AA27" s="13"/>
      <c r="AB27" s="13"/>
      <c r="AC27" s="13"/>
      <c r="AD27" s="13"/>
      <c r="AE27" s="13"/>
      <c r="AF27" s="13"/>
      <c r="AG27" s="13"/>
      <c r="AH27" s="13"/>
      <c r="AI27" s="13"/>
      <c r="AJ27" s="13"/>
      <c r="AK27" s="13"/>
      <c r="AL27" s="190"/>
    </row>
    <row r="28" spans="1:38" ht="12.75" customHeight="1" x14ac:dyDescent="0.2">
      <c r="A28" s="312" t="s">
        <v>352</v>
      </c>
      <c r="B28" s="313"/>
      <c r="C28" s="313"/>
      <c r="D28" s="313"/>
      <c r="E28" s="313"/>
      <c r="F28" s="313"/>
      <c r="G28" s="313"/>
      <c r="H28" s="313"/>
      <c r="I28" s="313"/>
      <c r="J28" s="313"/>
      <c r="K28" s="313"/>
      <c r="L28" s="313"/>
      <c r="M28" s="313"/>
      <c r="N28" s="313"/>
      <c r="O28" s="313"/>
      <c r="P28" s="313"/>
      <c r="Q28" s="313"/>
      <c r="R28" s="313"/>
      <c r="S28" s="313"/>
      <c r="T28" s="313"/>
      <c r="U28" s="313"/>
      <c r="V28" s="313"/>
      <c r="W28" s="313"/>
      <c r="X28" s="313"/>
      <c r="Y28" s="313"/>
      <c r="Z28" s="313"/>
      <c r="AA28" s="313"/>
      <c r="AB28" s="313"/>
      <c r="AC28" s="313"/>
      <c r="AD28" s="313"/>
      <c r="AE28" s="313"/>
      <c r="AF28" s="313"/>
      <c r="AG28" s="313"/>
      <c r="AH28" s="313"/>
      <c r="AI28" s="313"/>
      <c r="AJ28" s="313"/>
      <c r="AK28" s="313"/>
      <c r="AL28" s="314"/>
    </row>
    <row r="29" spans="1:38" ht="12.75" customHeight="1" x14ac:dyDescent="0.2">
      <c r="A29" s="6"/>
      <c r="B29" s="39" t="s">
        <v>70</v>
      </c>
      <c r="C29" s="39"/>
      <c r="D29" s="39"/>
      <c r="E29" s="39"/>
      <c r="F29" s="39"/>
      <c r="G29" s="39"/>
      <c r="H29" s="39"/>
      <c r="I29" s="39"/>
      <c r="J29" s="39"/>
      <c r="K29" s="39"/>
      <c r="L29" s="39"/>
      <c r="M29" s="39"/>
      <c r="N29" s="39"/>
      <c r="O29" s="39"/>
      <c r="P29" s="39"/>
      <c r="Q29" s="39"/>
      <c r="R29" s="39"/>
      <c r="S29" s="39"/>
      <c r="T29" s="39"/>
      <c r="U29" s="39"/>
      <c r="V29" s="39"/>
      <c r="W29" s="39"/>
      <c r="X29" s="39"/>
      <c r="Y29" s="39"/>
      <c r="Z29" s="39"/>
      <c r="AA29" s="39"/>
      <c r="AB29" s="39"/>
      <c r="AC29" s="39"/>
      <c r="AD29" s="39"/>
      <c r="AE29" s="39"/>
      <c r="AF29" s="39"/>
      <c r="AG29" s="39"/>
      <c r="AH29" s="39"/>
      <c r="AI29" s="39"/>
      <c r="AJ29" s="39"/>
      <c r="AK29" s="39"/>
      <c r="AL29" s="44"/>
    </row>
    <row r="30" spans="1:38" ht="12.75" customHeight="1" x14ac:dyDescent="0.2">
      <c r="A30" s="51"/>
      <c r="B30" s="191" t="s">
        <v>265</v>
      </c>
      <c r="C30" s="5" t="s">
        <v>353</v>
      </c>
      <c r="D30" s="5"/>
      <c r="E30" s="5"/>
      <c r="F30" s="5"/>
      <c r="G30" s="198"/>
      <c r="H30" s="5" t="s">
        <v>354</v>
      </c>
      <c r="I30" s="17"/>
      <c r="J30" s="192"/>
      <c r="K30" s="5"/>
      <c r="L30" s="5"/>
      <c r="M30" s="5"/>
      <c r="N30" s="5"/>
      <c r="O30" s="9"/>
      <c r="P30" s="9"/>
      <c r="Q30" s="9"/>
      <c r="R30" s="9"/>
      <c r="S30" s="9"/>
      <c r="T30" s="9"/>
      <c r="U30" s="9"/>
      <c r="V30" s="9"/>
      <c r="W30" s="9"/>
      <c r="X30" s="9"/>
      <c r="Y30" s="9"/>
      <c r="Z30" s="9"/>
      <c r="AA30" s="9"/>
      <c r="AB30" s="9"/>
      <c r="AC30" s="9"/>
      <c r="AD30" s="9"/>
      <c r="AE30" s="9"/>
      <c r="AF30" s="9"/>
      <c r="AG30" s="9"/>
      <c r="AH30" s="9"/>
      <c r="AI30" s="9"/>
      <c r="AJ30" s="9"/>
      <c r="AK30" s="9"/>
      <c r="AL30" s="10"/>
    </row>
    <row r="31" spans="1:38" ht="12.75" customHeight="1" x14ac:dyDescent="0.2">
      <c r="A31" s="193"/>
      <c r="B31" s="193"/>
      <c r="C31" s="193"/>
      <c r="D31" s="193"/>
      <c r="E31" s="193"/>
      <c r="F31" s="193"/>
      <c r="G31" s="193"/>
      <c r="H31" s="193"/>
      <c r="I31" s="193"/>
      <c r="J31" s="193"/>
      <c r="K31" s="193"/>
      <c r="L31" s="193"/>
      <c r="M31" s="193"/>
      <c r="N31" s="193"/>
      <c r="O31" s="193"/>
      <c r="P31" s="193"/>
      <c r="Q31" s="193"/>
      <c r="R31" s="193"/>
      <c r="S31" s="193"/>
      <c r="T31" s="193"/>
      <c r="U31" s="193"/>
      <c r="V31" s="193"/>
      <c r="W31" s="193"/>
      <c r="X31" s="193"/>
      <c r="Y31" s="193"/>
      <c r="Z31" s="193"/>
      <c r="AA31" s="193"/>
      <c r="AB31" s="193"/>
      <c r="AC31" s="193"/>
      <c r="AD31" s="193"/>
      <c r="AE31" s="193"/>
      <c r="AF31" s="193"/>
      <c r="AG31" s="193"/>
      <c r="AH31" s="193"/>
      <c r="AI31" s="193"/>
      <c r="AJ31" s="193"/>
      <c r="AK31" s="193"/>
      <c r="AL31" s="193"/>
    </row>
    <row r="32" spans="1:38" ht="12.75" customHeight="1" x14ac:dyDescent="0.2">
      <c r="A32" s="193"/>
      <c r="B32" s="193"/>
      <c r="C32" s="193"/>
      <c r="D32" s="193"/>
      <c r="E32" s="193"/>
      <c r="F32" s="306" t="s">
        <v>137</v>
      </c>
      <c r="G32" s="306"/>
      <c r="H32" s="306"/>
      <c r="I32" s="306"/>
      <c r="J32" s="306"/>
      <c r="K32" s="306"/>
      <c r="L32" s="307">
        <v>1234564555</v>
      </c>
      <c r="M32" s="307"/>
      <c r="N32" s="307"/>
      <c r="O32" s="307"/>
      <c r="P32" s="307"/>
      <c r="Q32" s="307"/>
      <c r="R32" s="307"/>
      <c r="S32" s="307"/>
      <c r="T32" s="193"/>
      <c r="U32" s="193"/>
      <c r="V32" s="193"/>
      <c r="W32" s="193"/>
      <c r="X32" s="193"/>
      <c r="Y32" s="193"/>
      <c r="Z32" s="193"/>
      <c r="AA32" s="193"/>
      <c r="AB32" s="193"/>
      <c r="AC32" s="193"/>
      <c r="AD32" s="193"/>
      <c r="AE32" s="193"/>
      <c r="AF32" s="193"/>
      <c r="AG32" s="193"/>
      <c r="AH32" s="193"/>
      <c r="AI32" s="193"/>
      <c r="AJ32" s="193"/>
      <c r="AK32" s="193"/>
      <c r="AL32" s="193"/>
    </row>
    <row r="33" spans="1:92" ht="12.75" customHeight="1" x14ac:dyDescent="0.2">
      <c r="L33" s="308"/>
      <c r="M33" s="308"/>
      <c r="N33" s="308"/>
      <c r="O33" s="308"/>
      <c r="P33" s="308"/>
    </row>
    <row r="34" spans="1:92" ht="12.75" customHeight="1" x14ac:dyDescent="0.2">
      <c r="F34" t="s">
        <v>55</v>
      </c>
      <c r="W34" s="196" t="s">
        <v>265</v>
      </c>
      <c r="X34" t="s">
        <v>56</v>
      </c>
      <c r="AC34" s="196"/>
      <c r="AD34" t="s">
        <v>57</v>
      </c>
      <c r="BC34" s="192" t="s">
        <v>355</v>
      </c>
    </row>
    <row r="35" spans="1:92" ht="12.75" customHeight="1" x14ac:dyDescent="0.2">
      <c r="F35" t="s">
        <v>58</v>
      </c>
      <c r="W35" s="196" t="s">
        <v>265</v>
      </c>
      <c r="X35" t="s">
        <v>56</v>
      </c>
      <c r="AC35" s="196"/>
      <c r="AD35" t="s">
        <v>57</v>
      </c>
    </row>
    <row r="36" spans="1:92" ht="12.75" customHeight="1" x14ac:dyDescent="0.2">
      <c r="F36" t="s">
        <v>59</v>
      </c>
      <c r="W36" s="196" t="s">
        <v>265</v>
      </c>
      <c r="X36" t="s">
        <v>56</v>
      </c>
      <c r="AC36" s="196"/>
      <c r="AD36" t="s">
        <v>57</v>
      </c>
    </row>
    <row r="37" spans="1:92" ht="12.75" customHeight="1" x14ac:dyDescent="0.2">
      <c r="F37" t="s">
        <v>60</v>
      </c>
      <c r="W37" s="196"/>
      <c r="X37" t="s">
        <v>61</v>
      </c>
      <c r="AC37" s="196" t="s">
        <v>265</v>
      </c>
      <c r="AD37" t="s">
        <v>62</v>
      </c>
      <c r="BC37" s="315" t="s">
        <v>356</v>
      </c>
      <c r="BD37" s="316"/>
      <c r="BE37" s="316"/>
      <c r="BF37" s="316"/>
      <c r="BG37" s="316"/>
      <c r="BH37" s="316"/>
      <c r="BI37" s="316"/>
      <c r="BJ37" s="316"/>
      <c r="BK37" s="316"/>
      <c r="BL37" s="316"/>
      <c r="BM37" s="316"/>
      <c r="BN37" s="316"/>
      <c r="BO37" s="316"/>
      <c r="BP37" s="316"/>
      <c r="BQ37" s="316"/>
      <c r="BR37" s="316"/>
      <c r="BS37" s="316"/>
      <c r="BT37" s="316"/>
      <c r="BU37" s="316"/>
      <c r="BV37" s="316"/>
      <c r="BW37" s="316"/>
      <c r="BX37" s="316"/>
      <c r="BY37" s="316"/>
      <c r="BZ37" s="316"/>
      <c r="CA37" s="316"/>
      <c r="CB37" s="316"/>
      <c r="CC37" s="316"/>
      <c r="CD37" s="316"/>
      <c r="CE37" s="316"/>
      <c r="CF37" s="316"/>
      <c r="CG37" s="316"/>
      <c r="CH37" s="316"/>
      <c r="CI37" s="316"/>
      <c r="CJ37" s="316"/>
      <c r="CK37" s="316"/>
      <c r="CL37" s="316"/>
      <c r="CM37" s="316"/>
      <c r="CN37" s="317"/>
    </row>
    <row r="38" spans="1:92" ht="12.75" customHeight="1" x14ac:dyDescent="0.2">
      <c r="F38" t="s">
        <v>63</v>
      </c>
      <c r="W38" s="196" t="s">
        <v>265</v>
      </c>
      <c r="X38" t="s">
        <v>56</v>
      </c>
      <c r="AC38" s="196"/>
      <c r="AD38" t="s">
        <v>57</v>
      </c>
      <c r="BC38" s="318"/>
      <c r="BD38" s="316"/>
      <c r="BE38" s="316"/>
      <c r="BF38" s="316"/>
      <c r="BG38" s="316"/>
      <c r="BH38" s="316"/>
      <c r="BI38" s="316"/>
      <c r="BJ38" s="316"/>
      <c r="BK38" s="316"/>
      <c r="BL38" s="316"/>
      <c r="BM38" s="316"/>
      <c r="BN38" s="316"/>
      <c r="BO38" s="316"/>
      <c r="BP38" s="316"/>
      <c r="BQ38" s="316"/>
      <c r="BR38" s="316"/>
      <c r="BS38" s="316"/>
      <c r="BT38" s="316"/>
      <c r="BU38" s="316"/>
      <c r="BV38" s="316"/>
      <c r="BW38" s="316"/>
      <c r="BX38" s="316"/>
      <c r="BY38" s="316"/>
      <c r="BZ38" s="316"/>
      <c r="CA38" s="316"/>
      <c r="CB38" s="316"/>
      <c r="CC38" s="316"/>
      <c r="CD38" s="316"/>
      <c r="CE38" s="316"/>
      <c r="CF38" s="316"/>
      <c r="CG38" s="316"/>
      <c r="CH38" s="316"/>
      <c r="CI38" s="316"/>
      <c r="CJ38" s="316"/>
      <c r="CK38" s="316"/>
      <c r="CL38" s="316"/>
      <c r="CM38" s="316"/>
      <c r="CN38" s="317"/>
    </row>
    <row r="39" spans="1:92" ht="12.75" customHeight="1" x14ac:dyDescent="0.2">
      <c r="F39" t="s">
        <v>67</v>
      </c>
      <c r="W39" s="197" t="s">
        <v>265</v>
      </c>
      <c r="X39" t="s">
        <v>68</v>
      </c>
      <c r="AC39" s="196"/>
      <c r="AD39" t="s">
        <v>69</v>
      </c>
      <c r="BC39" s="318"/>
      <c r="BD39" s="316"/>
      <c r="BE39" s="316"/>
      <c r="BF39" s="316"/>
      <c r="BG39" s="316"/>
      <c r="BH39" s="316"/>
      <c r="BI39" s="316"/>
      <c r="BJ39" s="316"/>
      <c r="BK39" s="316"/>
      <c r="BL39" s="316"/>
      <c r="BM39" s="316"/>
      <c r="BN39" s="316"/>
      <c r="BO39" s="316"/>
      <c r="BP39" s="316"/>
      <c r="BQ39" s="316"/>
      <c r="BR39" s="316"/>
      <c r="BS39" s="316"/>
      <c r="BT39" s="316"/>
      <c r="BU39" s="316"/>
      <c r="BV39" s="316"/>
      <c r="BW39" s="316"/>
      <c r="BX39" s="316"/>
      <c r="BY39" s="316"/>
      <c r="BZ39" s="316"/>
      <c r="CA39" s="316"/>
      <c r="CB39" s="316"/>
      <c r="CC39" s="316"/>
      <c r="CD39" s="316"/>
      <c r="CE39" s="316"/>
      <c r="CF39" s="316"/>
      <c r="CG39" s="316"/>
      <c r="CH39" s="316"/>
      <c r="CI39" s="316"/>
      <c r="CJ39" s="316"/>
      <c r="CK39" s="316"/>
      <c r="CL39" s="316"/>
      <c r="CM39" s="316"/>
      <c r="CN39" s="317"/>
    </row>
    <row r="40" spans="1:92" ht="12.75" customHeight="1" x14ac:dyDescent="0.2">
      <c r="BC40" s="318"/>
      <c r="BD40" s="316"/>
      <c r="BE40" s="316"/>
      <c r="BF40" s="316"/>
      <c r="BG40" s="316"/>
      <c r="BH40" s="316"/>
      <c r="BI40" s="316"/>
      <c r="BJ40" s="316"/>
      <c r="BK40" s="316"/>
      <c r="BL40" s="316"/>
      <c r="BM40" s="316"/>
      <c r="BN40" s="316"/>
      <c r="BO40" s="316"/>
      <c r="BP40" s="316"/>
      <c r="BQ40" s="316"/>
      <c r="BR40" s="316"/>
      <c r="BS40" s="316"/>
      <c r="BT40" s="316"/>
      <c r="BU40" s="316"/>
      <c r="BV40" s="316"/>
      <c r="BW40" s="316"/>
      <c r="BX40" s="316"/>
      <c r="BY40" s="316"/>
      <c r="BZ40" s="316"/>
      <c r="CA40" s="316"/>
      <c r="CB40" s="316"/>
      <c r="CC40" s="316"/>
      <c r="CD40" s="316"/>
      <c r="CE40" s="316"/>
      <c r="CF40" s="316"/>
      <c r="CG40" s="316"/>
      <c r="CH40" s="316"/>
      <c r="CI40" s="316"/>
      <c r="CJ40" s="316"/>
      <c r="CK40" s="316"/>
      <c r="CL40" s="316"/>
      <c r="CM40" s="316"/>
      <c r="CN40" s="317"/>
    </row>
    <row r="41" spans="1:92" ht="12.75" customHeight="1" x14ac:dyDescent="0.2">
      <c r="A41" s="43" t="s">
        <v>357</v>
      </c>
      <c r="B41" s="13"/>
      <c r="C41" s="13"/>
      <c r="D41" s="13"/>
      <c r="E41" s="13"/>
      <c r="F41" s="13"/>
      <c r="G41" s="13"/>
      <c r="H41" s="13"/>
      <c r="I41" s="13"/>
      <c r="J41" s="13"/>
      <c r="K41" s="13"/>
      <c r="L41" s="13"/>
      <c r="M41" s="13"/>
      <c r="N41" s="13"/>
      <c r="O41" s="13"/>
      <c r="P41" s="13"/>
      <c r="Q41" s="13"/>
      <c r="R41" s="13"/>
      <c r="S41" s="13"/>
      <c r="T41" s="13"/>
      <c r="U41" s="13"/>
      <c r="V41" s="13"/>
      <c r="W41" s="13"/>
      <c r="X41" s="13"/>
      <c r="Y41" s="13"/>
      <c r="Z41" s="13"/>
      <c r="AA41" s="13"/>
      <c r="AB41" s="13"/>
      <c r="AC41" s="13"/>
      <c r="AD41" s="13"/>
      <c r="AE41" s="13"/>
      <c r="AF41" s="13"/>
      <c r="AG41" s="13"/>
      <c r="AH41" s="13"/>
      <c r="AI41" s="13"/>
      <c r="AJ41" s="13"/>
      <c r="AK41" s="13"/>
      <c r="AL41" s="190"/>
      <c r="BC41" s="318"/>
      <c r="BD41" s="316"/>
      <c r="BE41" s="316"/>
      <c r="BF41" s="316"/>
      <c r="BG41" s="316"/>
      <c r="BH41" s="316"/>
      <c r="BI41" s="316"/>
      <c r="BJ41" s="316"/>
      <c r="BK41" s="316"/>
      <c r="BL41" s="316"/>
      <c r="BM41" s="316"/>
      <c r="BN41" s="316"/>
      <c r="BO41" s="316"/>
      <c r="BP41" s="316"/>
      <c r="BQ41" s="316"/>
      <c r="BR41" s="316"/>
      <c r="BS41" s="316"/>
      <c r="BT41" s="316"/>
      <c r="BU41" s="316"/>
      <c r="BV41" s="316"/>
      <c r="BW41" s="316"/>
      <c r="BX41" s="316"/>
      <c r="BY41" s="316"/>
      <c r="BZ41" s="316"/>
      <c r="CA41" s="316"/>
      <c r="CB41" s="316"/>
      <c r="CC41" s="316"/>
      <c r="CD41" s="316"/>
      <c r="CE41" s="316"/>
      <c r="CF41" s="316"/>
      <c r="CG41" s="316"/>
      <c r="CH41" s="316"/>
      <c r="CI41" s="316"/>
      <c r="CJ41" s="316"/>
      <c r="CK41" s="316"/>
      <c r="CL41" s="316"/>
      <c r="CM41" s="316"/>
      <c r="CN41" s="317"/>
    </row>
    <row r="42" spans="1:92" ht="12.75" customHeight="1" x14ac:dyDescent="0.2">
      <c r="A42" s="315"/>
      <c r="B42" s="316"/>
      <c r="C42" s="316"/>
      <c r="D42" s="316"/>
      <c r="E42" s="316"/>
      <c r="F42" s="316"/>
      <c r="G42" s="316"/>
      <c r="H42" s="316"/>
      <c r="I42" s="316"/>
      <c r="J42" s="316"/>
      <c r="K42" s="316"/>
      <c r="L42" s="316"/>
      <c r="M42" s="316"/>
      <c r="N42" s="316"/>
      <c r="O42" s="316"/>
      <c r="P42" s="316"/>
      <c r="Q42" s="316"/>
      <c r="R42" s="316"/>
      <c r="S42" s="316"/>
      <c r="T42" s="316"/>
      <c r="U42" s="316"/>
      <c r="V42" s="316"/>
      <c r="W42" s="316"/>
      <c r="X42" s="316"/>
      <c r="Y42" s="316"/>
      <c r="Z42" s="316"/>
      <c r="AA42" s="316"/>
      <c r="AB42" s="316"/>
      <c r="AC42" s="316"/>
      <c r="AD42" s="316"/>
      <c r="AE42" s="316"/>
      <c r="AF42" s="316"/>
      <c r="AG42" s="316"/>
      <c r="AH42" s="316"/>
      <c r="AI42" s="316"/>
      <c r="AJ42" s="316"/>
      <c r="AK42" s="316"/>
      <c r="AL42" s="317"/>
      <c r="BC42" s="318"/>
      <c r="BD42" s="316"/>
      <c r="BE42" s="316"/>
      <c r="BF42" s="316"/>
      <c r="BG42" s="316"/>
      <c r="BH42" s="316"/>
      <c r="BI42" s="316"/>
      <c r="BJ42" s="316"/>
      <c r="BK42" s="316"/>
      <c r="BL42" s="316"/>
      <c r="BM42" s="316"/>
      <c r="BN42" s="316"/>
      <c r="BO42" s="316"/>
      <c r="BP42" s="316"/>
      <c r="BQ42" s="316"/>
      <c r="BR42" s="316"/>
      <c r="BS42" s="316"/>
      <c r="BT42" s="316"/>
      <c r="BU42" s="316"/>
      <c r="BV42" s="316"/>
      <c r="BW42" s="316"/>
      <c r="BX42" s="316"/>
      <c r="BY42" s="316"/>
      <c r="BZ42" s="316"/>
      <c r="CA42" s="316"/>
      <c r="CB42" s="316"/>
      <c r="CC42" s="316"/>
      <c r="CD42" s="316"/>
      <c r="CE42" s="316"/>
      <c r="CF42" s="316"/>
      <c r="CG42" s="316"/>
      <c r="CH42" s="316"/>
      <c r="CI42" s="316"/>
      <c r="CJ42" s="316"/>
      <c r="CK42" s="316"/>
      <c r="CL42" s="316"/>
      <c r="CM42" s="316"/>
      <c r="CN42" s="317"/>
    </row>
    <row r="43" spans="1:92" ht="12.75" customHeight="1" x14ac:dyDescent="0.2">
      <c r="A43" s="318"/>
      <c r="B43" s="316"/>
      <c r="C43" s="316"/>
      <c r="D43" s="316"/>
      <c r="E43" s="316"/>
      <c r="F43" s="316"/>
      <c r="G43" s="316"/>
      <c r="H43" s="316"/>
      <c r="I43" s="316"/>
      <c r="J43" s="316"/>
      <c r="K43" s="316"/>
      <c r="L43" s="316"/>
      <c r="M43" s="316"/>
      <c r="N43" s="316"/>
      <c r="O43" s="316"/>
      <c r="P43" s="316"/>
      <c r="Q43" s="316"/>
      <c r="R43" s="316"/>
      <c r="S43" s="316"/>
      <c r="T43" s="316"/>
      <c r="U43" s="316"/>
      <c r="V43" s="316"/>
      <c r="W43" s="316"/>
      <c r="X43" s="316"/>
      <c r="Y43" s="316"/>
      <c r="Z43" s="316"/>
      <c r="AA43" s="316"/>
      <c r="AB43" s="316"/>
      <c r="AC43" s="316"/>
      <c r="AD43" s="316"/>
      <c r="AE43" s="316"/>
      <c r="AF43" s="316"/>
      <c r="AG43" s="316"/>
      <c r="AH43" s="316"/>
      <c r="AI43" s="316"/>
      <c r="AJ43" s="316"/>
      <c r="AK43" s="316"/>
      <c r="AL43" s="317"/>
      <c r="BC43" s="318"/>
      <c r="BD43" s="316"/>
      <c r="BE43" s="316"/>
      <c r="BF43" s="316"/>
      <c r="BG43" s="316"/>
      <c r="BH43" s="316"/>
      <c r="BI43" s="316"/>
      <c r="BJ43" s="316"/>
      <c r="BK43" s="316"/>
      <c r="BL43" s="316"/>
      <c r="BM43" s="316"/>
      <c r="BN43" s="316"/>
      <c r="BO43" s="316"/>
      <c r="BP43" s="316"/>
      <c r="BQ43" s="316"/>
      <c r="BR43" s="316"/>
      <c r="BS43" s="316"/>
      <c r="BT43" s="316"/>
      <c r="BU43" s="316"/>
      <c r="BV43" s="316"/>
      <c r="BW43" s="316"/>
      <c r="BX43" s="316"/>
      <c r="BY43" s="316"/>
      <c r="BZ43" s="316"/>
      <c r="CA43" s="316"/>
      <c r="CB43" s="316"/>
      <c r="CC43" s="316"/>
      <c r="CD43" s="316"/>
      <c r="CE43" s="316"/>
      <c r="CF43" s="316"/>
      <c r="CG43" s="316"/>
      <c r="CH43" s="316"/>
      <c r="CI43" s="316"/>
      <c r="CJ43" s="316"/>
      <c r="CK43" s="316"/>
      <c r="CL43" s="316"/>
      <c r="CM43" s="316"/>
      <c r="CN43" s="317"/>
    </row>
    <row r="44" spans="1:92" ht="12.75" customHeight="1" x14ac:dyDescent="0.2">
      <c r="A44" s="318"/>
      <c r="B44" s="316"/>
      <c r="C44" s="316"/>
      <c r="D44" s="316"/>
      <c r="E44" s="316"/>
      <c r="F44" s="316"/>
      <c r="G44" s="316"/>
      <c r="H44" s="316"/>
      <c r="I44" s="316"/>
      <c r="J44" s="316"/>
      <c r="K44" s="316"/>
      <c r="L44" s="316"/>
      <c r="M44" s="316"/>
      <c r="N44" s="316"/>
      <c r="O44" s="316"/>
      <c r="P44" s="316"/>
      <c r="Q44" s="316"/>
      <c r="R44" s="316"/>
      <c r="S44" s="316"/>
      <c r="T44" s="316"/>
      <c r="U44" s="316"/>
      <c r="V44" s="316"/>
      <c r="W44" s="316"/>
      <c r="X44" s="316"/>
      <c r="Y44" s="316"/>
      <c r="Z44" s="316"/>
      <c r="AA44" s="316"/>
      <c r="AB44" s="316"/>
      <c r="AC44" s="316"/>
      <c r="AD44" s="316"/>
      <c r="AE44" s="316"/>
      <c r="AF44" s="316"/>
      <c r="AG44" s="316"/>
      <c r="AH44" s="316"/>
      <c r="AI44" s="316"/>
      <c r="AJ44" s="316"/>
      <c r="AK44" s="316"/>
      <c r="AL44" s="317"/>
      <c r="BC44" s="319"/>
      <c r="BD44" s="320"/>
      <c r="BE44" s="320"/>
      <c r="BF44" s="320"/>
      <c r="BG44" s="320"/>
      <c r="BH44" s="320"/>
      <c r="BI44" s="320"/>
      <c r="BJ44" s="320"/>
      <c r="BK44" s="320"/>
      <c r="BL44" s="320"/>
      <c r="BM44" s="320"/>
      <c r="BN44" s="320"/>
      <c r="BO44" s="320"/>
      <c r="BP44" s="320"/>
      <c r="BQ44" s="320"/>
      <c r="BR44" s="320"/>
      <c r="BS44" s="320"/>
      <c r="BT44" s="320"/>
      <c r="BU44" s="320"/>
      <c r="BV44" s="320"/>
      <c r="BW44" s="320"/>
      <c r="BX44" s="320"/>
      <c r="BY44" s="320"/>
      <c r="BZ44" s="320"/>
      <c r="CA44" s="320"/>
      <c r="CB44" s="320"/>
      <c r="CC44" s="320"/>
      <c r="CD44" s="320"/>
      <c r="CE44" s="320"/>
      <c r="CF44" s="320"/>
      <c r="CG44" s="320"/>
      <c r="CH44" s="320"/>
      <c r="CI44" s="320"/>
      <c r="CJ44" s="320"/>
      <c r="CK44" s="320"/>
      <c r="CL44" s="320"/>
      <c r="CM44" s="320"/>
      <c r="CN44" s="321"/>
    </row>
    <row r="45" spans="1:92" ht="12.75" customHeight="1" x14ac:dyDescent="0.2">
      <c r="A45" s="318"/>
      <c r="B45" s="316"/>
      <c r="C45" s="316"/>
      <c r="D45" s="316"/>
      <c r="E45" s="316"/>
      <c r="F45" s="316"/>
      <c r="G45" s="316"/>
      <c r="H45" s="316"/>
      <c r="I45" s="316"/>
      <c r="J45" s="316"/>
      <c r="K45" s="316"/>
      <c r="L45" s="316"/>
      <c r="M45" s="316"/>
      <c r="N45" s="316"/>
      <c r="O45" s="316"/>
      <c r="P45" s="316"/>
      <c r="Q45" s="316"/>
      <c r="R45" s="316"/>
      <c r="S45" s="316"/>
      <c r="T45" s="316"/>
      <c r="U45" s="316"/>
      <c r="V45" s="316"/>
      <c r="W45" s="316"/>
      <c r="X45" s="316"/>
      <c r="Y45" s="316"/>
      <c r="Z45" s="316"/>
      <c r="AA45" s="316"/>
      <c r="AB45" s="316"/>
      <c r="AC45" s="316"/>
      <c r="AD45" s="316"/>
      <c r="AE45" s="316"/>
      <c r="AF45" s="316"/>
      <c r="AG45" s="316"/>
      <c r="AH45" s="316"/>
      <c r="AI45" s="316"/>
      <c r="AJ45" s="316"/>
      <c r="AK45" s="316"/>
      <c r="AL45" s="317"/>
    </row>
    <row r="46" spans="1:92" ht="12.75" customHeight="1" x14ac:dyDescent="0.2">
      <c r="A46" s="318"/>
      <c r="B46" s="316"/>
      <c r="C46" s="316"/>
      <c r="D46" s="316"/>
      <c r="E46" s="316"/>
      <c r="F46" s="316"/>
      <c r="G46" s="316"/>
      <c r="H46" s="316"/>
      <c r="I46" s="316"/>
      <c r="J46" s="316"/>
      <c r="K46" s="316"/>
      <c r="L46" s="316"/>
      <c r="M46" s="316"/>
      <c r="N46" s="316"/>
      <c r="O46" s="316"/>
      <c r="P46" s="316"/>
      <c r="Q46" s="316"/>
      <c r="R46" s="316"/>
      <c r="S46" s="316"/>
      <c r="T46" s="316"/>
      <c r="U46" s="316"/>
      <c r="V46" s="316"/>
      <c r="W46" s="316"/>
      <c r="X46" s="316"/>
      <c r="Y46" s="316"/>
      <c r="Z46" s="316"/>
      <c r="AA46" s="316"/>
      <c r="AB46" s="316"/>
      <c r="AC46" s="316"/>
      <c r="AD46" s="316"/>
      <c r="AE46" s="316"/>
      <c r="AF46" s="316"/>
      <c r="AG46" s="316"/>
      <c r="AH46" s="316"/>
      <c r="AI46" s="316"/>
      <c r="AJ46" s="316"/>
      <c r="AK46" s="316"/>
      <c r="AL46" s="317"/>
    </row>
    <row r="47" spans="1:92" ht="12.75" customHeight="1" x14ac:dyDescent="0.2">
      <c r="A47" s="318"/>
      <c r="B47" s="316"/>
      <c r="C47" s="316"/>
      <c r="D47" s="316"/>
      <c r="E47" s="316"/>
      <c r="F47" s="316"/>
      <c r="G47" s="316"/>
      <c r="H47" s="316"/>
      <c r="I47" s="316"/>
      <c r="J47" s="316"/>
      <c r="K47" s="316"/>
      <c r="L47" s="316"/>
      <c r="M47" s="316"/>
      <c r="N47" s="316"/>
      <c r="O47" s="316"/>
      <c r="P47" s="316"/>
      <c r="Q47" s="316"/>
      <c r="R47" s="316"/>
      <c r="S47" s="316"/>
      <c r="T47" s="316"/>
      <c r="U47" s="316"/>
      <c r="V47" s="316"/>
      <c r="W47" s="316"/>
      <c r="X47" s="316"/>
      <c r="Y47" s="316"/>
      <c r="Z47" s="316"/>
      <c r="AA47" s="316"/>
      <c r="AB47" s="316"/>
      <c r="AC47" s="316"/>
      <c r="AD47" s="316"/>
      <c r="AE47" s="316"/>
      <c r="AF47" s="316"/>
      <c r="AG47" s="316"/>
      <c r="AH47" s="316"/>
      <c r="AI47" s="316"/>
      <c r="AJ47" s="316"/>
      <c r="AK47" s="316"/>
      <c r="AL47" s="317"/>
    </row>
    <row r="48" spans="1:92" ht="12.75" customHeight="1" x14ac:dyDescent="0.2">
      <c r="A48" s="318"/>
      <c r="B48" s="316"/>
      <c r="C48" s="316"/>
      <c r="D48" s="316"/>
      <c r="E48" s="316"/>
      <c r="F48" s="316"/>
      <c r="G48" s="316"/>
      <c r="H48" s="316"/>
      <c r="I48" s="316"/>
      <c r="J48" s="316"/>
      <c r="K48" s="316"/>
      <c r="L48" s="316"/>
      <c r="M48" s="316"/>
      <c r="N48" s="316"/>
      <c r="O48" s="316"/>
      <c r="P48" s="316"/>
      <c r="Q48" s="316"/>
      <c r="R48" s="316"/>
      <c r="S48" s="316"/>
      <c r="T48" s="316"/>
      <c r="U48" s="316"/>
      <c r="V48" s="316"/>
      <c r="W48" s="316"/>
      <c r="X48" s="316"/>
      <c r="Y48" s="316"/>
      <c r="Z48" s="316"/>
      <c r="AA48" s="316"/>
      <c r="AB48" s="316"/>
      <c r="AC48" s="316"/>
      <c r="AD48" s="316"/>
      <c r="AE48" s="316"/>
      <c r="AF48" s="316"/>
      <c r="AG48" s="316"/>
      <c r="AH48" s="316"/>
      <c r="AI48" s="316"/>
      <c r="AJ48" s="316"/>
      <c r="AK48" s="316"/>
      <c r="AL48" s="317"/>
    </row>
    <row r="49" spans="1:40" ht="12.75" customHeight="1" x14ac:dyDescent="0.2">
      <c r="A49" s="319"/>
      <c r="B49" s="320"/>
      <c r="C49" s="320"/>
      <c r="D49" s="320"/>
      <c r="E49" s="320"/>
      <c r="F49" s="320"/>
      <c r="G49" s="320"/>
      <c r="H49" s="320"/>
      <c r="I49" s="320"/>
      <c r="J49" s="320"/>
      <c r="K49" s="320"/>
      <c r="L49" s="320"/>
      <c r="M49" s="320"/>
      <c r="N49" s="320"/>
      <c r="O49" s="320"/>
      <c r="P49" s="320"/>
      <c r="Q49" s="320"/>
      <c r="R49" s="320"/>
      <c r="S49" s="320"/>
      <c r="T49" s="320"/>
      <c r="U49" s="320"/>
      <c r="V49" s="320"/>
      <c r="W49" s="320"/>
      <c r="X49" s="320"/>
      <c r="Y49" s="320"/>
      <c r="Z49" s="320"/>
      <c r="AA49" s="320"/>
      <c r="AB49" s="320"/>
      <c r="AC49" s="320"/>
      <c r="AD49" s="320"/>
      <c r="AE49" s="320"/>
      <c r="AF49" s="320"/>
      <c r="AG49" s="320"/>
      <c r="AH49" s="320"/>
      <c r="AI49" s="320"/>
      <c r="AJ49" s="320"/>
      <c r="AK49" s="320"/>
      <c r="AL49" s="321"/>
    </row>
    <row r="50" spans="1:40" ht="12.75" customHeight="1" x14ac:dyDescent="0.2"/>
    <row r="51" spans="1:40" ht="12.75" customHeight="1" x14ac:dyDescent="0.2">
      <c r="A51" s="322" t="s">
        <v>7</v>
      </c>
      <c r="B51" s="322"/>
      <c r="C51" s="322"/>
      <c r="D51" s="322"/>
      <c r="E51" s="322"/>
      <c r="F51" s="322"/>
      <c r="G51" s="322"/>
      <c r="H51" s="322"/>
      <c r="I51" s="322"/>
      <c r="J51" s="322"/>
      <c r="K51" s="322"/>
      <c r="L51" s="322"/>
      <c r="M51" s="322"/>
      <c r="N51" s="322"/>
      <c r="O51" s="322"/>
      <c r="P51" s="322"/>
      <c r="Q51" s="322"/>
      <c r="R51" s="322"/>
      <c r="S51" s="322"/>
      <c r="T51" s="322"/>
      <c r="U51" s="322"/>
      <c r="V51" s="322"/>
      <c r="W51" s="322"/>
      <c r="X51" s="322"/>
      <c r="Y51" s="322"/>
      <c r="Z51" s="322"/>
      <c r="AA51" s="322"/>
      <c r="AB51" s="322"/>
      <c r="AC51" s="322"/>
      <c r="AD51" s="322"/>
      <c r="AE51" s="322"/>
      <c r="AF51" s="322"/>
      <c r="AG51" s="322"/>
      <c r="AH51" s="322"/>
      <c r="AI51" s="322"/>
      <c r="AJ51" s="322"/>
      <c r="AK51" s="322"/>
      <c r="AL51" s="322"/>
      <c r="AM51" s="322"/>
      <c r="AN51" s="323"/>
    </row>
    <row r="52" spans="1:40" ht="12.75" customHeight="1" x14ac:dyDescent="0.2">
      <c r="A52" s="324" t="s">
        <v>358</v>
      </c>
      <c r="B52" s="324"/>
      <c r="C52" s="324"/>
      <c r="D52" s="324"/>
      <c r="E52" s="324"/>
      <c r="F52" s="324"/>
      <c r="G52" s="324"/>
      <c r="H52" s="324"/>
      <c r="I52" s="324"/>
      <c r="J52" s="324"/>
      <c r="K52" s="324"/>
      <c r="L52" s="324"/>
      <c r="M52" s="324"/>
      <c r="N52" s="324"/>
      <c r="O52" s="324"/>
      <c r="P52" s="324"/>
      <c r="Q52" s="324"/>
      <c r="R52" s="324"/>
      <c r="S52" s="324"/>
      <c r="T52" s="324"/>
      <c r="U52" s="324"/>
      <c r="V52" s="324"/>
      <c r="W52" s="324"/>
      <c r="X52" s="324"/>
      <c r="Y52" s="324"/>
      <c r="Z52" s="324"/>
      <c r="AA52" s="324"/>
      <c r="AB52" s="324"/>
      <c r="AC52" s="324"/>
      <c r="AD52" s="324"/>
      <c r="AE52" s="324"/>
      <c r="AF52" s="324"/>
      <c r="AG52" s="324"/>
      <c r="AH52" s="324"/>
      <c r="AI52" s="324"/>
      <c r="AJ52" s="324"/>
      <c r="AK52" s="324"/>
      <c r="AL52" s="324"/>
      <c r="AM52" s="324"/>
      <c r="AN52" s="325"/>
    </row>
    <row r="53" spans="1:40" ht="12.75" customHeight="1" x14ac:dyDescent="0.2">
      <c r="A53" s="7" t="s">
        <v>8</v>
      </c>
      <c r="B53" s="11"/>
      <c r="C53" s="12"/>
      <c r="D53" s="13"/>
      <c r="E53" s="13"/>
      <c r="F53" s="13"/>
      <c r="G53" s="13"/>
      <c r="H53" s="13"/>
      <c r="I53" s="13"/>
      <c r="J53" s="13"/>
      <c r="K53" s="13"/>
      <c r="L53" s="13"/>
      <c r="M53" s="13"/>
      <c r="N53" s="13"/>
      <c r="O53" s="12"/>
      <c r="P53" s="7" t="s">
        <v>9</v>
      </c>
      <c r="Q53" s="12"/>
      <c r="R53" s="12"/>
      <c r="S53" s="12"/>
      <c r="T53" s="12"/>
      <c r="U53" s="12"/>
      <c r="V53" s="12"/>
      <c r="W53" s="12"/>
      <c r="X53" s="12"/>
      <c r="Y53" s="12"/>
      <c r="Z53" s="12"/>
      <c r="AA53" s="12"/>
      <c r="AB53" s="12"/>
      <c r="AC53" s="7" t="s">
        <v>10</v>
      </c>
      <c r="AD53" s="12"/>
      <c r="AE53" s="12"/>
      <c r="AF53" s="12"/>
      <c r="AG53" s="12"/>
      <c r="AH53" s="12"/>
      <c r="AI53" s="12"/>
      <c r="AJ53" s="12"/>
      <c r="AK53" s="12"/>
      <c r="AL53" s="12"/>
      <c r="AM53" s="12"/>
      <c r="AN53" s="14"/>
    </row>
    <row r="54" spans="1:40" ht="12.75" customHeight="1" x14ac:dyDescent="0.2">
      <c r="A54" s="194" t="s">
        <v>359</v>
      </c>
      <c r="B54" s="194"/>
      <c r="C54" s="194"/>
      <c r="D54" s="194"/>
      <c r="E54" s="194"/>
      <c r="F54" s="194"/>
      <c r="G54" s="194"/>
      <c r="H54" s="194"/>
      <c r="I54" s="194"/>
      <c r="J54" s="194"/>
      <c r="K54" s="194"/>
      <c r="L54" s="195"/>
      <c r="M54" s="195"/>
      <c r="N54" s="17"/>
      <c r="O54" s="17"/>
      <c r="P54" s="326" t="s">
        <v>360</v>
      </c>
      <c r="Q54" s="326"/>
      <c r="R54" s="326"/>
      <c r="S54" s="326"/>
      <c r="T54" s="326"/>
      <c r="U54" s="326"/>
      <c r="V54" s="326"/>
      <c r="W54" s="326"/>
      <c r="X54" s="326"/>
      <c r="Y54" s="16"/>
      <c r="Z54" s="16"/>
      <c r="AA54" s="16"/>
      <c r="AB54" s="16"/>
      <c r="AC54" s="327" t="s">
        <v>361</v>
      </c>
      <c r="AD54" s="328"/>
      <c r="AE54" s="328"/>
      <c r="AF54" s="328"/>
      <c r="AG54" s="328"/>
      <c r="AH54" s="328"/>
      <c r="AI54" s="328"/>
      <c r="AJ54" s="328"/>
      <c r="AK54" s="328"/>
      <c r="AL54" s="328"/>
      <c r="AM54" s="16"/>
      <c r="AN54" s="20"/>
    </row>
    <row r="55" spans="1:40" ht="12.75" customHeight="1" x14ac:dyDescent="0.2"/>
    <row r="56" spans="1:40" ht="12.75" customHeight="1" x14ac:dyDescent="0.2"/>
    <row r="57" spans="1:40" ht="12.75" customHeight="1" x14ac:dyDescent="0.2"/>
    <row r="58" spans="1:40" ht="12.75" customHeight="1" x14ac:dyDescent="0.2"/>
    <row r="59" spans="1:40" ht="12.75" customHeight="1" x14ac:dyDescent="0.2"/>
    <row r="60" spans="1:40" ht="12.75" customHeight="1" x14ac:dyDescent="0.2"/>
    <row r="61" spans="1:40" ht="12.75" customHeight="1" x14ac:dyDescent="0.2"/>
    <row r="62" spans="1:40" ht="12.75" customHeight="1" x14ac:dyDescent="0.2"/>
    <row r="63" spans="1:40" ht="12.75" customHeight="1" x14ac:dyDescent="0.2"/>
    <row r="64" spans="1:40" ht="12.75" customHeight="1" x14ac:dyDescent="0.2"/>
    <row r="65" ht="12.75" customHeight="1" x14ac:dyDescent="0.2"/>
    <row r="66" ht="12.75" customHeight="1" x14ac:dyDescent="0.2"/>
    <row r="67" ht="12.75" customHeight="1" x14ac:dyDescent="0.2"/>
    <row r="68" ht="12.75" customHeight="1" x14ac:dyDescent="0.2"/>
    <row r="69" ht="12.75" customHeight="1" x14ac:dyDescent="0.2"/>
    <row r="70" ht="12.75" customHeight="1" x14ac:dyDescent="0.2"/>
    <row r="71" ht="12.75" customHeight="1" x14ac:dyDescent="0.2"/>
    <row r="72" ht="12.75" customHeight="1" x14ac:dyDescent="0.2"/>
    <row r="73" ht="12.75" customHeight="1" x14ac:dyDescent="0.2"/>
    <row r="74" ht="12.75" customHeight="1" x14ac:dyDescent="0.2"/>
    <row r="75" ht="12.75" customHeight="1" x14ac:dyDescent="0.2"/>
    <row r="76" ht="12.75" customHeight="1" x14ac:dyDescent="0.2"/>
    <row r="77" ht="12.75" customHeight="1" x14ac:dyDescent="0.2"/>
    <row r="78" ht="12.75" customHeight="1" x14ac:dyDescent="0.2"/>
    <row r="79" ht="12.75" customHeight="1" x14ac:dyDescent="0.2"/>
    <row r="80" ht="12.75" customHeight="1" x14ac:dyDescent="0.2"/>
    <row r="81" ht="12.75" customHeight="1" x14ac:dyDescent="0.2"/>
    <row r="82" ht="12.75" customHeight="1" x14ac:dyDescent="0.2"/>
    <row r="83" ht="12.75" customHeight="1" x14ac:dyDescent="0.2"/>
  </sheetData>
  <mergeCells count="51">
    <mergeCell ref="BC37:CN44"/>
    <mergeCell ref="A42:AL49"/>
    <mergeCell ref="A51:AN51"/>
    <mergeCell ref="A52:AN52"/>
    <mergeCell ref="P54:X54"/>
    <mergeCell ref="AC54:AL54"/>
    <mergeCell ref="F32:K32"/>
    <mergeCell ref="L32:S32"/>
    <mergeCell ref="L33:P33"/>
    <mergeCell ref="M21:R21"/>
    <mergeCell ref="AG21:AL21"/>
    <mergeCell ref="M22:R22"/>
    <mergeCell ref="AG22:AL22"/>
    <mergeCell ref="M23:R23"/>
    <mergeCell ref="AG23:AL23"/>
    <mergeCell ref="M24:R24"/>
    <mergeCell ref="AG24:AL24"/>
    <mergeCell ref="M25:R25"/>
    <mergeCell ref="AG25:AL25"/>
    <mergeCell ref="A28:AL28"/>
    <mergeCell ref="M18:R18"/>
    <mergeCell ref="AG18:AL18"/>
    <mergeCell ref="M19:R19"/>
    <mergeCell ref="AG19:AL19"/>
    <mergeCell ref="M20:R20"/>
    <mergeCell ref="AG20:AL20"/>
    <mergeCell ref="H13:R13"/>
    <mergeCell ref="AB13:AL13"/>
    <mergeCell ref="H14:R14"/>
    <mergeCell ref="AB14:AL14"/>
    <mergeCell ref="H16:R16"/>
    <mergeCell ref="AB16:AL16"/>
    <mergeCell ref="H12:R12"/>
    <mergeCell ref="AB12:AL12"/>
    <mergeCell ref="C8:H8"/>
    <mergeCell ref="I8:L8"/>
    <mergeCell ref="M8:R8"/>
    <mergeCell ref="S8:V8"/>
    <mergeCell ref="W8:X8"/>
    <mergeCell ref="Y8:Z8"/>
    <mergeCell ref="AA8:AL8"/>
    <mergeCell ref="H10:R10"/>
    <mergeCell ref="AB10:AL10"/>
    <mergeCell ref="H11:R11"/>
    <mergeCell ref="AB11:AL11"/>
    <mergeCell ref="J6:AL6"/>
    <mergeCell ref="S1:W1"/>
    <mergeCell ref="X1:AL1"/>
    <mergeCell ref="S3:W3"/>
    <mergeCell ref="X3:AD3"/>
    <mergeCell ref="AI3:AL3"/>
  </mergeCells>
  <hyperlinks>
    <hyperlink ref="AC54" r:id="rId1" xr:uid="{942338EA-98E3-4F95-9B6B-40E9BD69201B}"/>
  </hyperlinks>
  <printOptions horizontalCentered="1" verticalCentered="1"/>
  <pageMargins left="0.75" right="0.75" top="1" bottom="1" header="0" footer="0"/>
  <pageSetup orientation="landscape" horizontalDpi="300" verticalDpi="300" r:id="rId2"/>
  <headerFooter alignWithMargins="0"/>
  <ignoredErrors>
    <ignoredError sqref="AG19:AL21" unlockedFormula="1"/>
  </ignoredErrors>
  <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230202-B8E9-4F31-B3C7-8FDB033B7F4B}">
  <sheetPr>
    <tabColor rgb="FFFF0000"/>
    <pageSetUpPr fitToPage="1"/>
  </sheetPr>
  <dimension ref="A1:DR53"/>
  <sheetViews>
    <sheetView showGridLines="0" showZeros="0" tabSelected="1" topLeftCell="A5" zoomScale="75" zoomScaleNormal="75" workbookViewId="0">
      <selection activeCell="AD9" sqref="AD9:AH9"/>
    </sheetView>
  </sheetViews>
  <sheetFormatPr baseColWidth="10" defaultRowHeight="12.75" x14ac:dyDescent="0.2"/>
  <cols>
    <col min="1" max="52" width="2.42578125" customWidth="1"/>
    <col min="53" max="53" width="8.28515625" customWidth="1"/>
    <col min="54" max="55" width="10.42578125" customWidth="1"/>
    <col min="56" max="56" width="8.28515625" customWidth="1"/>
    <col min="57" max="57" width="7.85546875" customWidth="1"/>
    <col min="58" max="63" width="10.42578125" customWidth="1"/>
    <col min="64" max="228" width="2.42578125" customWidth="1"/>
    <col min="257" max="308" width="2.42578125" customWidth="1"/>
    <col min="309" max="309" width="8.28515625" customWidth="1"/>
    <col min="310" max="311" width="10.42578125" customWidth="1"/>
    <col min="312" max="313" width="7.85546875" customWidth="1"/>
    <col min="314" max="319" width="10.42578125" customWidth="1"/>
    <col min="320" max="484" width="2.42578125" customWidth="1"/>
    <col min="513" max="564" width="2.42578125" customWidth="1"/>
    <col min="565" max="565" width="8.28515625" customWidth="1"/>
    <col min="566" max="567" width="10.42578125" customWidth="1"/>
    <col min="568" max="569" width="7.85546875" customWidth="1"/>
    <col min="570" max="575" width="10.42578125" customWidth="1"/>
    <col min="576" max="740" width="2.42578125" customWidth="1"/>
    <col min="769" max="820" width="2.42578125" customWidth="1"/>
    <col min="821" max="821" width="8.28515625" customWidth="1"/>
    <col min="822" max="823" width="10.42578125" customWidth="1"/>
    <col min="824" max="825" width="7.85546875" customWidth="1"/>
    <col min="826" max="831" width="10.42578125" customWidth="1"/>
    <col min="832" max="996" width="2.42578125" customWidth="1"/>
    <col min="1025" max="1076" width="2.42578125" customWidth="1"/>
    <col min="1077" max="1077" width="8.28515625" customWidth="1"/>
    <col min="1078" max="1079" width="10.42578125" customWidth="1"/>
    <col min="1080" max="1081" width="7.85546875" customWidth="1"/>
    <col min="1082" max="1087" width="10.42578125" customWidth="1"/>
    <col min="1088" max="1252" width="2.42578125" customWidth="1"/>
    <col min="1281" max="1332" width="2.42578125" customWidth="1"/>
    <col min="1333" max="1333" width="8.28515625" customWidth="1"/>
    <col min="1334" max="1335" width="10.42578125" customWidth="1"/>
    <col min="1336" max="1337" width="7.85546875" customWidth="1"/>
    <col min="1338" max="1343" width="10.42578125" customWidth="1"/>
    <col min="1344" max="1508" width="2.42578125" customWidth="1"/>
    <col min="1537" max="1588" width="2.42578125" customWidth="1"/>
    <col min="1589" max="1589" width="8.28515625" customWidth="1"/>
    <col min="1590" max="1591" width="10.42578125" customWidth="1"/>
    <col min="1592" max="1593" width="7.85546875" customWidth="1"/>
    <col min="1594" max="1599" width="10.42578125" customWidth="1"/>
    <col min="1600" max="1764" width="2.42578125" customWidth="1"/>
    <col min="1793" max="1844" width="2.42578125" customWidth="1"/>
    <col min="1845" max="1845" width="8.28515625" customWidth="1"/>
    <col min="1846" max="1847" width="10.42578125" customWidth="1"/>
    <col min="1848" max="1849" width="7.85546875" customWidth="1"/>
    <col min="1850" max="1855" width="10.42578125" customWidth="1"/>
    <col min="1856" max="2020" width="2.42578125" customWidth="1"/>
    <col min="2049" max="2100" width="2.42578125" customWidth="1"/>
    <col min="2101" max="2101" width="8.28515625" customWidth="1"/>
    <col min="2102" max="2103" width="10.42578125" customWidth="1"/>
    <col min="2104" max="2105" width="7.85546875" customWidth="1"/>
    <col min="2106" max="2111" width="10.42578125" customWidth="1"/>
    <col min="2112" max="2276" width="2.42578125" customWidth="1"/>
    <col min="2305" max="2356" width="2.42578125" customWidth="1"/>
    <col min="2357" max="2357" width="8.28515625" customWidth="1"/>
    <col min="2358" max="2359" width="10.42578125" customWidth="1"/>
    <col min="2360" max="2361" width="7.85546875" customWidth="1"/>
    <col min="2362" max="2367" width="10.42578125" customWidth="1"/>
    <col min="2368" max="2532" width="2.42578125" customWidth="1"/>
    <col min="2561" max="2612" width="2.42578125" customWidth="1"/>
    <col min="2613" max="2613" width="8.28515625" customWidth="1"/>
    <col min="2614" max="2615" width="10.42578125" customWidth="1"/>
    <col min="2616" max="2617" width="7.85546875" customWidth="1"/>
    <col min="2618" max="2623" width="10.42578125" customWidth="1"/>
    <col min="2624" max="2788" width="2.42578125" customWidth="1"/>
    <col min="2817" max="2868" width="2.42578125" customWidth="1"/>
    <col min="2869" max="2869" width="8.28515625" customWidth="1"/>
    <col min="2870" max="2871" width="10.42578125" customWidth="1"/>
    <col min="2872" max="2873" width="7.85546875" customWidth="1"/>
    <col min="2874" max="2879" width="10.42578125" customWidth="1"/>
    <col min="2880" max="3044" width="2.42578125" customWidth="1"/>
    <col min="3073" max="3124" width="2.42578125" customWidth="1"/>
    <col min="3125" max="3125" width="8.28515625" customWidth="1"/>
    <col min="3126" max="3127" width="10.42578125" customWidth="1"/>
    <col min="3128" max="3129" width="7.85546875" customWidth="1"/>
    <col min="3130" max="3135" width="10.42578125" customWidth="1"/>
    <col min="3136" max="3300" width="2.42578125" customWidth="1"/>
    <col min="3329" max="3380" width="2.42578125" customWidth="1"/>
    <col min="3381" max="3381" width="8.28515625" customWidth="1"/>
    <col min="3382" max="3383" width="10.42578125" customWidth="1"/>
    <col min="3384" max="3385" width="7.85546875" customWidth="1"/>
    <col min="3386" max="3391" width="10.42578125" customWidth="1"/>
    <col min="3392" max="3556" width="2.42578125" customWidth="1"/>
    <col min="3585" max="3636" width="2.42578125" customWidth="1"/>
    <col min="3637" max="3637" width="8.28515625" customWidth="1"/>
    <col min="3638" max="3639" width="10.42578125" customWidth="1"/>
    <col min="3640" max="3641" width="7.85546875" customWidth="1"/>
    <col min="3642" max="3647" width="10.42578125" customWidth="1"/>
    <col min="3648" max="3812" width="2.42578125" customWidth="1"/>
    <col min="3841" max="3892" width="2.42578125" customWidth="1"/>
    <col min="3893" max="3893" width="8.28515625" customWidth="1"/>
    <col min="3894" max="3895" width="10.42578125" customWidth="1"/>
    <col min="3896" max="3897" width="7.85546875" customWidth="1"/>
    <col min="3898" max="3903" width="10.42578125" customWidth="1"/>
    <col min="3904" max="4068" width="2.42578125" customWidth="1"/>
    <col min="4097" max="4148" width="2.42578125" customWidth="1"/>
    <col min="4149" max="4149" width="8.28515625" customWidth="1"/>
    <col min="4150" max="4151" width="10.42578125" customWidth="1"/>
    <col min="4152" max="4153" width="7.85546875" customWidth="1"/>
    <col min="4154" max="4159" width="10.42578125" customWidth="1"/>
    <col min="4160" max="4324" width="2.42578125" customWidth="1"/>
    <col min="4353" max="4404" width="2.42578125" customWidth="1"/>
    <col min="4405" max="4405" width="8.28515625" customWidth="1"/>
    <col min="4406" max="4407" width="10.42578125" customWidth="1"/>
    <col min="4408" max="4409" width="7.85546875" customWidth="1"/>
    <col min="4410" max="4415" width="10.42578125" customWidth="1"/>
    <col min="4416" max="4580" width="2.42578125" customWidth="1"/>
    <col min="4609" max="4660" width="2.42578125" customWidth="1"/>
    <col min="4661" max="4661" width="8.28515625" customWidth="1"/>
    <col min="4662" max="4663" width="10.42578125" customWidth="1"/>
    <col min="4664" max="4665" width="7.85546875" customWidth="1"/>
    <col min="4666" max="4671" width="10.42578125" customWidth="1"/>
    <col min="4672" max="4836" width="2.42578125" customWidth="1"/>
    <col min="4865" max="4916" width="2.42578125" customWidth="1"/>
    <col min="4917" max="4917" width="8.28515625" customWidth="1"/>
    <col min="4918" max="4919" width="10.42578125" customWidth="1"/>
    <col min="4920" max="4921" width="7.85546875" customWidth="1"/>
    <col min="4922" max="4927" width="10.42578125" customWidth="1"/>
    <col min="4928" max="5092" width="2.42578125" customWidth="1"/>
    <col min="5121" max="5172" width="2.42578125" customWidth="1"/>
    <col min="5173" max="5173" width="8.28515625" customWidth="1"/>
    <col min="5174" max="5175" width="10.42578125" customWidth="1"/>
    <col min="5176" max="5177" width="7.85546875" customWidth="1"/>
    <col min="5178" max="5183" width="10.42578125" customWidth="1"/>
    <col min="5184" max="5348" width="2.42578125" customWidth="1"/>
    <col min="5377" max="5428" width="2.42578125" customWidth="1"/>
    <col min="5429" max="5429" width="8.28515625" customWidth="1"/>
    <col min="5430" max="5431" width="10.42578125" customWidth="1"/>
    <col min="5432" max="5433" width="7.85546875" customWidth="1"/>
    <col min="5434" max="5439" width="10.42578125" customWidth="1"/>
    <col min="5440" max="5604" width="2.42578125" customWidth="1"/>
    <col min="5633" max="5684" width="2.42578125" customWidth="1"/>
    <col min="5685" max="5685" width="8.28515625" customWidth="1"/>
    <col min="5686" max="5687" width="10.42578125" customWidth="1"/>
    <col min="5688" max="5689" width="7.85546875" customWidth="1"/>
    <col min="5690" max="5695" width="10.42578125" customWidth="1"/>
    <col min="5696" max="5860" width="2.42578125" customWidth="1"/>
    <col min="5889" max="5940" width="2.42578125" customWidth="1"/>
    <col min="5941" max="5941" width="8.28515625" customWidth="1"/>
    <col min="5942" max="5943" width="10.42578125" customWidth="1"/>
    <col min="5944" max="5945" width="7.85546875" customWidth="1"/>
    <col min="5946" max="5951" width="10.42578125" customWidth="1"/>
    <col min="5952" max="6116" width="2.42578125" customWidth="1"/>
    <col min="6145" max="6196" width="2.42578125" customWidth="1"/>
    <col min="6197" max="6197" width="8.28515625" customWidth="1"/>
    <col min="6198" max="6199" width="10.42578125" customWidth="1"/>
    <col min="6200" max="6201" width="7.85546875" customWidth="1"/>
    <col min="6202" max="6207" width="10.42578125" customWidth="1"/>
    <col min="6208" max="6372" width="2.42578125" customWidth="1"/>
    <col min="6401" max="6452" width="2.42578125" customWidth="1"/>
    <col min="6453" max="6453" width="8.28515625" customWidth="1"/>
    <col min="6454" max="6455" width="10.42578125" customWidth="1"/>
    <col min="6456" max="6457" width="7.85546875" customWidth="1"/>
    <col min="6458" max="6463" width="10.42578125" customWidth="1"/>
    <col min="6464" max="6628" width="2.42578125" customWidth="1"/>
    <col min="6657" max="6708" width="2.42578125" customWidth="1"/>
    <col min="6709" max="6709" width="8.28515625" customWidth="1"/>
    <col min="6710" max="6711" width="10.42578125" customWidth="1"/>
    <col min="6712" max="6713" width="7.85546875" customWidth="1"/>
    <col min="6714" max="6719" width="10.42578125" customWidth="1"/>
    <col min="6720" max="6884" width="2.42578125" customWidth="1"/>
    <col min="6913" max="6964" width="2.42578125" customWidth="1"/>
    <col min="6965" max="6965" width="8.28515625" customWidth="1"/>
    <col min="6966" max="6967" width="10.42578125" customWidth="1"/>
    <col min="6968" max="6969" width="7.85546875" customWidth="1"/>
    <col min="6970" max="6975" width="10.42578125" customWidth="1"/>
    <col min="6976" max="7140" width="2.42578125" customWidth="1"/>
    <col min="7169" max="7220" width="2.42578125" customWidth="1"/>
    <col min="7221" max="7221" width="8.28515625" customWidth="1"/>
    <col min="7222" max="7223" width="10.42578125" customWidth="1"/>
    <col min="7224" max="7225" width="7.85546875" customWidth="1"/>
    <col min="7226" max="7231" width="10.42578125" customWidth="1"/>
    <col min="7232" max="7396" width="2.42578125" customWidth="1"/>
    <col min="7425" max="7476" width="2.42578125" customWidth="1"/>
    <col min="7477" max="7477" width="8.28515625" customWidth="1"/>
    <col min="7478" max="7479" width="10.42578125" customWidth="1"/>
    <col min="7480" max="7481" width="7.85546875" customWidth="1"/>
    <col min="7482" max="7487" width="10.42578125" customWidth="1"/>
    <col min="7488" max="7652" width="2.42578125" customWidth="1"/>
    <col min="7681" max="7732" width="2.42578125" customWidth="1"/>
    <col min="7733" max="7733" width="8.28515625" customWidth="1"/>
    <col min="7734" max="7735" width="10.42578125" customWidth="1"/>
    <col min="7736" max="7737" width="7.85546875" customWidth="1"/>
    <col min="7738" max="7743" width="10.42578125" customWidth="1"/>
    <col min="7744" max="7908" width="2.42578125" customWidth="1"/>
    <col min="7937" max="7988" width="2.42578125" customWidth="1"/>
    <col min="7989" max="7989" width="8.28515625" customWidth="1"/>
    <col min="7990" max="7991" width="10.42578125" customWidth="1"/>
    <col min="7992" max="7993" width="7.85546875" customWidth="1"/>
    <col min="7994" max="7999" width="10.42578125" customWidth="1"/>
    <col min="8000" max="8164" width="2.42578125" customWidth="1"/>
    <col min="8193" max="8244" width="2.42578125" customWidth="1"/>
    <col min="8245" max="8245" width="8.28515625" customWidth="1"/>
    <col min="8246" max="8247" width="10.42578125" customWidth="1"/>
    <col min="8248" max="8249" width="7.85546875" customWidth="1"/>
    <col min="8250" max="8255" width="10.42578125" customWidth="1"/>
    <col min="8256" max="8420" width="2.42578125" customWidth="1"/>
    <col min="8449" max="8500" width="2.42578125" customWidth="1"/>
    <col min="8501" max="8501" width="8.28515625" customWidth="1"/>
    <col min="8502" max="8503" width="10.42578125" customWidth="1"/>
    <col min="8504" max="8505" width="7.85546875" customWidth="1"/>
    <col min="8506" max="8511" width="10.42578125" customWidth="1"/>
    <col min="8512" max="8676" width="2.42578125" customWidth="1"/>
    <col min="8705" max="8756" width="2.42578125" customWidth="1"/>
    <col min="8757" max="8757" width="8.28515625" customWidth="1"/>
    <col min="8758" max="8759" width="10.42578125" customWidth="1"/>
    <col min="8760" max="8761" width="7.85546875" customWidth="1"/>
    <col min="8762" max="8767" width="10.42578125" customWidth="1"/>
    <col min="8768" max="8932" width="2.42578125" customWidth="1"/>
    <col min="8961" max="9012" width="2.42578125" customWidth="1"/>
    <col min="9013" max="9013" width="8.28515625" customWidth="1"/>
    <col min="9014" max="9015" width="10.42578125" customWidth="1"/>
    <col min="9016" max="9017" width="7.85546875" customWidth="1"/>
    <col min="9018" max="9023" width="10.42578125" customWidth="1"/>
    <col min="9024" max="9188" width="2.42578125" customWidth="1"/>
    <col min="9217" max="9268" width="2.42578125" customWidth="1"/>
    <col min="9269" max="9269" width="8.28515625" customWidth="1"/>
    <col min="9270" max="9271" width="10.42578125" customWidth="1"/>
    <col min="9272" max="9273" width="7.85546875" customWidth="1"/>
    <col min="9274" max="9279" width="10.42578125" customWidth="1"/>
    <col min="9280" max="9444" width="2.42578125" customWidth="1"/>
    <col min="9473" max="9524" width="2.42578125" customWidth="1"/>
    <col min="9525" max="9525" width="8.28515625" customWidth="1"/>
    <col min="9526" max="9527" width="10.42578125" customWidth="1"/>
    <col min="9528" max="9529" width="7.85546875" customWidth="1"/>
    <col min="9530" max="9535" width="10.42578125" customWidth="1"/>
    <col min="9536" max="9700" width="2.42578125" customWidth="1"/>
    <col min="9729" max="9780" width="2.42578125" customWidth="1"/>
    <col min="9781" max="9781" width="8.28515625" customWidth="1"/>
    <col min="9782" max="9783" width="10.42578125" customWidth="1"/>
    <col min="9784" max="9785" width="7.85546875" customWidth="1"/>
    <col min="9786" max="9791" width="10.42578125" customWidth="1"/>
    <col min="9792" max="9956" width="2.42578125" customWidth="1"/>
    <col min="9985" max="10036" width="2.42578125" customWidth="1"/>
    <col min="10037" max="10037" width="8.28515625" customWidth="1"/>
    <col min="10038" max="10039" width="10.42578125" customWidth="1"/>
    <col min="10040" max="10041" width="7.85546875" customWidth="1"/>
    <col min="10042" max="10047" width="10.42578125" customWidth="1"/>
    <col min="10048" max="10212" width="2.42578125" customWidth="1"/>
    <col min="10241" max="10292" width="2.42578125" customWidth="1"/>
    <col min="10293" max="10293" width="8.28515625" customWidth="1"/>
    <col min="10294" max="10295" width="10.42578125" customWidth="1"/>
    <col min="10296" max="10297" width="7.85546875" customWidth="1"/>
    <col min="10298" max="10303" width="10.42578125" customWidth="1"/>
    <col min="10304" max="10468" width="2.42578125" customWidth="1"/>
    <col min="10497" max="10548" width="2.42578125" customWidth="1"/>
    <col min="10549" max="10549" width="8.28515625" customWidth="1"/>
    <col min="10550" max="10551" width="10.42578125" customWidth="1"/>
    <col min="10552" max="10553" width="7.85546875" customWidth="1"/>
    <col min="10554" max="10559" width="10.42578125" customWidth="1"/>
    <col min="10560" max="10724" width="2.42578125" customWidth="1"/>
    <col min="10753" max="10804" width="2.42578125" customWidth="1"/>
    <col min="10805" max="10805" width="8.28515625" customWidth="1"/>
    <col min="10806" max="10807" width="10.42578125" customWidth="1"/>
    <col min="10808" max="10809" width="7.85546875" customWidth="1"/>
    <col min="10810" max="10815" width="10.42578125" customWidth="1"/>
    <col min="10816" max="10980" width="2.42578125" customWidth="1"/>
    <col min="11009" max="11060" width="2.42578125" customWidth="1"/>
    <col min="11061" max="11061" width="8.28515625" customWidth="1"/>
    <col min="11062" max="11063" width="10.42578125" customWidth="1"/>
    <col min="11064" max="11065" width="7.85546875" customWidth="1"/>
    <col min="11066" max="11071" width="10.42578125" customWidth="1"/>
    <col min="11072" max="11236" width="2.42578125" customWidth="1"/>
    <col min="11265" max="11316" width="2.42578125" customWidth="1"/>
    <col min="11317" max="11317" width="8.28515625" customWidth="1"/>
    <col min="11318" max="11319" width="10.42578125" customWidth="1"/>
    <col min="11320" max="11321" width="7.85546875" customWidth="1"/>
    <col min="11322" max="11327" width="10.42578125" customWidth="1"/>
    <col min="11328" max="11492" width="2.42578125" customWidth="1"/>
    <col min="11521" max="11572" width="2.42578125" customWidth="1"/>
    <col min="11573" max="11573" width="8.28515625" customWidth="1"/>
    <col min="11574" max="11575" width="10.42578125" customWidth="1"/>
    <col min="11576" max="11577" width="7.85546875" customWidth="1"/>
    <col min="11578" max="11583" width="10.42578125" customWidth="1"/>
    <col min="11584" max="11748" width="2.42578125" customWidth="1"/>
    <col min="11777" max="11828" width="2.42578125" customWidth="1"/>
    <col min="11829" max="11829" width="8.28515625" customWidth="1"/>
    <col min="11830" max="11831" width="10.42578125" customWidth="1"/>
    <col min="11832" max="11833" width="7.85546875" customWidth="1"/>
    <col min="11834" max="11839" width="10.42578125" customWidth="1"/>
    <col min="11840" max="12004" width="2.42578125" customWidth="1"/>
    <col min="12033" max="12084" width="2.42578125" customWidth="1"/>
    <col min="12085" max="12085" width="8.28515625" customWidth="1"/>
    <col min="12086" max="12087" width="10.42578125" customWidth="1"/>
    <col min="12088" max="12089" width="7.85546875" customWidth="1"/>
    <col min="12090" max="12095" width="10.42578125" customWidth="1"/>
    <col min="12096" max="12260" width="2.42578125" customWidth="1"/>
    <col min="12289" max="12340" width="2.42578125" customWidth="1"/>
    <col min="12341" max="12341" width="8.28515625" customWidth="1"/>
    <col min="12342" max="12343" width="10.42578125" customWidth="1"/>
    <col min="12344" max="12345" width="7.85546875" customWidth="1"/>
    <col min="12346" max="12351" width="10.42578125" customWidth="1"/>
    <col min="12352" max="12516" width="2.42578125" customWidth="1"/>
    <col min="12545" max="12596" width="2.42578125" customWidth="1"/>
    <col min="12597" max="12597" width="8.28515625" customWidth="1"/>
    <col min="12598" max="12599" width="10.42578125" customWidth="1"/>
    <col min="12600" max="12601" width="7.85546875" customWidth="1"/>
    <col min="12602" max="12607" width="10.42578125" customWidth="1"/>
    <col min="12608" max="12772" width="2.42578125" customWidth="1"/>
    <col min="12801" max="12852" width="2.42578125" customWidth="1"/>
    <col min="12853" max="12853" width="8.28515625" customWidth="1"/>
    <col min="12854" max="12855" width="10.42578125" customWidth="1"/>
    <col min="12856" max="12857" width="7.85546875" customWidth="1"/>
    <col min="12858" max="12863" width="10.42578125" customWidth="1"/>
    <col min="12864" max="13028" width="2.42578125" customWidth="1"/>
    <col min="13057" max="13108" width="2.42578125" customWidth="1"/>
    <col min="13109" max="13109" width="8.28515625" customWidth="1"/>
    <col min="13110" max="13111" width="10.42578125" customWidth="1"/>
    <col min="13112" max="13113" width="7.85546875" customWidth="1"/>
    <col min="13114" max="13119" width="10.42578125" customWidth="1"/>
    <col min="13120" max="13284" width="2.42578125" customWidth="1"/>
    <col min="13313" max="13364" width="2.42578125" customWidth="1"/>
    <col min="13365" max="13365" width="8.28515625" customWidth="1"/>
    <col min="13366" max="13367" width="10.42578125" customWidth="1"/>
    <col min="13368" max="13369" width="7.85546875" customWidth="1"/>
    <col min="13370" max="13375" width="10.42578125" customWidth="1"/>
    <col min="13376" max="13540" width="2.42578125" customWidth="1"/>
    <col min="13569" max="13620" width="2.42578125" customWidth="1"/>
    <col min="13621" max="13621" width="8.28515625" customWidth="1"/>
    <col min="13622" max="13623" width="10.42578125" customWidth="1"/>
    <col min="13624" max="13625" width="7.85546875" customWidth="1"/>
    <col min="13626" max="13631" width="10.42578125" customWidth="1"/>
    <col min="13632" max="13796" width="2.42578125" customWidth="1"/>
    <col min="13825" max="13876" width="2.42578125" customWidth="1"/>
    <col min="13877" max="13877" width="8.28515625" customWidth="1"/>
    <col min="13878" max="13879" width="10.42578125" customWidth="1"/>
    <col min="13880" max="13881" width="7.85546875" customWidth="1"/>
    <col min="13882" max="13887" width="10.42578125" customWidth="1"/>
    <col min="13888" max="14052" width="2.42578125" customWidth="1"/>
    <col min="14081" max="14132" width="2.42578125" customWidth="1"/>
    <col min="14133" max="14133" width="8.28515625" customWidth="1"/>
    <col min="14134" max="14135" width="10.42578125" customWidth="1"/>
    <col min="14136" max="14137" width="7.85546875" customWidth="1"/>
    <col min="14138" max="14143" width="10.42578125" customWidth="1"/>
    <col min="14144" max="14308" width="2.42578125" customWidth="1"/>
    <col min="14337" max="14388" width="2.42578125" customWidth="1"/>
    <col min="14389" max="14389" width="8.28515625" customWidth="1"/>
    <col min="14390" max="14391" width="10.42578125" customWidth="1"/>
    <col min="14392" max="14393" width="7.85546875" customWidth="1"/>
    <col min="14394" max="14399" width="10.42578125" customWidth="1"/>
    <col min="14400" max="14564" width="2.42578125" customWidth="1"/>
    <col min="14593" max="14644" width="2.42578125" customWidth="1"/>
    <col min="14645" max="14645" width="8.28515625" customWidth="1"/>
    <col min="14646" max="14647" width="10.42578125" customWidth="1"/>
    <col min="14648" max="14649" width="7.85546875" customWidth="1"/>
    <col min="14650" max="14655" width="10.42578125" customWidth="1"/>
    <col min="14656" max="14820" width="2.42578125" customWidth="1"/>
    <col min="14849" max="14900" width="2.42578125" customWidth="1"/>
    <col min="14901" max="14901" width="8.28515625" customWidth="1"/>
    <col min="14902" max="14903" width="10.42578125" customWidth="1"/>
    <col min="14904" max="14905" width="7.85546875" customWidth="1"/>
    <col min="14906" max="14911" width="10.42578125" customWidth="1"/>
    <col min="14912" max="15076" width="2.42578125" customWidth="1"/>
    <col min="15105" max="15156" width="2.42578125" customWidth="1"/>
    <col min="15157" max="15157" width="8.28515625" customWidth="1"/>
    <col min="15158" max="15159" width="10.42578125" customWidth="1"/>
    <col min="15160" max="15161" width="7.85546875" customWidth="1"/>
    <col min="15162" max="15167" width="10.42578125" customWidth="1"/>
    <col min="15168" max="15332" width="2.42578125" customWidth="1"/>
    <col min="15361" max="15412" width="2.42578125" customWidth="1"/>
    <col min="15413" max="15413" width="8.28515625" customWidth="1"/>
    <col min="15414" max="15415" width="10.42578125" customWidth="1"/>
    <col min="15416" max="15417" width="7.85546875" customWidth="1"/>
    <col min="15418" max="15423" width="10.42578125" customWidth="1"/>
    <col min="15424" max="15588" width="2.42578125" customWidth="1"/>
    <col min="15617" max="15668" width="2.42578125" customWidth="1"/>
    <col min="15669" max="15669" width="8.28515625" customWidth="1"/>
    <col min="15670" max="15671" width="10.42578125" customWidth="1"/>
    <col min="15672" max="15673" width="7.85546875" customWidth="1"/>
    <col min="15674" max="15679" width="10.42578125" customWidth="1"/>
    <col min="15680" max="15844" width="2.42578125" customWidth="1"/>
    <col min="15873" max="15924" width="2.42578125" customWidth="1"/>
    <col min="15925" max="15925" width="8.28515625" customWidth="1"/>
    <col min="15926" max="15927" width="10.42578125" customWidth="1"/>
    <col min="15928" max="15929" width="7.85546875" customWidth="1"/>
    <col min="15930" max="15935" width="10.42578125" customWidth="1"/>
    <col min="15936" max="16100" width="2.42578125" customWidth="1"/>
    <col min="16129" max="16180" width="2.42578125" customWidth="1"/>
    <col min="16181" max="16181" width="8.28515625" customWidth="1"/>
    <col min="16182" max="16183" width="10.42578125" customWidth="1"/>
    <col min="16184" max="16185" width="7.85546875" customWidth="1"/>
    <col min="16186" max="16191" width="10.42578125" customWidth="1"/>
    <col min="16192" max="16356" width="2.42578125" customWidth="1"/>
  </cols>
  <sheetData>
    <row r="1" spans="1:122" ht="13.5" thickBot="1" x14ac:dyDescent="0.25">
      <c r="A1" s="272"/>
      <c r="B1" s="272"/>
      <c r="C1" s="272"/>
      <c r="D1" s="272"/>
      <c r="E1" s="272"/>
      <c r="F1" s="272"/>
      <c r="G1" s="272"/>
      <c r="H1" s="272"/>
      <c r="I1" s="272"/>
      <c r="J1" s="272"/>
      <c r="K1" s="272"/>
      <c r="L1" s="272"/>
      <c r="M1" s="272"/>
      <c r="N1" s="272"/>
      <c r="O1" s="272"/>
      <c r="P1" s="272"/>
      <c r="Q1" s="448" t="s">
        <v>249</v>
      </c>
      <c r="R1" s="448"/>
      <c r="S1" s="448"/>
      <c r="T1" s="448"/>
      <c r="U1" s="448"/>
      <c r="V1" s="448"/>
      <c r="W1" s="448"/>
      <c r="X1" s="448"/>
      <c r="Y1" s="272"/>
      <c r="Z1" s="272"/>
      <c r="AA1" s="272"/>
      <c r="AB1" s="449" t="str">
        <f>General!X1</f>
        <v>MV SANTA CAROLINA</v>
      </c>
      <c r="AC1" s="450"/>
      <c r="AD1" s="450"/>
      <c r="AE1" s="450"/>
      <c r="AF1" s="450"/>
      <c r="AG1" s="450"/>
      <c r="AH1" s="450"/>
      <c r="AI1" s="450"/>
      <c r="AJ1" s="450"/>
      <c r="AK1" s="450"/>
      <c r="AL1" s="450"/>
      <c r="AM1" s="272"/>
      <c r="AN1" s="272"/>
      <c r="AO1" s="272"/>
      <c r="AP1" s="451" t="s">
        <v>250</v>
      </c>
      <c r="AQ1" s="451"/>
      <c r="AR1" s="451"/>
      <c r="AS1" s="451"/>
      <c r="AT1" s="451"/>
      <c r="AU1" s="451"/>
      <c r="AV1" s="451"/>
      <c r="AW1" s="451"/>
      <c r="BA1" s="87"/>
      <c r="BB1" s="87"/>
      <c r="BC1" s="87"/>
      <c r="BD1" s="87"/>
      <c r="BE1" s="87"/>
      <c r="BF1" s="87"/>
      <c r="BG1" s="87"/>
      <c r="BH1" s="87"/>
      <c r="BI1" s="87"/>
      <c r="BJ1" s="87"/>
      <c r="BK1" s="87"/>
    </row>
    <row r="2" spans="1:122" x14ac:dyDescent="0.2">
      <c r="A2" s="272"/>
      <c r="B2" s="272"/>
      <c r="C2" s="272"/>
      <c r="D2" s="272"/>
      <c r="E2" s="272"/>
      <c r="F2" s="272"/>
      <c r="G2" s="272"/>
      <c r="H2" s="272"/>
      <c r="I2" s="272"/>
      <c r="J2" s="272"/>
      <c r="K2" s="272"/>
      <c r="L2" s="272"/>
      <c r="M2" s="272"/>
      <c r="N2" s="272"/>
      <c r="O2" s="272"/>
      <c r="P2" s="272"/>
      <c r="Q2" s="443" t="s">
        <v>251</v>
      </c>
      <c r="R2" s="443"/>
      <c r="S2" s="443"/>
      <c r="T2" s="452">
        <v>46217</v>
      </c>
      <c r="U2" s="453"/>
      <c r="V2" s="453"/>
      <c r="W2" s="453"/>
      <c r="X2" s="453"/>
      <c r="Y2" s="443" t="s">
        <v>252</v>
      </c>
      <c r="Z2" s="443"/>
      <c r="AA2" s="443"/>
      <c r="AB2" s="454" t="s">
        <v>428</v>
      </c>
      <c r="AC2" s="454"/>
      <c r="AD2" s="454"/>
      <c r="AE2" s="454"/>
      <c r="AF2" s="454"/>
      <c r="AG2" s="454"/>
      <c r="AH2" s="454"/>
      <c r="AI2" s="454"/>
      <c r="AJ2" s="454"/>
      <c r="AK2" s="454"/>
      <c r="AL2" s="454"/>
      <c r="AM2" s="272"/>
      <c r="AN2" s="272"/>
      <c r="AO2" s="272"/>
      <c r="AP2" s="443" t="s">
        <v>251</v>
      </c>
      <c r="AQ2" s="443"/>
      <c r="AR2" s="443"/>
      <c r="AS2" s="455">
        <v>46221</v>
      </c>
      <c r="AT2" s="456"/>
      <c r="AU2" s="456"/>
      <c r="AV2" s="456"/>
      <c r="AW2" s="456"/>
      <c r="BA2" s="89"/>
      <c r="BB2" s="90" t="s">
        <v>253</v>
      </c>
      <c r="BC2" s="90" t="s">
        <v>254</v>
      </c>
      <c r="BD2" s="91" t="s">
        <v>255</v>
      </c>
      <c r="BE2" s="92" t="s">
        <v>256</v>
      </c>
      <c r="BF2" s="87"/>
      <c r="BG2" s="87" t="s">
        <v>257</v>
      </c>
      <c r="BH2" s="89" t="s">
        <v>258</v>
      </c>
      <c r="BI2" s="90" t="s">
        <v>254</v>
      </c>
      <c r="BJ2" s="90" t="s">
        <v>259</v>
      </c>
      <c r="BK2" s="90" t="s">
        <v>260</v>
      </c>
    </row>
    <row r="3" spans="1:122" x14ac:dyDescent="0.2">
      <c r="A3" s="272"/>
      <c r="B3" s="272"/>
      <c r="C3" s="272"/>
      <c r="D3" s="272"/>
      <c r="E3" s="272"/>
      <c r="F3" s="272"/>
      <c r="G3" s="272"/>
      <c r="H3" s="272"/>
      <c r="I3" s="272"/>
      <c r="J3" s="272"/>
      <c r="K3" s="272"/>
      <c r="L3" s="272"/>
      <c r="M3" s="272"/>
      <c r="N3" s="272"/>
      <c r="O3" s="272"/>
      <c r="P3" s="272"/>
      <c r="Q3" s="443" t="s">
        <v>261</v>
      </c>
      <c r="R3" s="443"/>
      <c r="S3" s="443"/>
      <c r="T3" s="444">
        <v>0.63888888888888884</v>
      </c>
      <c r="U3" s="445"/>
      <c r="V3" s="445"/>
      <c r="W3" s="445"/>
      <c r="X3" s="445"/>
      <c r="Y3" s="443" t="s">
        <v>261</v>
      </c>
      <c r="Z3" s="443"/>
      <c r="AA3" s="443"/>
      <c r="AB3" s="463" t="s">
        <v>429</v>
      </c>
      <c r="AC3" s="464"/>
      <c r="AD3" s="464"/>
      <c r="AE3" s="464"/>
      <c r="AF3" s="464"/>
      <c r="AG3" s="464"/>
      <c r="AH3" s="464"/>
      <c r="AI3" s="389" t="s">
        <v>262</v>
      </c>
      <c r="AJ3" s="389"/>
      <c r="AK3" s="389"/>
      <c r="AL3" s="389"/>
      <c r="AM3" s="389"/>
      <c r="AN3" s="268" t="s">
        <v>265</v>
      </c>
      <c r="AP3" s="443" t="s">
        <v>261</v>
      </c>
      <c r="AQ3" s="443"/>
      <c r="AR3" s="443"/>
      <c r="AS3" s="465">
        <v>0.66666666666666663</v>
      </c>
      <c r="AT3" s="465"/>
      <c r="AU3" s="465"/>
      <c r="AV3" s="465"/>
      <c r="AW3" s="465"/>
      <c r="BA3" s="94">
        <v>1</v>
      </c>
      <c r="BB3" s="95">
        <v>4575.3</v>
      </c>
      <c r="BC3" s="95">
        <f>AL13/2-BF3</f>
        <v>-8.5630000000000024</v>
      </c>
      <c r="BD3" s="96">
        <v>481</v>
      </c>
      <c r="BE3" s="97">
        <f t="shared" ref="BE3:BE4" si="0">+BE4-(BE5-BE4)</f>
        <v>0</v>
      </c>
      <c r="BF3" s="87">
        <v>106.813</v>
      </c>
      <c r="BG3" s="87">
        <f>INT(BG4-1)</f>
        <v>10</v>
      </c>
      <c r="BH3" s="98">
        <f>VLOOKUP(BG3,TABLAS,2)</f>
        <v>53901.1</v>
      </c>
      <c r="BI3" s="87">
        <f>VLOOKUP(BG3,TABLAS,3)</f>
        <v>2.4849999999999994</v>
      </c>
      <c r="BJ3" s="99">
        <f>VLOOKUP(BG4-1.5,TABLAS,4)</f>
        <v>848.2</v>
      </c>
      <c r="BK3" s="99">
        <f>VLOOKUP(BG4-1+0.5+0.5,TABLAS,4)</f>
        <v>891.5</v>
      </c>
    </row>
    <row r="4" spans="1:122" x14ac:dyDescent="0.2">
      <c r="A4" s="272"/>
      <c r="B4" s="272"/>
      <c r="C4" s="272"/>
      <c r="D4" s="272"/>
      <c r="E4" s="272"/>
      <c r="F4" s="272"/>
      <c r="G4" s="272"/>
      <c r="H4" s="272"/>
      <c r="I4" s="272"/>
      <c r="J4" s="272"/>
      <c r="K4" s="272"/>
      <c r="L4" s="272"/>
      <c r="M4" s="272"/>
      <c r="N4" s="272"/>
      <c r="O4" s="272"/>
      <c r="P4" s="272"/>
      <c r="Q4" s="443" t="s">
        <v>263</v>
      </c>
      <c r="R4" s="443"/>
      <c r="S4" s="443"/>
      <c r="T4" s="444">
        <v>0.68055555555555558</v>
      </c>
      <c r="U4" s="445"/>
      <c r="V4" s="445"/>
      <c r="W4" s="445"/>
      <c r="X4" s="445"/>
      <c r="Y4" s="443" t="s">
        <v>263</v>
      </c>
      <c r="Z4" s="443"/>
      <c r="AA4" s="443"/>
      <c r="AB4" s="446" t="s">
        <v>422</v>
      </c>
      <c r="AC4" s="446"/>
      <c r="AD4" s="446"/>
      <c r="AE4" s="446"/>
      <c r="AF4" s="446"/>
      <c r="AG4" s="446"/>
      <c r="AH4" s="446"/>
      <c r="AI4" s="389" t="s">
        <v>264</v>
      </c>
      <c r="AJ4" s="389"/>
      <c r="AK4" s="389"/>
      <c r="AL4" s="389"/>
      <c r="AM4" s="389"/>
      <c r="AN4" s="93"/>
      <c r="AP4" s="443" t="s">
        <v>263</v>
      </c>
      <c r="AQ4" s="443"/>
      <c r="AR4" s="443"/>
      <c r="AS4" s="465">
        <v>0.69444444444444442</v>
      </c>
      <c r="AT4" s="470"/>
      <c r="AU4" s="470"/>
      <c r="AV4" s="470"/>
      <c r="AW4" s="470"/>
      <c r="BA4" s="94">
        <v>2</v>
      </c>
      <c r="BB4" s="95">
        <v>9536.2000000000007</v>
      </c>
      <c r="BC4" s="95">
        <f>AL13/2-BF4</f>
        <v>-8.105000000000004</v>
      </c>
      <c r="BD4" s="96">
        <v>540.79999999999995</v>
      </c>
      <c r="BE4" s="97">
        <f t="shared" si="0"/>
        <v>0</v>
      </c>
      <c r="BF4" s="87">
        <v>106.355</v>
      </c>
      <c r="BG4" s="100">
        <f>+R13</f>
        <v>11.796462975372759</v>
      </c>
      <c r="BH4" s="98">
        <f>VLOOKUP(BG4,TABLAS,2)</f>
        <v>59939.7</v>
      </c>
      <c r="BI4" s="87">
        <f>VLOOKUP(BG4,TABLAS,3)</f>
        <v>4.0849999999999937</v>
      </c>
      <c r="BJ4" s="99">
        <f>VLOOKUP(BG4-0.5,TABLAS,4)</f>
        <v>891.5</v>
      </c>
      <c r="BK4" s="99">
        <f>VLOOKUP(BG4+0.5,TABLAS,4)</f>
        <v>909.1</v>
      </c>
    </row>
    <row r="5" spans="1:122" ht="13.5" thickBot="1" x14ac:dyDescent="0.25">
      <c r="A5" s="447"/>
      <c r="B5" s="447"/>
      <c r="C5" s="447"/>
      <c r="D5" s="447"/>
      <c r="E5" s="447"/>
      <c r="F5" s="447"/>
      <c r="G5" s="447"/>
      <c r="H5" s="447"/>
      <c r="I5" s="447"/>
      <c r="J5" s="447"/>
      <c r="K5" s="447"/>
      <c r="L5" s="447"/>
      <c r="M5" s="447"/>
      <c r="N5" s="447"/>
      <c r="O5" s="447"/>
      <c r="P5" s="447"/>
      <c r="Q5" s="272" t="s">
        <v>366</v>
      </c>
      <c r="R5" s="272"/>
      <c r="S5" s="272"/>
      <c r="T5" s="272"/>
      <c r="U5" s="272"/>
      <c r="V5" s="272"/>
      <c r="W5" s="272"/>
      <c r="X5" s="272"/>
      <c r="Y5" s="272"/>
      <c r="Z5" s="272"/>
      <c r="AA5" s="272"/>
      <c r="AB5" s="272"/>
      <c r="AC5" s="272"/>
      <c r="AD5" s="272"/>
      <c r="AE5" s="272"/>
      <c r="AF5" s="272"/>
      <c r="AG5" s="272"/>
      <c r="AH5" s="272"/>
      <c r="AI5" s="272"/>
      <c r="AJ5" s="272"/>
      <c r="AK5" s="272"/>
      <c r="AL5" s="272"/>
      <c r="AM5" s="272"/>
      <c r="AN5" s="272"/>
      <c r="AO5" s="272"/>
      <c r="AP5" s="272"/>
      <c r="AQ5" s="272"/>
      <c r="AR5" s="272"/>
      <c r="AS5" s="272"/>
      <c r="AT5" s="272"/>
      <c r="AU5" s="272"/>
      <c r="AV5" s="272"/>
      <c r="AW5" s="272"/>
      <c r="BA5" s="94">
        <v>3</v>
      </c>
      <c r="BB5" s="101">
        <v>14695.8</v>
      </c>
      <c r="BC5" s="95">
        <f>AL13/2-BF5</f>
        <v>-7.472999999999999</v>
      </c>
      <c r="BD5" s="102">
        <v>582.20000000000005</v>
      </c>
      <c r="BE5" s="103"/>
      <c r="BF5" s="87">
        <v>105.723</v>
      </c>
      <c r="BG5" s="87">
        <f>INT(1+BG4)</f>
        <v>12</v>
      </c>
      <c r="BH5" s="104">
        <f>VLOOKUP(BG5,TABLAS,2)</f>
        <v>66047</v>
      </c>
      <c r="BI5" s="105">
        <f>VLOOKUP(BG5,TABLAS,3)</f>
        <v>4.6979999999999933</v>
      </c>
      <c r="BJ5" s="106">
        <f>VLOOKUP(BG4-0.5+1,TABLAS,4)</f>
        <v>909.1</v>
      </c>
      <c r="BK5" s="106">
        <f>VLOOKUP(BG4+1.5,TABLAS,4)</f>
        <v>920.1</v>
      </c>
    </row>
    <row r="6" spans="1:122" x14ac:dyDescent="0.2">
      <c r="A6" s="471" t="s">
        <v>266</v>
      </c>
      <c r="B6" s="472"/>
      <c r="C6" s="472"/>
      <c r="D6" s="472"/>
      <c r="E6" s="472"/>
      <c r="F6" s="472"/>
      <c r="G6" s="472"/>
      <c r="H6" s="472"/>
      <c r="I6" s="472"/>
      <c r="J6" s="472"/>
      <c r="K6" s="472"/>
      <c r="L6" s="472"/>
      <c r="M6" s="472"/>
      <c r="N6" s="472"/>
      <c r="O6" s="472"/>
      <c r="P6" s="472"/>
      <c r="Q6" s="472"/>
      <c r="R6" s="472"/>
      <c r="S6" s="472"/>
      <c r="T6" s="472"/>
      <c r="U6" s="472"/>
      <c r="V6" s="472"/>
      <c r="W6" s="472"/>
      <c r="X6" s="473"/>
      <c r="Z6" s="471" t="s">
        <v>267</v>
      </c>
      <c r="AA6" s="472"/>
      <c r="AB6" s="472"/>
      <c r="AC6" s="472"/>
      <c r="AD6" s="472"/>
      <c r="AE6" s="472"/>
      <c r="AF6" s="472"/>
      <c r="AG6" s="472"/>
      <c r="AH6" s="472"/>
      <c r="AI6" s="472"/>
      <c r="AJ6" s="472"/>
      <c r="AK6" s="472"/>
      <c r="AL6" s="472"/>
      <c r="AM6" s="472"/>
      <c r="AN6" s="472"/>
      <c r="AO6" s="472"/>
      <c r="AP6" s="472"/>
      <c r="AQ6" s="472"/>
      <c r="AR6" s="472"/>
      <c r="AS6" s="472"/>
      <c r="AT6" s="472"/>
      <c r="AU6" s="472"/>
      <c r="AV6" s="472"/>
      <c r="AW6" s="473"/>
      <c r="BA6" s="94">
        <v>4</v>
      </c>
      <c r="BB6" s="101">
        <v>19987.8</v>
      </c>
      <c r="BC6" s="95">
        <f>AL13/2-BF6</f>
        <v>-6.7909999999999968</v>
      </c>
      <c r="BD6" s="102">
        <v>613</v>
      </c>
      <c r="BE6" s="103"/>
      <c r="BF6" s="87">
        <v>105.041</v>
      </c>
      <c r="BG6" s="87"/>
      <c r="BH6" s="87"/>
      <c r="BI6" s="87"/>
      <c r="BJ6" s="87"/>
      <c r="BK6" s="87"/>
    </row>
    <row r="7" spans="1:122" ht="13.5" thickBot="1" x14ac:dyDescent="0.25">
      <c r="A7" s="466" t="s">
        <v>268</v>
      </c>
      <c r="B7" s="441"/>
      <c r="C7" s="441"/>
      <c r="D7" s="441"/>
      <c r="E7" s="107"/>
      <c r="F7" s="441" t="s">
        <v>269</v>
      </c>
      <c r="G7" s="441"/>
      <c r="H7" s="441"/>
      <c r="I7" s="441"/>
      <c r="J7" s="441" t="s">
        <v>270</v>
      </c>
      <c r="K7" s="441"/>
      <c r="L7" s="441"/>
      <c r="M7" s="441"/>
      <c r="N7" s="441" t="s">
        <v>271</v>
      </c>
      <c r="O7" s="441"/>
      <c r="P7" s="441"/>
      <c r="Q7" s="441"/>
      <c r="R7" s="441" t="s">
        <v>272</v>
      </c>
      <c r="S7" s="441"/>
      <c r="T7" s="441"/>
      <c r="U7" s="441"/>
      <c r="V7" s="441" t="s">
        <v>273</v>
      </c>
      <c r="W7" s="441"/>
      <c r="X7" s="442"/>
      <c r="Y7" s="25"/>
      <c r="Z7" s="466" t="s">
        <v>268</v>
      </c>
      <c r="AA7" s="441"/>
      <c r="AB7" s="441"/>
      <c r="AC7" s="441"/>
      <c r="AD7" s="107"/>
      <c r="AE7" s="441" t="s">
        <v>269</v>
      </c>
      <c r="AF7" s="441"/>
      <c r="AG7" s="441"/>
      <c r="AH7" s="441"/>
      <c r="AI7" s="441" t="s">
        <v>270</v>
      </c>
      <c r="AJ7" s="441"/>
      <c r="AK7" s="441"/>
      <c r="AL7" s="441"/>
      <c r="AM7" s="441" t="s">
        <v>271</v>
      </c>
      <c r="AN7" s="441"/>
      <c r="AO7" s="441"/>
      <c r="AP7" s="441"/>
      <c r="AQ7" s="441" t="s">
        <v>272</v>
      </c>
      <c r="AR7" s="441"/>
      <c r="AS7" s="441"/>
      <c r="AT7" s="441"/>
      <c r="AU7" s="441" t="s">
        <v>273</v>
      </c>
      <c r="AV7" s="441"/>
      <c r="AW7" s="442"/>
      <c r="BA7" s="94">
        <v>5</v>
      </c>
      <c r="BB7" s="95">
        <v>25386.3</v>
      </c>
      <c r="BC7" s="95">
        <f>AL13/2-BF7</f>
        <v>-5.7420000000000044</v>
      </c>
      <c r="BD7" s="96">
        <v>645.6</v>
      </c>
      <c r="BE7" s="97">
        <f t="shared" ref="BB7:BE20" si="1">+BE6-BE5+BE6</f>
        <v>0</v>
      </c>
      <c r="BF7" s="87">
        <v>103.992</v>
      </c>
      <c r="BG7" s="87" t="s">
        <v>257</v>
      </c>
      <c r="BH7" s="89" t="s">
        <v>258</v>
      </c>
      <c r="BI7" s="90" t="s">
        <v>254</v>
      </c>
      <c r="BJ7" s="90" t="s">
        <v>259</v>
      </c>
      <c r="BK7" s="90" t="s">
        <v>260</v>
      </c>
    </row>
    <row r="8" spans="1:122" x14ac:dyDescent="0.2">
      <c r="A8" s="474">
        <v>11.43</v>
      </c>
      <c r="B8" s="475"/>
      <c r="C8" s="475"/>
      <c r="D8" s="475"/>
      <c r="E8" s="475">
        <v>11.44</v>
      </c>
      <c r="F8" s="475"/>
      <c r="G8" s="475"/>
      <c r="H8" s="475"/>
      <c r="I8" s="476"/>
      <c r="J8" s="477">
        <f>(A8+E8)/2</f>
        <v>11.434999999999999</v>
      </c>
      <c r="K8" s="478"/>
      <c r="L8" s="478"/>
      <c r="M8" s="479"/>
      <c r="N8" s="457">
        <f>IF(A8=0,0,(+A13*-V8/(M13-V8-V10)))</f>
        <v>-1.4769643156307617E-2</v>
      </c>
      <c r="O8" s="458"/>
      <c r="P8" s="458"/>
      <c r="Q8" s="459"/>
      <c r="R8" s="460">
        <f>+J8+N8</f>
        <v>11.420230356843691</v>
      </c>
      <c r="S8" s="461"/>
      <c r="T8" s="461"/>
      <c r="U8" s="462"/>
      <c r="V8" s="480">
        <v>3.48</v>
      </c>
      <c r="W8" s="481"/>
      <c r="X8" s="482"/>
      <c r="Z8" s="489">
        <v>4.6500000000000004</v>
      </c>
      <c r="AA8" s="490"/>
      <c r="AB8" s="490"/>
      <c r="AC8" s="490"/>
      <c r="AD8" s="490">
        <v>4.6500000000000004</v>
      </c>
      <c r="AE8" s="490"/>
      <c r="AF8" s="490"/>
      <c r="AG8" s="490"/>
      <c r="AH8" s="491"/>
      <c r="AI8" s="477">
        <f>(Z8+AD8)/2</f>
        <v>4.6500000000000004</v>
      </c>
      <c r="AJ8" s="478"/>
      <c r="AK8" s="478"/>
      <c r="AL8" s="479"/>
      <c r="AM8" s="457">
        <f>IF(Z8=0,0,(+Z13*-AU8/(AL13-AU8-AU10)))</f>
        <v>-4.469760428882559E-2</v>
      </c>
      <c r="AN8" s="458"/>
      <c r="AO8" s="458"/>
      <c r="AP8" s="459"/>
      <c r="AQ8" s="460">
        <f>+AI8+AM8</f>
        <v>4.6053023957111749</v>
      </c>
      <c r="AR8" s="461"/>
      <c r="AS8" s="461"/>
      <c r="AT8" s="462"/>
      <c r="AU8" s="467">
        <f>V8</f>
        <v>3.48</v>
      </c>
      <c r="AV8" s="468"/>
      <c r="AW8" s="469"/>
      <c r="BA8" s="94">
        <v>6</v>
      </c>
      <c r="BB8" s="95">
        <v>30889.1</v>
      </c>
      <c r="BC8" s="95">
        <f>AL13/2-BF8</f>
        <v>-4.5030000000000001</v>
      </c>
      <c r="BD8" s="96">
        <v>678.4</v>
      </c>
      <c r="BE8" s="97">
        <f t="shared" si="1"/>
        <v>0</v>
      </c>
      <c r="BF8" s="87">
        <v>102.753</v>
      </c>
      <c r="BG8" s="87">
        <f>INT(BG9-1)</f>
        <v>4</v>
      </c>
      <c r="BH8" s="98">
        <f>VLOOKUP(BG8,TABLAS,2)</f>
        <v>19987.8</v>
      </c>
      <c r="BI8" s="87">
        <f>VLOOKUP(BG8,TABLAS,3)</f>
        <v>-6.7909999999999968</v>
      </c>
      <c r="BJ8" s="99">
        <f>VLOOKUP(BG9-1.5,TABLAS,4)</f>
        <v>613</v>
      </c>
      <c r="BK8" s="99">
        <f>VLOOKUP(BG9-1+0.5+0.5,TABLAS,4)</f>
        <v>645.6</v>
      </c>
    </row>
    <row r="9" spans="1:122" x14ac:dyDescent="0.2">
      <c r="A9" s="501">
        <v>11.78</v>
      </c>
      <c r="B9" s="502"/>
      <c r="C9" s="502"/>
      <c r="D9" s="502"/>
      <c r="E9" s="502">
        <v>11.79</v>
      </c>
      <c r="F9" s="502"/>
      <c r="G9" s="502"/>
      <c r="H9" s="502"/>
      <c r="I9" s="503"/>
      <c r="J9" s="504">
        <f>(A9+E9)/2</f>
        <v>11.785</v>
      </c>
      <c r="K9" s="505"/>
      <c r="L9" s="505"/>
      <c r="M9" s="506"/>
      <c r="N9" s="492">
        <f>IF(A8=0,0,(+A13*-V9/(M13-V8-V10)))</f>
        <v>-2.1220751661361519E-3</v>
      </c>
      <c r="O9" s="493"/>
      <c r="P9" s="493"/>
      <c r="Q9" s="494"/>
      <c r="R9" s="495">
        <f>+J9+N9</f>
        <v>11.782877924833864</v>
      </c>
      <c r="S9" s="496"/>
      <c r="T9" s="496"/>
      <c r="U9" s="497"/>
      <c r="V9" s="507">
        <v>0.5</v>
      </c>
      <c r="W9" s="508"/>
      <c r="X9" s="509"/>
      <c r="Z9" s="483">
        <v>5.76</v>
      </c>
      <c r="AA9" s="484"/>
      <c r="AB9" s="484"/>
      <c r="AC9" s="484"/>
      <c r="AD9" s="484">
        <v>5.76</v>
      </c>
      <c r="AE9" s="484"/>
      <c r="AF9" s="484"/>
      <c r="AG9" s="484"/>
      <c r="AH9" s="485"/>
      <c r="AI9" s="486">
        <f>(Z9+AD9)/2</f>
        <v>5.76</v>
      </c>
      <c r="AJ9" s="487"/>
      <c r="AK9" s="487"/>
      <c r="AL9" s="488"/>
      <c r="AM9" s="492">
        <f>IF(Z8=0,0,(+Z13*-AU9/(AL13-AU8-AU10)))</f>
        <v>-6.4220695817278151E-3</v>
      </c>
      <c r="AN9" s="493"/>
      <c r="AO9" s="493"/>
      <c r="AP9" s="494"/>
      <c r="AQ9" s="495">
        <f>+AI9+AM9</f>
        <v>5.7535779304182721</v>
      </c>
      <c r="AR9" s="496"/>
      <c r="AS9" s="496"/>
      <c r="AT9" s="497"/>
      <c r="AU9" s="498">
        <f>V9</f>
        <v>0.5</v>
      </c>
      <c r="AV9" s="499"/>
      <c r="AW9" s="500"/>
      <c r="BA9" s="94">
        <v>7</v>
      </c>
      <c r="BB9" s="95">
        <v>36483.699999999997</v>
      </c>
      <c r="BC9" s="95">
        <f>AL13/2-BF9</f>
        <v>-3.0280000000000058</v>
      </c>
      <c r="BD9" s="96">
        <v>713</v>
      </c>
      <c r="BE9" s="97">
        <f t="shared" si="1"/>
        <v>0</v>
      </c>
      <c r="BF9" s="87">
        <v>101.27800000000001</v>
      </c>
      <c r="BG9" s="100">
        <f>+AQ13</f>
        <v>5.7819932149438769</v>
      </c>
      <c r="BH9" s="98">
        <f>VLOOKUP(BG9,TABLAS,2)</f>
        <v>25386.3</v>
      </c>
      <c r="BI9" s="87">
        <f>VLOOKUP(BG9,TABLAS,3)</f>
        <v>-5.7420000000000044</v>
      </c>
      <c r="BJ9" s="99">
        <f>VLOOKUP(BG9-0.5,TABLAS,4)</f>
        <v>645.6</v>
      </c>
      <c r="BK9" s="99">
        <f>VLOOKUP(BG9+0.5,TABLAS,4)</f>
        <v>678.4</v>
      </c>
    </row>
    <row r="10" spans="1:122" ht="13.5" thickBot="1" x14ac:dyDescent="0.25">
      <c r="A10" s="525">
        <v>12.19</v>
      </c>
      <c r="B10" s="526"/>
      <c r="C10" s="526"/>
      <c r="D10" s="526"/>
      <c r="E10" s="526">
        <v>12.2</v>
      </c>
      <c r="F10" s="526"/>
      <c r="G10" s="526"/>
      <c r="H10" s="526"/>
      <c r="I10" s="527"/>
      <c r="J10" s="528">
        <f>(A10+E10)/2</f>
        <v>12.195</v>
      </c>
      <c r="K10" s="529"/>
      <c r="L10" s="529"/>
      <c r="M10" s="530"/>
      <c r="N10" s="516">
        <f>IF(A8=0,0,(+A13*V10/(M13-V8-V10)))</f>
        <v>5.9205897135198637E-2</v>
      </c>
      <c r="O10" s="517"/>
      <c r="P10" s="517"/>
      <c r="Q10" s="518"/>
      <c r="R10" s="519">
        <f>+J10+N10</f>
        <v>12.254205897135199</v>
      </c>
      <c r="S10" s="520"/>
      <c r="T10" s="520"/>
      <c r="U10" s="521"/>
      <c r="V10" s="531">
        <v>13.95</v>
      </c>
      <c r="W10" s="532"/>
      <c r="X10" s="533"/>
      <c r="Z10" s="510">
        <v>6.95</v>
      </c>
      <c r="AA10" s="511"/>
      <c r="AB10" s="511"/>
      <c r="AC10" s="511"/>
      <c r="AD10" s="511">
        <v>6.95</v>
      </c>
      <c r="AE10" s="511"/>
      <c r="AF10" s="511"/>
      <c r="AG10" s="511"/>
      <c r="AH10" s="512"/>
      <c r="AI10" s="513">
        <f>(Z10+AD10)/2</f>
        <v>6.95</v>
      </c>
      <c r="AJ10" s="514"/>
      <c r="AK10" s="514"/>
      <c r="AL10" s="515"/>
      <c r="AM10" s="516">
        <f>IF(Z8=0,0,(+Z13*AU10/(AL13-AU8-AU10)))</f>
        <v>0.179175741330206</v>
      </c>
      <c r="AN10" s="517"/>
      <c r="AO10" s="517"/>
      <c r="AP10" s="518"/>
      <c r="AQ10" s="519">
        <f>+AI10+AM10</f>
        <v>7.1291757413302062</v>
      </c>
      <c r="AR10" s="520"/>
      <c r="AS10" s="520"/>
      <c r="AT10" s="521"/>
      <c r="AU10" s="522">
        <v>13.95</v>
      </c>
      <c r="AV10" s="523"/>
      <c r="AW10" s="524"/>
      <c r="BA10" s="94">
        <v>8</v>
      </c>
      <c r="BB10" s="95">
        <v>42178.3</v>
      </c>
      <c r="BC10" s="95">
        <f>AL13/2-BF10</f>
        <v>-1.3229999999999933</v>
      </c>
      <c r="BD10" s="96">
        <v>753</v>
      </c>
      <c r="BE10" s="97">
        <f t="shared" si="1"/>
        <v>0</v>
      </c>
      <c r="BF10" s="87">
        <v>99.572999999999993</v>
      </c>
      <c r="BG10" s="87">
        <f>INT(1+BG9)</f>
        <v>6</v>
      </c>
      <c r="BH10" s="104">
        <f>VLOOKUP(BG10,TABLAS,2)</f>
        <v>30889.1</v>
      </c>
      <c r="BI10" s="105">
        <f>VLOOKUP(BG10,TABLAS,3)</f>
        <v>-4.5030000000000001</v>
      </c>
      <c r="BJ10" s="106">
        <f>VLOOKUP(BG9-0.5+1,TABLAS,4)</f>
        <v>678.4</v>
      </c>
      <c r="BK10" s="106">
        <f>VLOOKUP(BG9+1.5,TABLAS,4)</f>
        <v>713</v>
      </c>
    </row>
    <row r="11" spans="1:122" ht="13.5" thickBot="1" x14ac:dyDescent="0.25">
      <c r="A11" s="534"/>
      <c r="B11" s="534"/>
      <c r="C11" s="534"/>
      <c r="D11" s="534"/>
      <c r="E11" s="534"/>
      <c r="F11" s="534"/>
      <c r="G11" s="534"/>
      <c r="H11" s="534"/>
      <c r="I11" s="534"/>
      <c r="J11" s="534"/>
      <c r="K11" s="534"/>
      <c r="L11" s="534"/>
      <c r="M11" s="534"/>
      <c r="N11" s="534"/>
      <c r="O11" s="534"/>
      <c r="P11" s="534"/>
      <c r="Q11" s="534"/>
      <c r="R11" s="534"/>
      <c r="S11" s="534"/>
      <c r="T11" s="534"/>
      <c r="U11" s="534"/>
      <c r="V11" s="534"/>
      <c r="W11" s="534"/>
      <c r="X11" s="534"/>
      <c r="Y11" s="534"/>
      <c r="Z11" s="534"/>
      <c r="AA11" s="534"/>
      <c r="AB11" s="534"/>
      <c r="AC11" s="534"/>
      <c r="AD11" s="534"/>
      <c r="AE11" s="534"/>
      <c r="AF11" s="534"/>
      <c r="AG11" s="534"/>
      <c r="AH11" s="534"/>
      <c r="AI11" s="534"/>
      <c r="AJ11" s="534"/>
      <c r="AK11" s="534"/>
      <c r="AL11" s="534"/>
      <c r="AM11" s="534"/>
      <c r="AN11" s="534"/>
      <c r="AO11" s="534"/>
      <c r="AP11" s="534"/>
      <c r="AQ11" s="534"/>
      <c r="AR11" s="534"/>
      <c r="AS11" s="534"/>
      <c r="AT11" s="534"/>
      <c r="AU11" s="534"/>
      <c r="AV11" s="534"/>
      <c r="AW11" s="534"/>
      <c r="BA11" s="94">
        <v>9</v>
      </c>
      <c r="BB11" s="95">
        <v>47982.5</v>
      </c>
      <c r="BC11" s="95">
        <f>AL13/2-BF11</f>
        <v>0.54600000000000648</v>
      </c>
      <c r="BD11" s="96">
        <v>798.4</v>
      </c>
      <c r="BE11" s="97">
        <f t="shared" si="1"/>
        <v>0</v>
      </c>
      <c r="BF11" s="87">
        <v>97.703999999999994</v>
      </c>
      <c r="BG11" s="87"/>
      <c r="BH11" s="87"/>
      <c r="BI11" s="87"/>
      <c r="BJ11" s="87"/>
      <c r="BK11" s="87"/>
    </row>
    <row r="12" spans="1:122" x14ac:dyDescent="0.2">
      <c r="A12" s="535" t="s">
        <v>274</v>
      </c>
      <c r="B12" s="536"/>
      <c r="C12" s="536"/>
      <c r="D12" s="537"/>
      <c r="E12" s="535" t="s">
        <v>275</v>
      </c>
      <c r="F12" s="536"/>
      <c r="G12" s="536"/>
      <c r="H12" s="537"/>
      <c r="I12" s="538" t="s">
        <v>276</v>
      </c>
      <c r="J12" s="539"/>
      <c r="K12" s="539"/>
      <c r="L12" s="540"/>
      <c r="M12" s="538" t="s">
        <v>277</v>
      </c>
      <c r="N12" s="539"/>
      <c r="O12" s="539"/>
      <c r="P12" s="540"/>
      <c r="Q12" s="40"/>
      <c r="R12" s="538" t="s">
        <v>278</v>
      </c>
      <c r="S12" s="539"/>
      <c r="T12" s="539"/>
      <c r="U12" s="539"/>
      <c r="V12" s="539"/>
      <c r="W12" s="539"/>
      <c r="X12" s="540"/>
      <c r="Y12" s="25"/>
      <c r="Z12" s="535" t="s">
        <v>274</v>
      </c>
      <c r="AA12" s="536"/>
      <c r="AB12" s="536"/>
      <c r="AC12" s="537"/>
      <c r="AD12" s="535" t="s">
        <v>275</v>
      </c>
      <c r="AE12" s="536"/>
      <c r="AF12" s="536"/>
      <c r="AG12" s="537"/>
      <c r="AH12" s="538" t="s">
        <v>276</v>
      </c>
      <c r="AI12" s="539"/>
      <c r="AJ12" s="539"/>
      <c r="AK12" s="540"/>
      <c r="AL12" s="538" t="s">
        <v>277</v>
      </c>
      <c r="AM12" s="539"/>
      <c r="AN12" s="539"/>
      <c r="AO12" s="540"/>
      <c r="AP12" s="40"/>
      <c r="AQ12" s="538" t="s">
        <v>278</v>
      </c>
      <c r="AR12" s="539"/>
      <c r="AS12" s="539"/>
      <c r="AT12" s="539"/>
      <c r="AU12" s="539"/>
      <c r="AV12" s="539"/>
      <c r="AW12" s="540"/>
      <c r="BA12" s="94">
        <v>10</v>
      </c>
      <c r="BB12" s="95">
        <v>53901.1</v>
      </c>
      <c r="BC12" s="95">
        <f>AL13/2-BF12</f>
        <v>2.4849999999999994</v>
      </c>
      <c r="BD12" s="96">
        <v>848.2</v>
      </c>
      <c r="BE12" s="97">
        <f t="shared" si="1"/>
        <v>0</v>
      </c>
      <c r="BF12" s="87">
        <v>95.765000000000001</v>
      </c>
      <c r="BG12" s="108" t="s">
        <v>258</v>
      </c>
      <c r="BH12" s="109" t="s">
        <v>279</v>
      </c>
      <c r="BI12" s="110" t="s">
        <v>254</v>
      </c>
      <c r="BJ12" s="111" t="s">
        <v>280</v>
      </c>
      <c r="BK12" s="112" t="s">
        <v>281</v>
      </c>
      <c r="DO12" s="54"/>
      <c r="DP12" s="54"/>
      <c r="DQ12" s="54"/>
      <c r="DR12" s="54"/>
    </row>
    <row r="13" spans="1:122" ht="13.5" thickBot="1" x14ac:dyDescent="0.25">
      <c r="A13" s="546">
        <f>+J10-J8</f>
        <v>0.76000000000000156</v>
      </c>
      <c r="B13" s="547"/>
      <c r="C13" s="547"/>
      <c r="D13" s="548"/>
      <c r="E13" s="549">
        <f>+R10-R8</f>
        <v>0.83397554029150811</v>
      </c>
      <c r="F13" s="550"/>
      <c r="G13" s="550"/>
      <c r="H13" s="551"/>
      <c r="I13" s="552">
        <v>1.0189999999999999</v>
      </c>
      <c r="J13" s="553"/>
      <c r="K13" s="553"/>
      <c r="L13" s="554"/>
      <c r="M13" s="555">
        <v>196.5</v>
      </c>
      <c r="N13" s="556"/>
      <c r="O13" s="556"/>
      <c r="P13" s="557"/>
      <c r="Q13" s="113"/>
      <c r="R13" s="541">
        <f>(6*R9+R8+R10)/8</f>
        <v>11.796462975372759</v>
      </c>
      <c r="S13" s="542"/>
      <c r="T13" s="542"/>
      <c r="U13" s="542"/>
      <c r="V13" s="542"/>
      <c r="W13" s="542"/>
      <c r="X13" s="543"/>
      <c r="Y13" s="114"/>
      <c r="Z13" s="546">
        <f>+AI10-AI8</f>
        <v>2.2999999999999998</v>
      </c>
      <c r="AA13" s="547"/>
      <c r="AB13" s="547"/>
      <c r="AC13" s="548"/>
      <c r="AD13" s="549">
        <f>+AQ10-AQ8</f>
        <v>2.5238733456190312</v>
      </c>
      <c r="AE13" s="550"/>
      <c r="AF13" s="550"/>
      <c r="AG13" s="551"/>
      <c r="AH13" s="552">
        <v>1.0189999999999999</v>
      </c>
      <c r="AI13" s="553"/>
      <c r="AJ13" s="553"/>
      <c r="AK13" s="554"/>
      <c r="AL13" s="555">
        <f>+M13</f>
        <v>196.5</v>
      </c>
      <c r="AM13" s="556"/>
      <c r="AN13" s="556"/>
      <c r="AO13" s="557"/>
      <c r="AP13" s="261"/>
      <c r="AQ13" s="541">
        <f>(6*AQ9+AQ8+AQ10)/8</f>
        <v>5.7819932149438769</v>
      </c>
      <c r="AR13" s="542"/>
      <c r="AS13" s="542"/>
      <c r="AT13" s="542"/>
      <c r="AU13" s="542"/>
      <c r="AV13" s="542"/>
      <c r="AW13" s="543"/>
      <c r="BA13" s="94">
        <v>11</v>
      </c>
      <c r="BB13" s="95">
        <v>59939.7</v>
      </c>
      <c r="BC13" s="95">
        <f>AL13/2-BF13</f>
        <v>4.0849999999999937</v>
      </c>
      <c r="BD13" s="96">
        <v>891.5</v>
      </c>
      <c r="BE13" s="97">
        <f t="shared" si="1"/>
        <v>0</v>
      </c>
      <c r="BF13" s="87">
        <v>94.165000000000006</v>
      </c>
      <c r="BG13" s="115">
        <f>(BH5-BH4*2+BH3)*BG15/3</f>
        <v>4.6609978639641252</v>
      </c>
      <c r="BH13" s="116">
        <f>(BH5-BH4*2+BH3)*BH15/3</f>
        <v>4.4319978639641153</v>
      </c>
      <c r="BI13" s="117">
        <f>(BI5-BI4*2+BI3)*BI15/3</f>
        <v>-6.6963681102362074E-2</v>
      </c>
      <c r="BJ13" s="116">
        <f>(BK5-BK4*2+BK3)*BJ15/3</f>
        <v>-0.65221854582007111</v>
      </c>
      <c r="BK13" s="117">
        <f>(BJ5-BJ4*2+BJ3)*BK15/3</f>
        <v>-2.5396994890266247</v>
      </c>
      <c r="DO13" s="80"/>
      <c r="DP13" s="80"/>
      <c r="DQ13" s="80"/>
      <c r="DR13" s="80"/>
    </row>
    <row r="14" spans="1:122" ht="13.5" thickBot="1" x14ac:dyDescent="0.25">
      <c r="A14" s="272"/>
      <c r="B14" s="272"/>
      <c r="C14" s="272"/>
      <c r="D14" s="272"/>
      <c r="E14" s="272"/>
      <c r="F14" s="272"/>
      <c r="G14" s="272"/>
      <c r="H14" s="272"/>
      <c r="I14" s="272"/>
      <c r="J14" s="272"/>
      <c r="K14" s="272"/>
      <c r="L14" s="272"/>
      <c r="M14" s="272"/>
      <c r="N14" s="272"/>
      <c r="O14" s="272"/>
      <c r="P14" s="272"/>
      <c r="Q14" s="272"/>
      <c r="R14" s="272"/>
      <c r="S14" s="272"/>
      <c r="T14" s="272"/>
      <c r="U14" s="272"/>
      <c r="V14" s="272"/>
      <c r="W14" s="272"/>
      <c r="X14" s="272"/>
      <c r="Y14" s="272"/>
      <c r="Z14" s="272"/>
      <c r="AA14" s="272"/>
      <c r="AB14" s="272"/>
      <c r="AC14" s="272"/>
      <c r="AD14" s="272"/>
      <c r="AE14" s="272"/>
      <c r="AF14" s="272"/>
      <c r="AG14" s="272"/>
      <c r="AH14" s="272"/>
      <c r="AI14" s="272"/>
      <c r="AJ14" s="272"/>
      <c r="AK14" s="272"/>
      <c r="AL14" s="272"/>
      <c r="AM14" s="272"/>
      <c r="AN14" s="272"/>
      <c r="AO14" s="272"/>
      <c r="AP14" s="272"/>
      <c r="AQ14" s="272"/>
      <c r="AR14" s="272"/>
      <c r="AS14" s="272"/>
      <c r="AT14" s="272"/>
      <c r="AU14" s="272"/>
      <c r="AV14" s="272"/>
      <c r="AW14" s="272"/>
      <c r="BA14" s="94">
        <v>12</v>
      </c>
      <c r="BB14" s="95">
        <v>66047</v>
      </c>
      <c r="BC14" s="95">
        <f>AL13/2-BF14</f>
        <v>4.6979999999999933</v>
      </c>
      <c r="BD14" s="96">
        <v>909.1</v>
      </c>
      <c r="BE14" s="97">
        <f t="shared" si="1"/>
        <v>0</v>
      </c>
      <c r="BF14" s="87">
        <v>93.552000000000007</v>
      </c>
      <c r="BG14" s="115">
        <f>+BG4-INT(BG4)</f>
        <v>0.79646297537275856</v>
      </c>
      <c r="BH14" s="116">
        <f>+BG4+0.01-INT(BG4)</f>
        <v>0.80646297537275835</v>
      </c>
      <c r="BI14" s="117">
        <f>+BG4-INT(BG4)</f>
        <v>0.79646297537275856</v>
      </c>
      <c r="BJ14" s="116">
        <f>+BG4+0.5-INT(BG4+0.5)</f>
        <v>0.29646297537275856</v>
      </c>
      <c r="BK14" s="117">
        <f>+BG4-0.5-INT(BG4-0.5)</f>
        <v>0.29646297537275856</v>
      </c>
    </row>
    <row r="15" spans="1:122" x14ac:dyDescent="0.2">
      <c r="A15" s="538" t="s">
        <v>254</v>
      </c>
      <c r="B15" s="539"/>
      <c r="C15" s="539"/>
      <c r="D15" s="544"/>
      <c r="E15" s="545" t="s">
        <v>279</v>
      </c>
      <c r="F15" s="539"/>
      <c r="G15" s="539"/>
      <c r="H15" s="544"/>
      <c r="I15" s="545" t="s">
        <v>280</v>
      </c>
      <c r="J15" s="539"/>
      <c r="K15" s="539"/>
      <c r="L15" s="544"/>
      <c r="M15" s="545"/>
      <c r="N15" s="539"/>
      <c r="O15" s="539"/>
      <c r="P15" s="544"/>
      <c r="Q15" s="545" t="s">
        <v>282</v>
      </c>
      <c r="R15" s="539"/>
      <c r="S15" s="539"/>
      <c r="T15" s="544"/>
      <c r="U15" s="545" t="s">
        <v>283</v>
      </c>
      <c r="V15" s="539"/>
      <c r="W15" s="539"/>
      <c r="X15" s="540"/>
      <c r="Y15" s="25"/>
      <c r="Z15" s="538" t="s">
        <v>254</v>
      </c>
      <c r="AA15" s="539"/>
      <c r="AB15" s="539"/>
      <c r="AC15" s="544"/>
      <c r="AD15" s="545" t="s">
        <v>279</v>
      </c>
      <c r="AE15" s="539"/>
      <c r="AF15" s="539"/>
      <c r="AG15" s="544"/>
      <c r="AH15" s="545" t="s">
        <v>280</v>
      </c>
      <c r="AI15" s="539"/>
      <c r="AJ15" s="539"/>
      <c r="AK15" s="544"/>
      <c r="AL15" s="545" t="s">
        <v>281</v>
      </c>
      <c r="AM15" s="539"/>
      <c r="AN15" s="539"/>
      <c r="AO15" s="544"/>
      <c r="AP15" s="545" t="s">
        <v>282</v>
      </c>
      <c r="AQ15" s="539"/>
      <c r="AR15" s="539"/>
      <c r="AS15" s="544"/>
      <c r="AT15" s="545" t="s">
        <v>283</v>
      </c>
      <c r="AU15" s="539"/>
      <c r="AV15" s="539"/>
      <c r="AW15" s="540"/>
      <c r="BA15" s="94">
        <v>13</v>
      </c>
      <c r="BB15" s="95">
        <v>72190.399999999994</v>
      </c>
      <c r="BC15" s="95">
        <f>AL13/2-BF15</f>
        <v>4.9449999999999932</v>
      </c>
      <c r="BD15" s="96">
        <v>920.1</v>
      </c>
      <c r="BE15" s="97">
        <f t="shared" si="1"/>
        <v>0</v>
      </c>
      <c r="BF15" s="87">
        <v>93.305000000000007</v>
      </c>
      <c r="BG15" s="118">
        <f>IF(BG14&gt;0.5,1-BG14,BG14)</f>
        <v>0.20353702462724144</v>
      </c>
      <c r="BH15" s="119">
        <f>IF(BH14&gt;0.5,1-BH14,BH14)</f>
        <v>0.19353702462724165</v>
      </c>
      <c r="BI15" s="120">
        <f>IF(BI14&gt;0.5,1-BI14,BI14)</f>
        <v>0.20353702462724144</v>
      </c>
      <c r="BJ15" s="119">
        <f>IF(BJ14&gt;0.5,1-BJ14,BJ14)</f>
        <v>0.29646297537275856</v>
      </c>
      <c r="BK15" s="120">
        <f>IF(BK14&gt;0.5,1-BK14,BK14)</f>
        <v>0.29646297537275856</v>
      </c>
    </row>
    <row r="16" spans="1:122" ht="13.5" thickBot="1" x14ac:dyDescent="0.25">
      <c r="A16" s="558">
        <f>BJ28</f>
        <v>1.5318166778354829</v>
      </c>
      <c r="B16" s="559"/>
      <c r="C16" s="559"/>
      <c r="D16" s="560"/>
      <c r="E16" s="561">
        <f>BI28</f>
        <v>59.643231487686379</v>
      </c>
      <c r="F16" s="559"/>
      <c r="G16" s="559"/>
      <c r="H16" s="560"/>
      <c r="I16" s="561">
        <f>BH32</f>
        <v>853.45805390350142</v>
      </c>
      <c r="J16" s="559"/>
      <c r="K16" s="559"/>
      <c r="L16" s="560"/>
      <c r="M16" s="561">
        <f>BJ32</f>
        <v>834.17794102864798</v>
      </c>
      <c r="N16" s="559"/>
      <c r="O16" s="559"/>
      <c r="P16" s="560"/>
      <c r="Q16" s="561"/>
      <c r="R16" s="559"/>
      <c r="S16" s="559"/>
      <c r="T16" s="560"/>
      <c r="U16" s="561"/>
      <c r="V16" s="559"/>
      <c r="W16" s="559"/>
      <c r="X16" s="562"/>
      <c r="Z16" s="558">
        <f>BJ37</f>
        <v>-6.1080067850561237</v>
      </c>
      <c r="AA16" s="559"/>
      <c r="AB16" s="559"/>
      <c r="AC16" s="560"/>
      <c r="AD16" s="561">
        <f>BI37</f>
        <v>55.118544741581502</v>
      </c>
      <c r="AE16" s="559"/>
      <c r="AF16" s="559"/>
      <c r="AG16" s="560"/>
      <c r="AH16" s="561">
        <f>BH41</f>
        <v>683.46500594739484</v>
      </c>
      <c r="AI16" s="559"/>
      <c r="AJ16" s="559"/>
      <c r="AK16" s="560"/>
      <c r="AL16" s="561">
        <f>BJ41</f>
        <v>657.69151209373433</v>
      </c>
      <c r="AM16" s="559"/>
      <c r="AN16" s="559"/>
      <c r="AO16" s="560"/>
      <c r="AP16" s="561"/>
      <c r="AQ16" s="559"/>
      <c r="AR16" s="559"/>
      <c r="AS16" s="560"/>
      <c r="AT16" s="561"/>
      <c r="AU16" s="559"/>
      <c r="AV16" s="559"/>
      <c r="AW16" s="562"/>
      <c r="BA16" s="94">
        <v>14</v>
      </c>
      <c r="BB16" s="95">
        <v>78359.399999999994</v>
      </c>
      <c r="BC16" s="95">
        <f>AL13/2-BF16</f>
        <v>4.9680000000000035</v>
      </c>
      <c r="BD16" s="96">
        <v>928.4</v>
      </c>
      <c r="BE16" s="97">
        <f t="shared" si="1"/>
        <v>0</v>
      </c>
      <c r="BF16" s="87">
        <v>93.281999999999996</v>
      </c>
      <c r="BG16" s="118"/>
      <c r="BH16" s="121">
        <f>((BH5-BH4)*BH14+BH4-BH13+0.5)</f>
        <v>64861.079331630084</v>
      </c>
      <c r="BI16" s="120"/>
      <c r="BJ16" s="119"/>
      <c r="BK16" s="120"/>
    </row>
    <row r="17" spans="1:63" ht="13.5" thickBot="1" x14ac:dyDescent="0.25">
      <c r="A17" s="272"/>
      <c r="B17" s="272"/>
      <c r="C17" s="272"/>
      <c r="D17" s="272"/>
      <c r="E17" s="272"/>
      <c r="F17" s="272"/>
      <c r="G17" s="272"/>
      <c r="H17" s="272"/>
      <c r="I17" s="272"/>
      <c r="J17" s="272"/>
      <c r="K17" s="272"/>
      <c r="L17" s="272"/>
      <c r="M17" s="272"/>
      <c r="N17" s="272"/>
      <c r="O17" s="272"/>
      <c r="P17" s="272"/>
      <c r="Q17" s="272"/>
      <c r="R17" s="272"/>
      <c r="S17" s="272"/>
      <c r="T17" s="272"/>
      <c r="U17" s="272"/>
      <c r="V17" s="272"/>
      <c r="W17" s="272"/>
      <c r="X17" s="272"/>
      <c r="Y17" s="272"/>
      <c r="Z17" s="272"/>
      <c r="AA17" s="272"/>
      <c r="AB17" s="272"/>
      <c r="AC17" s="272"/>
      <c r="AD17" s="272"/>
      <c r="AE17" s="272"/>
      <c r="AF17" s="272"/>
      <c r="AG17" s="272"/>
      <c r="AH17" s="272"/>
      <c r="AI17" s="272"/>
      <c r="AJ17" s="272"/>
      <c r="AK17" s="272"/>
      <c r="AL17" s="272"/>
      <c r="AM17" s="272"/>
      <c r="AN17" s="272"/>
      <c r="AO17" s="272"/>
      <c r="AP17" s="272"/>
      <c r="AQ17" s="272"/>
      <c r="AR17" s="272"/>
      <c r="AS17" s="272"/>
      <c r="AT17" s="272"/>
      <c r="AU17" s="272"/>
      <c r="AV17" s="272"/>
      <c r="AW17" s="272"/>
      <c r="BA17" s="94">
        <v>15</v>
      </c>
      <c r="BB17" s="95">
        <v>84548.1</v>
      </c>
      <c r="BC17" s="95">
        <f>AL13/2-BF17</f>
        <v>4.8190000000000026</v>
      </c>
      <c r="BD17" s="96">
        <v>935.2</v>
      </c>
      <c r="BE17" s="97">
        <f t="shared" si="1"/>
        <v>0</v>
      </c>
      <c r="BF17" s="87">
        <v>93.430999999999997</v>
      </c>
      <c r="BG17" s="122">
        <f>((BH5-BH4)*BG14+BH4-BG13+0.5)</f>
        <v>64799.777331630088</v>
      </c>
      <c r="BH17" s="123">
        <f>+BH16-BG17</f>
        <v>61.301999999996042</v>
      </c>
      <c r="BI17" s="124">
        <f>((BI5-BI4)*BI14+BI4-BI13)</f>
        <v>4.6401954850058571</v>
      </c>
      <c r="BJ17" s="121">
        <f>((BK5-BK4)*BJ14+BK4-BJ13)</f>
        <v>913.01331127492051</v>
      </c>
      <c r="BK17" s="124">
        <f>((BJ5-BJ4)*BK14+BJ4-BK13)</f>
        <v>899.2574478555872</v>
      </c>
    </row>
    <row r="18" spans="1:63" x14ac:dyDescent="0.2">
      <c r="A18" s="563" t="s">
        <v>284</v>
      </c>
      <c r="B18" s="564"/>
      <c r="C18" s="564"/>
      <c r="D18" s="564"/>
      <c r="E18" s="564"/>
      <c r="F18" s="564"/>
      <c r="G18" s="565">
        <v>120.41</v>
      </c>
      <c r="H18" s="565"/>
      <c r="I18" s="565"/>
      <c r="J18" s="565"/>
      <c r="K18" s="566"/>
      <c r="M18" s="567">
        <f>BH28</f>
        <v>64634.383962975371</v>
      </c>
      <c r="N18" s="568"/>
      <c r="O18" s="568"/>
      <c r="P18" s="568"/>
      <c r="Q18" s="568"/>
      <c r="R18" s="125"/>
      <c r="S18" s="538" t="s">
        <v>285</v>
      </c>
      <c r="T18" s="539"/>
      <c r="U18" s="539"/>
      <c r="V18" s="539"/>
      <c r="W18" s="539"/>
      <c r="X18" s="539"/>
      <c r="Y18" s="539"/>
      <c r="Z18" s="539"/>
      <c r="AA18" s="539"/>
      <c r="AB18" s="539"/>
      <c r="AC18" s="539"/>
      <c r="AD18" s="539"/>
      <c r="AE18" s="540"/>
      <c r="AF18" s="262"/>
      <c r="AG18" s="569">
        <f>BH37</f>
        <v>30022.372648266042</v>
      </c>
      <c r="AH18" s="569"/>
      <c r="AI18" s="569"/>
      <c r="AJ18" s="569"/>
      <c r="AK18" s="570"/>
      <c r="AL18" s="25"/>
      <c r="AM18" s="563" t="s">
        <v>284</v>
      </c>
      <c r="AN18" s="564"/>
      <c r="AO18" s="564"/>
      <c r="AP18" s="564"/>
      <c r="AQ18" s="564"/>
      <c r="AR18" s="564"/>
      <c r="AS18" s="571">
        <f>Deductions!AI42</f>
        <v>16346.655339999999</v>
      </c>
      <c r="AT18" s="571"/>
      <c r="AU18" s="571"/>
      <c r="AV18" s="571"/>
      <c r="AW18" s="572"/>
      <c r="BA18" s="94">
        <v>16</v>
      </c>
      <c r="BB18" s="95">
        <f t="shared" si="1"/>
        <v>90736.800000000017</v>
      </c>
      <c r="BC18" s="95">
        <f t="shared" si="1"/>
        <v>4.6700000000000017</v>
      </c>
      <c r="BD18" s="96">
        <f t="shared" si="1"/>
        <v>942.00000000000011</v>
      </c>
      <c r="BE18" s="97">
        <f t="shared" si="1"/>
        <v>0</v>
      </c>
      <c r="BF18" s="87"/>
      <c r="BG18" s="108" t="s">
        <v>258</v>
      </c>
      <c r="BH18" s="109" t="s">
        <v>279</v>
      </c>
      <c r="BI18" s="110" t="s">
        <v>254</v>
      </c>
      <c r="BJ18" s="111" t="s">
        <v>280</v>
      </c>
      <c r="BK18" s="112" t="s">
        <v>281</v>
      </c>
    </row>
    <row r="19" spans="1:63" x14ac:dyDescent="0.2">
      <c r="A19" s="575" t="s">
        <v>286</v>
      </c>
      <c r="B19" s="389"/>
      <c r="C19" s="389"/>
      <c r="D19" s="389"/>
      <c r="E19" s="389"/>
      <c r="F19" s="389"/>
      <c r="G19" s="584">
        <v>144</v>
      </c>
      <c r="H19" s="584"/>
      <c r="I19" s="584"/>
      <c r="J19" s="584"/>
      <c r="K19" s="585"/>
      <c r="M19" s="578">
        <f>ROUND(IF($S$19="Y",(((R13*100)-TRUNC(R13*100))*E16),0),2)</f>
        <v>0</v>
      </c>
      <c r="N19" s="579"/>
      <c r="O19" s="579"/>
      <c r="P19" s="579"/>
      <c r="Q19" s="579"/>
      <c r="R19" s="127"/>
      <c r="S19" s="128" t="s">
        <v>362</v>
      </c>
      <c r="T19" s="586" t="s">
        <v>287</v>
      </c>
      <c r="U19" s="378"/>
      <c r="V19" s="378"/>
      <c r="W19" s="378"/>
      <c r="X19" s="378"/>
      <c r="Y19" s="378"/>
      <c r="Z19" s="378"/>
      <c r="AA19" s="378"/>
      <c r="AB19" s="378"/>
      <c r="AC19" s="378"/>
      <c r="AD19" s="378"/>
      <c r="AE19" s="587"/>
      <c r="AF19" s="263"/>
      <c r="AG19" s="573">
        <f>ROUND(IF($S$19="Y",(((AQ13*100)-TRUNC(AQ13*100))*AD16),0),2)</f>
        <v>0</v>
      </c>
      <c r="AH19" s="573"/>
      <c r="AI19" s="573"/>
      <c r="AJ19" s="573"/>
      <c r="AK19" s="574"/>
      <c r="AL19" s="25"/>
      <c r="AM19" s="575" t="s">
        <v>286</v>
      </c>
      <c r="AN19" s="389"/>
      <c r="AO19" s="389"/>
      <c r="AP19" s="389"/>
      <c r="AQ19" s="389"/>
      <c r="AR19" s="389"/>
      <c r="AS19" s="573">
        <v>219</v>
      </c>
      <c r="AT19" s="573"/>
      <c r="AU19" s="573"/>
      <c r="AV19" s="573"/>
      <c r="AW19" s="574"/>
      <c r="BA19" s="94">
        <v>17</v>
      </c>
      <c r="BB19" s="95">
        <f t="shared" si="1"/>
        <v>96925.500000000029</v>
      </c>
      <c r="BC19" s="95">
        <f t="shared" si="1"/>
        <v>4.5210000000000008</v>
      </c>
      <c r="BD19" s="96">
        <f t="shared" si="1"/>
        <v>948.80000000000018</v>
      </c>
      <c r="BE19" s="97">
        <f t="shared" si="1"/>
        <v>0</v>
      </c>
      <c r="BF19" s="87"/>
      <c r="BG19" s="115">
        <f>(BH10-BH9*2+BH8)*BG21/3</f>
        <v>7.5793692271178292</v>
      </c>
      <c r="BH19" s="116">
        <f>(BH10-BH9*2+BH8)*BH21/3</f>
        <v>7.231702560451172</v>
      </c>
      <c r="BI19" s="117">
        <f>(BI10-BI9*2+BI8)*BI21/3</f>
        <v>1.3807096386888667E-2</v>
      </c>
      <c r="BJ19" s="116">
        <f>(BK10-BK9*2+BK8)*BJ21/3</f>
        <v>0.16919592896633251</v>
      </c>
      <c r="BK19" s="117">
        <f>(BJ10-BJ9*2+BJ8)*BK21/3</f>
        <v>1.8799547662918713E-2</v>
      </c>
    </row>
    <row r="20" spans="1:63" x14ac:dyDescent="0.2">
      <c r="A20" s="575" t="s">
        <v>288</v>
      </c>
      <c r="B20" s="389"/>
      <c r="C20" s="389"/>
      <c r="D20" s="389"/>
      <c r="E20" s="389"/>
      <c r="F20" s="389"/>
      <c r="G20" s="576">
        <v>1496.05</v>
      </c>
      <c r="H20" s="576"/>
      <c r="I20" s="576"/>
      <c r="J20" s="576"/>
      <c r="K20" s="577"/>
      <c r="M20" s="578">
        <f>+M19+M18</f>
        <v>64634.383962975371</v>
      </c>
      <c r="N20" s="579"/>
      <c r="O20" s="579"/>
      <c r="P20" s="579"/>
      <c r="Q20" s="579"/>
      <c r="R20" s="127"/>
      <c r="S20" s="580" t="s">
        <v>289</v>
      </c>
      <c r="T20" s="377"/>
      <c r="U20" s="377"/>
      <c r="V20" s="377"/>
      <c r="W20" s="377"/>
      <c r="X20" s="377"/>
      <c r="Y20" s="377"/>
      <c r="Z20" s="377"/>
      <c r="AA20" s="377"/>
      <c r="AB20" s="377"/>
      <c r="AC20" s="377"/>
      <c r="AD20" s="377"/>
      <c r="AE20" s="581"/>
      <c r="AF20" s="263"/>
      <c r="AG20" s="573">
        <f>+AG19+AG18</f>
        <v>30022.372648266042</v>
      </c>
      <c r="AH20" s="573"/>
      <c r="AI20" s="573"/>
      <c r="AJ20" s="573"/>
      <c r="AK20" s="574"/>
      <c r="AL20" s="25"/>
      <c r="AM20" s="575" t="s">
        <v>288</v>
      </c>
      <c r="AN20" s="389"/>
      <c r="AO20" s="389"/>
      <c r="AP20" s="389"/>
      <c r="AQ20" s="389"/>
      <c r="AR20" s="389"/>
      <c r="AS20" s="582">
        <v>1478.0409999999999</v>
      </c>
      <c r="AT20" s="582"/>
      <c r="AU20" s="582"/>
      <c r="AV20" s="582"/>
      <c r="AW20" s="583"/>
      <c r="BA20" s="129">
        <v>18</v>
      </c>
      <c r="BB20" s="130">
        <f t="shared" si="1"/>
        <v>103114.20000000004</v>
      </c>
      <c r="BC20" s="130">
        <f t="shared" si="1"/>
        <v>4.3719999999999999</v>
      </c>
      <c r="BD20" s="131">
        <f t="shared" si="1"/>
        <v>955.60000000000025</v>
      </c>
      <c r="BE20" s="132">
        <f t="shared" si="1"/>
        <v>0</v>
      </c>
      <c r="BF20" s="87"/>
      <c r="BG20" s="115">
        <f>+BG9-INT(BG9)</f>
        <v>0.78199321494387686</v>
      </c>
      <c r="BH20" s="116">
        <f>+BG9+0.01-INT(BG9)</f>
        <v>0.79199321494387664</v>
      </c>
      <c r="BI20" s="117">
        <f>+BG9-INT(BG9)</f>
        <v>0.78199321494387686</v>
      </c>
      <c r="BJ20" s="116">
        <f>+BG9+0.5-INT(BG9+0.5)</f>
        <v>0.28199321494387686</v>
      </c>
      <c r="BK20" s="117">
        <f>+BG9-0.5-INT(BG9-0.5)</f>
        <v>0.28199321494387686</v>
      </c>
    </row>
    <row r="21" spans="1:63" x14ac:dyDescent="0.2">
      <c r="A21" s="575" t="s">
        <v>290</v>
      </c>
      <c r="B21" s="389"/>
      <c r="C21" s="389"/>
      <c r="D21" s="389"/>
      <c r="E21" s="389"/>
      <c r="F21" s="389"/>
      <c r="G21" s="576">
        <v>156.43</v>
      </c>
      <c r="H21" s="576"/>
      <c r="I21" s="576"/>
      <c r="J21" s="576"/>
      <c r="K21" s="577"/>
      <c r="M21" s="578">
        <f>IF($M$18=0,0,(100*A16*E16*E13/M13))</f>
        <v>38.775617078102904</v>
      </c>
      <c r="N21" s="579"/>
      <c r="O21" s="579"/>
      <c r="P21" s="579"/>
      <c r="Q21" s="579"/>
      <c r="R21" s="127"/>
      <c r="S21" s="580" t="s">
        <v>291</v>
      </c>
      <c r="T21" s="377"/>
      <c r="U21" s="377"/>
      <c r="V21" s="377"/>
      <c r="W21" s="377"/>
      <c r="X21" s="377"/>
      <c r="Y21" s="377"/>
      <c r="Z21" s="377"/>
      <c r="AA21" s="377"/>
      <c r="AB21" s="377"/>
      <c r="AC21" s="377"/>
      <c r="AD21" s="377"/>
      <c r="AE21" s="581"/>
      <c r="AF21" s="263"/>
      <c r="AG21" s="573">
        <f>IF($AG$18=0,0,(100*Z16*AD16*AD13/AL13))</f>
        <v>-432.41649863583984</v>
      </c>
      <c r="AH21" s="573"/>
      <c r="AI21" s="573"/>
      <c r="AJ21" s="573"/>
      <c r="AK21" s="574"/>
      <c r="AL21" s="25"/>
      <c r="AM21" s="575" t="s">
        <v>290</v>
      </c>
      <c r="AN21" s="389"/>
      <c r="AO21" s="389"/>
      <c r="AP21" s="389"/>
      <c r="AQ21" s="389"/>
      <c r="AR21" s="389"/>
      <c r="AS21" s="582">
        <v>156.03</v>
      </c>
      <c r="AT21" s="582"/>
      <c r="AU21" s="582"/>
      <c r="AV21" s="582"/>
      <c r="AW21" s="583"/>
      <c r="BA21" s="87"/>
      <c r="BB21" s="87"/>
      <c r="BC21" s="87"/>
      <c r="BD21" s="87"/>
      <c r="BE21" s="87"/>
      <c r="BF21" s="87"/>
      <c r="BG21" s="118">
        <f>IF(BG20&gt;0.5,1-BG20,BG20)</f>
        <v>0.21800678505612314</v>
      </c>
      <c r="BH21" s="119">
        <f>IF(BH20&gt;0.5,1-BH20,BH20)</f>
        <v>0.20800678505612336</v>
      </c>
      <c r="BI21" s="120">
        <f>IF(BI20&gt;0.5,1-BI20,BI20)</f>
        <v>0.21800678505612314</v>
      </c>
      <c r="BJ21" s="119">
        <f>IF(BJ20&gt;0.5,1-BJ20,BJ20)</f>
        <v>0.28199321494387686</v>
      </c>
      <c r="BK21" s="120">
        <f>IF(BK20&gt;0.5,1-BK20,BK20)</f>
        <v>0.28199321494387686</v>
      </c>
    </row>
    <row r="22" spans="1:63" x14ac:dyDescent="0.2">
      <c r="A22" s="575" t="s">
        <v>292</v>
      </c>
      <c r="B22" s="389"/>
      <c r="C22" s="389"/>
      <c r="D22" s="389"/>
      <c r="E22" s="389"/>
      <c r="F22" s="389"/>
      <c r="G22" s="576"/>
      <c r="H22" s="576"/>
      <c r="I22" s="576"/>
      <c r="J22" s="576"/>
      <c r="K22" s="577"/>
      <c r="M22" s="578">
        <f>IF($M$18=0,0,(50*E13*E13*(I16-M16)/M13))</f>
        <v>3.4121149101698425</v>
      </c>
      <c r="N22" s="579"/>
      <c r="O22" s="579"/>
      <c r="P22" s="579"/>
      <c r="Q22" s="579"/>
      <c r="R22" s="127"/>
      <c r="S22" s="580" t="s">
        <v>293</v>
      </c>
      <c r="T22" s="377"/>
      <c r="U22" s="377"/>
      <c r="V22" s="377"/>
      <c r="W22" s="377"/>
      <c r="X22" s="377"/>
      <c r="Y22" s="377"/>
      <c r="Z22" s="377"/>
      <c r="AA22" s="377"/>
      <c r="AB22" s="377"/>
      <c r="AC22" s="377"/>
      <c r="AD22" s="377"/>
      <c r="AE22" s="581"/>
      <c r="AF22" s="263"/>
      <c r="AG22" s="573">
        <f>IF($AG$18=0,0,(50*AD13*AD13*(AH16-AL16)/AL13))</f>
        <v>41.774942360439567</v>
      </c>
      <c r="AH22" s="573"/>
      <c r="AI22" s="573"/>
      <c r="AJ22" s="573"/>
      <c r="AK22" s="574"/>
      <c r="AL22" s="25"/>
      <c r="AM22" s="575" t="s">
        <v>292</v>
      </c>
      <c r="AN22" s="389"/>
      <c r="AO22" s="389"/>
      <c r="AP22" s="389"/>
      <c r="AQ22" s="389"/>
      <c r="AR22" s="389"/>
      <c r="AS22" s="582"/>
      <c r="AT22" s="582"/>
      <c r="AU22" s="582"/>
      <c r="AV22" s="582"/>
      <c r="AW22" s="583"/>
      <c r="BA22" s="133">
        <f>+BI17</f>
        <v>4.6401954850058571</v>
      </c>
      <c r="BB22" s="134" t="s">
        <v>254</v>
      </c>
      <c r="BC22" s="135"/>
      <c r="BD22" s="133">
        <f>+BI23</f>
        <v>-4.7869175030714262</v>
      </c>
      <c r="BE22" s="69"/>
      <c r="BF22" s="87"/>
      <c r="BG22" s="118"/>
      <c r="BH22" s="121">
        <f>((BH10-BH9)*BH20+BH9-BH19+0.5)</f>
        <v>29737.748560632714</v>
      </c>
      <c r="BI22" s="120"/>
      <c r="BJ22" s="119"/>
      <c r="BK22" s="120"/>
    </row>
    <row r="23" spans="1:63" x14ac:dyDescent="0.2">
      <c r="A23" s="575" t="s">
        <v>294</v>
      </c>
      <c r="B23" s="389"/>
      <c r="C23" s="389"/>
      <c r="D23" s="389"/>
      <c r="E23" s="389"/>
      <c r="F23" s="389"/>
      <c r="G23" s="576">
        <v>0</v>
      </c>
      <c r="H23" s="576"/>
      <c r="I23" s="576"/>
      <c r="J23" s="576"/>
      <c r="K23" s="577"/>
      <c r="M23" s="578">
        <f>+M21+M22</f>
        <v>42.187731988272745</v>
      </c>
      <c r="N23" s="579"/>
      <c r="O23" s="579"/>
      <c r="P23" s="579"/>
      <c r="Q23" s="579"/>
      <c r="R23" s="127"/>
      <c r="S23" s="580" t="s">
        <v>295</v>
      </c>
      <c r="T23" s="377"/>
      <c r="U23" s="377"/>
      <c r="V23" s="377"/>
      <c r="W23" s="377"/>
      <c r="X23" s="377"/>
      <c r="Y23" s="377"/>
      <c r="Z23" s="377"/>
      <c r="AA23" s="377"/>
      <c r="AB23" s="377"/>
      <c r="AC23" s="377"/>
      <c r="AD23" s="377"/>
      <c r="AE23" s="581"/>
      <c r="AF23" s="263"/>
      <c r="AG23" s="573">
        <f>+AG21+AG22</f>
        <v>-390.64155627540026</v>
      </c>
      <c r="AH23" s="573"/>
      <c r="AI23" s="573"/>
      <c r="AJ23" s="573"/>
      <c r="AK23" s="574"/>
      <c r="AL23" s="25"/>
      <c r="AM23" s="575" t="s">
        <v>294</v>
      </c>
      <c r="AN23" s="389"/>
      <c r="AO23" s="389"/>
      <c r="AP23" s="389"/>
      <c r="AQ23" s="389"/>
      <c r="AR23" s="389"/>
      <c r="AS23" s="582">
        <v>0</v>
      </c>
      <c r="AT23" s="582"/>
      <c r="AU23" s="582"/>
      <c r="AV23" s="582"/>
      <c r="AW23" s="583"/>
      <c r="BA23" s="133">
        <f>+BH17</f>
        <v>61.301999999996042</v>
      </c>
      <c r="BB23" s="134" t="s">
        <v>279</v>
      </c>
      <c r="BC23" s="135"/>
      <c r="BD23" s="133">
        <f>+BH23</f>
        <v>55.375666666666802</v>
      </c>
      <c r="BE23" s="69"/>
      <c r="BF23" s="87"/>
      <c r="BG23" s="136">
        <f>((BH10-BH9)*BG20+BH9-BG19+0.5)</f>
        <v>29682.372893966047</v>
      </c>
      <c r="BH23" s="123">
        <f>+BH22-BG23</f>
        <v>55.375666666666802</v>
      </c>
      <c r="BI23" s="124">
        <f>((BI10-BI9)*BI20+BI9-BI19)</f>
        <v>-4.7869175030714262</v>
      </c>
      <c r="BJ23" s="121">
        <f>((BK10-BK9)*BJ20+BK9-BJ19)</f>
        <v>687.98776930809174</v>
      </c>
      <c r="BK23" s="124">
        <f>((BJ10-BJ9)*BK20+BJ9-BK19)</f>
        <v>654.83057790249632</v>
      </c>
    </row>
    <row r="24" spans="1:63" x14ac:dyDescent="0.2">
      <c r="A24" s="575" t="s">
        <v>296</v>
      </c>
      <c r="B24" s="389"/>
      <c r="C24" s="389"/>
      <c r="D24" s="389"/>
      <c r="E24" s="389"/>
      <c r="F24" s="389"/>
      <c r="G24" s="576">
        <v>0</v>
      </c>
      <c r="H24" s="576"/>
      <c r="I24" s="576"/>
      <c r="J24" s="576"/>
      <c r="K24" s="577"/>
      <c r="M24" s="578">
        <f>ROUND(6*(Q16-U16)*(A9-E9),2)</f>
        <v>0</v>
      </c>
      <c r="N24" s="579"/>
      <c r="O24" s="579"/>
      <c r="P24" s="579"/>
      <c r="Q24" s="579"/>
      <c r="R24" s="127"/>
      <c r="S24" s="580" t="s">
        <v>297</v>
      </c>
      <c r="T24" s="377"/>
      <c r="U24" s="377"/>
      <c r="V24" s="377"/>
      <c r="W24" s="377"/>
      <c r="X24" s="377"/>
      <c r="Y24" s="377"/>
      <c r="Z24" s="377"/>
      <c r="AA24" s="377"/>
      <c r="AB24" s="377"/>
      <c r="AC24" s="377"/>
      <c r="AD24" s="377"/>
      <c r="AE24" s="581"/>
      <c r="AF24" s="263"/>
      <c r="AG24" s="573">
        <f>ROUND(6*(AP16-AT16)*(Z9-AD9),2)</f>
        <v>0</v>
      </c>
      <c r="AH24" s="573"/>
      <c r="AI24" s="573"/>
      <c r="AJ24" s="573"/>
      <c r="AK24" s="574"/>
      <c r="AL24" s="25"/>
      <c r="AM24" s="575" t="s">
        <v>296</v>
      </c>
      <c r="AN24" s="389"/>
      <c r="AO24" s="389"/>
      <c r="AP24" s="389"/>
      <c r="AQ24" s="389"/>
      <c r="AR24" s="389"/>
      <c r="AS24" s="582">
        <v>0</v>
      </c>
      <c r="AT24" s="582"/>
      <c r="AU24" s="582"/>
      <c r="AV24" s="582"/>
      <c r="AW24" s="583"/>
      <c r="BA24" s="133">
        <f>+BJ17</f>
        <v>913.01331127492051</v>
      </c>
      <c r="BB24" s="134" t="s">
        <v>280</v>
      </c>
      <c r="BC24" s="135"/>
      <c r="BD24" s="133">
        <f>+BJ23</f>
        <v>687.98776930809174</v>
      </c>
      <c r="BE24" s="69"/>
    </row>
    <row r="25" spans="1:63" x14ac:dyDescent="0.2">
      <c r="A25" s="575" t="s">
        <v>420</v>
      </c>
      <c r="B25" s="389"/>
      <c r="C25" s="389"/>
      <c r="D25" s="389"/>
      <c r="E25" s="389"/>
      <c r="F25" s="389"/>
      <c r="G25" s="576"/>
      <c r="H25" s="576"/>
      <c r="I25" s="576"/>
      <c r="J25" s="576"/>
      <c r="K25" s="577"/>
      <c r="M25" s="578">
        <f>+M20+M23+M24</f>
        <v>64676.571694963641</v>
      </c>
      <c r="N25" s="579"/>
      <c r="O25" s="579"/>
      <c r="P25" s="579"/>
      <c r="Q25" s="579"/>
      <c r="R25" s="127"/>
      <c r="S25" s="580" t="s">
        <v>298</v>
      </c>
      <c r="T25" s="377"/>
      <c r="U25" s="377"/>
      <c r="V25" s="377"/>
      <c r="W25" s="377"/>
      <c r="X25" s="377"/>
      <c r="Y25" s="377"/>
      <c r="Z25" s="377"/>
      <c r="AA25" s="377"/>
      <c r="AB25" s="377"/>
      <c r="AC25" s="377"/>
      <c r="AD25" s="377"/>
      <c r="AE25" s="581"/>
      <c r="AF25" s="263"/>
      <c r="AG25" s="573">
        <f>+AG20+AG23+AG24</f>
        <v>29631.731091990641</v>
      </c>
      <c r="AH25" s="573"/>
      <c r="AI25" s="573"/>
      <c r="AJ25" s="573"/>
      <c r="AK25" s="574"/>
      <c r="AL25" s="25"/>
      <c r="AM25" s="575" t="s">
        <v>420</v>
      </c>
      <c r="AN25" s="389"/>
      <c r="AO25" s="389"/>
      <c r="AP25" s="389"/>
      <c r="AQ25" s="389"/>
      <c r="AR25" s="389"/>
      <c r="AS25" s="582"/>
      <c r="AT25" s="582"/>
      <c r="AU25" s="582"/>
      <c r="AV25" s="582"/>
      <c r="AW25" s="583"/>
      <c r="BA25" s="133">
        <f>+BK17</f>
        <v>899.2574478555872</v>
      </c>
      <c r="BB25" s="134" t="s">
        <v>281</v>
      </c>
      <c r="BC25" s="135"/>
      <c r="BD25" s="133">
        <f>+BK23</f>
        <v>654.83057790249632</v>
      </c>
      <c r="BE25" s="69"/>
    </row>
    <row r="26" spans="1:63" ht="13.5" thickBot="1" x14ac:dyDescent="0.25">
      <c r="A26" s="588" t="s">
        <v>299</v>
      </c>
      <c r="B26" s="589"/>
      <c r="C26" s="589"/>
      <c r="D26" s="589"/>
      <c r="E26" s="589"/>
      <c r="F26" s="589"/>
      <c r="G26" s="590">
        <f>SUM(G18:K25)</f>
        <v>1916.89</v>
      </c>
      <c r="H26" s="590"/>
      <c r="I26" s="590"/>
      <c r="J26" s="590"/>
      <c r="K26" s="591"/>
      <c r="M26" s="592">
        <f>((I13-1.025)*M25)/1.025</f>
        <v>-378.59456601929975</v>
      </c>
      <c r="N26" s="593"/>
      <c r="O26" s="593"/>
      <c r="P26" s="593"/>
      <c r="Q26" s="593"/>
      <c r="R26" s="137"/>
      <c r="S26" s="594" t="s">
        <v>300</v>
      </c>
      <c r="T26" s="448"/>
      <c r="U26" s="448"/>
      <c r="V26" s="448"/>
      <c r="W26" s="448"/>
      <c r="X26" s="448"/>
      <c r="Y26" s="448"/>
      <c r="Z26" s="448"/>
      <c r="AA26" s="448"/>
      <c r="AB26" s="448"/>
      <c r="AC26" s="448"/>
      <c r="AD26" s="448"/>
      <c r="AE26" s="595"/>
      <c r="AF26" s="264"/>
      <c r="AG26" s="596">
        <f>((AH13-1.025)*AG25)/1.025</f>
        <v>-173.45403566043319</v>
      </c>
      <c r="AH26" s="596"/>
      <c r="AI26" s="596"/>
      <c r="AJ26" s="596"/>
      <c r="AK26" s="597"/>
      <c r="AL26" s="25"/>
      <c r="AM26" s="598" t="s">
        <v>299</v>
      </c>
      <c r="AN26" s="599"/>
      <c r="AO26" s="599"/>
      <c r="AP26" s="599"/>
      <c r="AQ26" s="599"/>
      <c r="AR26" s="599"/>
      <c r="AS26" s="600">
        <f>SUM(AS18:AW25)</f>
        <v>18199.726339999997</v>
      </c>
      <c r="AT26" s="600"/>
      <c r="AU26" s="600"/>
      <c r="AV26" s="600"/>
      <c r="AW26" s="601"/>
      <c r="BA26" s="133">
        <f>+BG17</f>
        <v>64799.777331630088</v>
      </c>
      <c r="BB26" s="134" t="s">
        <v>289</v>
      </c>
      <c r="BC26" s="135"/>
      <c r="BD26" s="133">
        <f>+BG23</f>
        <v>29682.372893966047</v>
      </c>
      <c r="BE26" s="69"/>
      <c r="BG26" s="138" t="s">
        <v>301</v>
      </c>
      <c r="BH26" s="138" t="s">
        <v>258</v>
      </c>
      <c r="BI26" s="138" t="s">
        <v>279</v>
      </c>
      <c r="BJ26" s="138" t="s">
        <v>254</v>
      </c>
      <c r="BK26" s="258" t="s">
        <v>383</v>
      </c>
    </row>
    <row r="27" spans="1:63" ht="12.75" customHeight="1" x14ac:dyDescent="0.2">
      <c r="A27" s="606" t="s">
        <v>302</v>
      </c>
      <c r="B27" s="607"/>
      <c r="C27" s="607"/>
      <c r="D27" s="607"/>
      <c r="E27" s="607"/>
      <c r="F27" s="607"/>
      <c r="G27" s="607"/>
      <c r="H27" s="607"/>
      <c r="I27" s="610" t="s">
        <v>303</v>
      </c>
      <c r="J27" s="610" t="s">
        <v>304</v>
      </c>
      <c r="K27" s="613" t="s">
        <v>305</v>
      </c>
      <c r="M27" s="578">
        <f>+M25+M26</f>
        <v>64297.977128944338</v>
      </c>
      <c r="N27" s="579"/>
      <c r="O27" s="579"/>
      <c r="P27" s="579"/>
      <c r="Q27" s="579"/>
      <c r="R27" s="127"/>
      <c r="S27" s="580" t="s">
        <v>306</v>
      </c>
      <c r="T27" s="377"/>
      <c r="U27" s="377"/>
      <c r="V27" s="377"/>
      <c r="W27" s="377"/>
      <c r="X27" s="377"/>
      <c r="Y27" s="377"/>
      <c r="Z27" s="377"/>
      <c r="AA27" s="377"/>
      <c r="AB27" s="377"/>
      <c r="AC27" s="377"/>
      <c r="AD27" s="377"/>
      <c r="AE27" s="581"/>
      <c r="AF27" s="263"/>
      <c r="AG27" s="573">
        <f>+AG25+AG26</f>
        <v>29458.277056330207</v>
      </c>
      <c r="AH27" s="573"/>
      <c r="AI27" s="573"/>
      <c r="AJ27" s="573"/>
      <c r="AK27" s="574"/>
      <c r="AL27" s="25"/>
      <c r="AM27" s="139"/>
      <c r="AN27" s="140"/>
      <c r="AO27" s="140"/>
      <c r="AP27" s="140"/>
      <c r="AQ27" s="140"/>
      <c r="AR27" s="140"/>
      <c r="AS27" s="140"/>
      <c r="AT27" s="140"/>
      <c r="AU27" s="140"/>
      <c r="AV27" s="140"/>
      <c r="AW27" s="141"/>
      <c r="BA27" s="133">
        <f>100*BA22*BA23*E13/M13</f>
        <v>120.72624133164497</v>
      </c>
      <c r="BB27" s="134" t="s">
        <v>291</v>
      </c>
      <c r="BC27" s="135"/>
      <c r="BD27" s="133">
        <f>100*BD22*BD23*AD13/M13</f>
        <v>-340.47083287267952</v>
      </c>
      <c r="BE27" s="69"/>
      <c r="BG27" s="133">
        <v>11.75</v>
      </c>
      <c r="BH27" s="150">
        <v>64357</v>
      </c>
      <c r="BI27" s="151">
        <v>59.62</v>
      </c>
      <c r="BJ27" s="152">
        <v>1.49</v>
      </c>
      <c r="BK27" s="143">
        <f>M13</f>
        <v>196.5</v>
      </c>
    </row>
    <row r="28" spans="1:63" x14ac:dyDescent="0.2">
      <c r="A28" s="608"/>
      <c r="B28" s="609"/>
      <c r="C28" s="609"/>
      <c r="D28" s="609"/>
      <c r="E28" s="609"/>
      <c r="F28" s="609"/>
      <c r="G28" s="609"/>
      <c r="H28" s="609"/>
      <c r="I28" s="611"/>
      <c r="J28" s="611"/>
      <c r="K28" s="614"/>
      <c r="M28" s="578">
        <f>+G26</f>
        <v>1916.89</v>
      </c>
      <c r="N28" s="579"/>
      <c r="O28" s="579"/>
      <c r="P28" s="579"/>
      <c r="Q28" s="579"/>
      <c r="R28" s="127"/>
      <c r="S28" s="580" t="s">
        <v>307</v>
      </c>
      <c r="T28" s="377"/>
      <c r="U28" s="377"/>
      <c r="V28" s="377"/>
      <c r="W28" s="377"/>
      <c r="X28" s="377"/>
      <c r="Y28" s="377"/>
      <c r="Z28" s="377"/>
      <c r="AA28" s="377"/>
      <c r="AB28" s="377"/>
      <c r="AC28" s="377"/>
      <c r="AD28" s="377"/>
      <c r="AE28" s="581"/>
      <c r="AF28" s="263"/>
      <c r="AG28" s="573">
        <f>+AS26</f>
        <v>18199.726339999997</v>
      </c>
      <c r="AH28" s="573"/>
      <c r="AI28" s="573"/>
      <c r="AJ28" s="573"/>
      <c r="AK28" s="574"/>
      <c r="AL28" s="25"/>
      <c r="AM28" s="144"/>
      <c r="AN28" s="25"/>
      <c r="AO28" s="25"/>
      <c r="AP28" s="25"/>
      <c r="AQ28" s="25"/>
      <c r="AR28" s="25"/>
      <c r="AS28" s="25"/>
      <c r="AT28" s="25"/>
      <c r="AU28" s="25"/>
      <c r="AV28" s="25"/>
      <c r="AW28" s="145"/>
      <c r="BA28" s="133">
        <f>50*E13*E13*(BA24-BA25)/M13</f>
        <v>2.4344560107106674</v>
      </c>
      <c r="BB28" s="134" t="s">
        <v>293</v>
      </c>
      <c r="BC28" s="135"/>
      <c r="BD28" s="133">
        <f>50*Z13*AD13*(BD24-BD25)/M13</f>
        <v>48.975691778522297</v>
      </c>
      <c r="BE28" s="69"/>
      <c r="BG28" s="146">
        <f>+BG4</f>
        <v>11.796462975372759</v>
      </c>
      <c r="BH28" s="147">
        <f>BH27+(BG28-BG27)*(BH29-BH27)/(BG29-BG27)</f>
        <v>64634.383962975371</v>
      </c>
      <c r="BI28" s="148">
        <f>BI27+(BG28-BG27)*(BI29-BI27)/(BG29-BG27)</f>
        <v>59.643231487686379</v>
      </c>
      <c r="BJ28" s="149">
        <f>BJ27+(BG28-BG27)*(BJ29-BJ27)/(BG29-BG27)</f>
        <v>1.5318166778354829</v>
      </c>
      <c r="BK28" s="149">
        <f>BK27/2</f>
        <v>98.25</v>
      </c>
    </row>
    <row r="29" spans="1:63" x14ac:dyDescent="0.2">
      <c r="A29" s="608"/>
      <c r="B29" s="609"/>
      <c r="C29" s="609"/>
      <c r="D29" s="609"/>
      <c r="E29" s="609"/>
      <c r="F29" s="609"/>
      <c r="G29" s="609"/>
      <c r="H29" s="609"/>
      <c r="I29" s="612"/>
      <c r="J29" s="612"/>
      <c r="K29" s="615"/>
      <c r="M29" s="602">
        <v>10787</v>
      </c>
      <c r="N29" s="603"/>
      <c r="O29" s="603"/>
      <c r="P29" s="603"/>
      <c r="Q29" s="603"/>
      <c r="R29" s="127"/>
      <c r="S29" s="580" t="s">
        <v>308</v>
      </c>
      <c r="T29" s="377"/>
      <c r="U29" s="377"/>
      <c r="V29" s="377"/>
      <c r="W29" s="377"/>
      <c r="X29" s="377"/>
      <c r="Y29" s="377"/>
      <c r="Z29" s="377"/>
      <c r="AA29" s="377"/>
      <c r="AB29" s="377"/>
      <c r="AC29" s="377"/>
      <c r="AD29" s="377"/>
      <c r="AE29" s="581"/>
      <c r="AF29" s="263"/>
      <c r="AG29" s="604">
        <f>IF(AG18=0,0,M29)</f>
        <v>10787</v>
      </c>
      <c r="AH29" s="604"/>
      <c r="AI29" s="604"/>
      <c r="AJ29" s="604"/>
      <c r="AK29" s="605"/>
      <c r="AL29" s="25"/>
      <c r="AM29" s="144"/>
      <c r="AN29" s="25" t="str">
        <f>General!H11</f>
        <v>Velez Rene Boy Enriquez</v>
      </c>
      <c r="AO29" s="25"/>
      <c r="AP29" s="25"/>
      <c r="AQ29" s="25"/>
      <c r="AR29" s="25"/>
      <c r="AS29" s="25"/>
      <c r="AT29" s="25"/>
      <c r="AU29" s="25"/>
      <c r="AV29" s="25"/>
      <c r="AW29" s="145"/>
      <c r="BA29" s="133">
        <f>+BA27+BA28</f>
        <v>123.16069734235563</v>
      </c>
      <c r="BB29" s="134" t="s">
        <v>295</v>
      </c>
      <c r="BC29" s="135"/>
      <c r="BD29" s="133">
        <f>+BD27+BD28</f>
        <v>-291.49514109415725</v>
      </c>
      <c r="BE29" s="69"/>
      <c r="BG29" s="150">
        <v>11.85</v>
      </c>
      <c r="BH29" s="150">
        <v>64954</v>
      </c>
      <c r="BI29" s="151">
        <v>59.67</v>
      </c>
      <c r="BJ29" s="152">
        <v>1.58</v>
      </c>
      <c r="BK29" s="143">
        <v>90.49</v>
      </c>
    </row>
    <row r="30" spans="1:63" x14ac:dyDescent="0.2">
      <c r="A30" s="575" t="s">
        <v>309</v>
      </c>
      <c r="B30" s="389"/>
      <c r="C30" s="389"/>
      <c r="D30" s="389"/>
      <c r="E30" s="389"/>
      <c r="F30" s="389"/>
      <c r="G30" s="389"/>
      <c r="H30" s="622"/>
      <c r="I30" s="154" t="s">
        <v>265</v>
      </c>
      <c r="J30" s="154"/>
      <c r="K30" s="155"/>
      <c r="M30" s="602">
        <v>300</v>
      </c>
      <c r="N30" s="603"/>
      <c r="O30" s="603"/>
      <c r="P30" s="603"/>
      <c r="Q30" s="603"/>
      <c r="R30" s="127"/>
      <c r="S30" s="623" t="s">
        <v>310</v>
      </c>
      <c r="T30" s="378"/>
      <c r="U30" s="378"/>
      <c r="V30" s="378"/>
      <c r="W30" s="378"/>
      <c r="X30" s="378"/>
      <c r="Y30" s="378"/>
      <c r="Z30" s="378"/>
      <c r="AA30" s="378"/>
      <c r="AB30" s="378"/>
      <c r="AC30" s="378"/>
      <c r="AD30" s="378"/>
      <c r="AE30" s="587"/>
      <c r="AF30" s="624"/>
      <c r="AG30" s="625"/>
      <c r="AH30" s="625"/>
      <c r="AI30" s="625"/>
      <c r="AJ30" s="625"/>
      <c r="AK30" s="626"/>
      <c r="AL30" s="25"/>
      <c r="AM30" s="144"/>
      <c r="AN30" s="12"/>
      <c r="AO30" s="12"/>
      <c r="AP30" s="12"/>
      <c r="AQ30" s="12"/>
      <c r="AR30" s="1" t="s">
        <v>248</v>
      </c>
      <c r="AS30" s="12"/>
      <c r="AT30" s="12"/>
      <c r="AU30" s="12"/>
      <c r="AV30" s="12"/>
      <c r="AW30" s="145"/>
      <c r="BA30" s="133"/>
      <c r="BB30" s="134" t="s">
        <v>297</v>
      </c>
      <c r="BC30" s="135"/>
      <c r="BD30" s="133"/>
      <c r="BE30" s="69"/>
      <c r="BG30" s="138">
        <v>42452.2</v>
      </c>
      <c r="BH30" s="138" t="s">
        <v>312</v>
      </c>
      <c r="BI30" s="138" t="s">
        <v>313</v>
      </c>
      <c r="BJ30" s="138" t="s">
        <v>314</v>
      </c>
      <c r="BK30" s="259">
        <f>BK28-BK29</f>
        <v>7.7600000000000051</v>
      </c>
    </row>
    <row r="31" spans="1:63" x14ac:dyDescent="0.2">
      <c r="A31" s="575" t="s">
        <v>315</v>
      </c>
      <c r="B31" s="389"/>
      <c r="C31" s="389"/>
      <c r="D31" s="389"/>
      <c r="E31" s="389"/>
      <c r="F31" s="389"/>
      <c r="G31" s="389"/>
      <c r="H31" s="622"/>
      <c r="I31" s="154" t="s">
        <v>265</v>
      </c>
      <c r="J31" s="154"/>
      <c r="K31" s="155"/>
      <c r="M31" s="578">
        <f>IF(M30=0,(M27-M28-M29),0)</f>
        <v>0</v>
      </c>
      <c r="N31" s="579"/>
      <c r="O31" s="579"/>
      <c r="P31" s="579"/>
      <c r="Q31" s="579"/>
      <c r="R31" s="127"/>
      <c r="S31" s="580" t="s">
        <v>316</v>
      </c>
      <c r="T31" s="377"/>
      <c r="U31" s="377"/>
      <c r="V31" s="377"/>
      <c r="W31" s="377"/>
      <c r="X31" s="377"/>
      <c r="Y31" s="377"/>
      <c r="Z31" s="377"/>
      <c r="AA31" s="377"/>
      <c r="AB31" s="377"/>
      <c r="AC31" s="377"/>
      <c r="AD31" s="377"/>
      <c r="AE31" s="581"/>
      <c r="AF31" s="263"/>
      <c r="AG31" s="573">
        <f>IF(AG18=0,0,(IF(M30=0,M31,AG27-AG28-AG29)))</f>
        <v>471.55071633020998</v>
      </c>
      <c r="AH31" s="573"/>
      <c r="AI31" s="573"/>
      <c r="AJ31" s="573"/>
      <c r="AK31" s="574"/>
      <c r="AL31" s="25"/>
      <c r="AM31" s="144"/>
      <c r="AN31" s="25"/>
      <c r="AO31" s="25"/>
      <c r="AP31" s="25"/>
      <c r="AQ31" s="25"/>
      <c r="AR31" s="25"/>
      <c r="AS31" s="25"/>
      <c r="AT31" s="25"/>
      <c r="AU31" s="25"/>
      <c r="AV31" s="25"/>
      <c r="AW31" s="145"/>
      <c r="BA31" s="133">
        <f>+BA26+BA29+BA30</f>
        <v>64922.938028972443</v>
      </c>
      <c r="BB31" s="134" t="s">
        <v>317</v>
      </c>
      <c r="BC31" s="135"/>
      <c r="BD31" s="133">
        <f>+BD26+BD29+BD30</f>
        <v>29390.877752871889</v>
      </c>
      <c r="BE31" s="69"/>
      <c r="BG31" s="133">
        <f>BG27+0.5</f>
        <v>12.25</v>
      </c>
      <c r="BH31" s="133">
        <v>852.71</v>
      </c>
      <c r="BI31" s="156">
        <f>+BG31-1</f>
        <v>11.25</v>
      </c>
      <c r="BJ31" s="133">
        <v>833.1</v>
      </c>
    </row>
    <row r="32" spans="1:63" x14ac:dyDescent="0.2">
      <c r="A32" s="126" t="s">
        <v>318</v>
      </c>
      <c r="B32" s="48"/>
      <c r="C32" s="48"/>
      <c r="D32" s="48"/>
      <c r="E32" s="48"/>
      <c r="F32" s="48"/>
      <c r="G32" s="48"/>
      <c r="H32" s="153"/>
      <c r="I32" s="154"/>
      <c r="J32" s="154" t="s">
        <v>265</v>
      </c>
      <c r="K32" s="155"/>
      <c r="M32" s="578">
        <f>+M27-M28</f>
        <v>62381.087128944338</v>
      </c>
      <c r="N32" s="579"/>
      <c r="O32" s="579"/>
      <c r="P32" s="579"/>
      <c r="Q32" s="579"/>
      <c r="R32" s="127"/>
      <c r="S32" s="580" t="s">
        <v>319</v>
      </c>
      <c r="T32" s="377"/>
      <c r="U32" s="377"/>
      <c r="V32" s="377"/>
      <c r="W32" s="377"/>
      <c r="X32" s="377"/>
      <c r="Y32" s="377"/>
      <c r="Z32" s="377"/>
      <c r="AA32" s="377"/>
      <c r="AB32" s="377"/>
      <c r="AC32" s="377"/>
      <c r="AD32" s="377"/>
      <c r="AE32" s="581"/>
      <c r="AF32" s="263"/>
      <c r="AG32" s="573">
        <f>IF(AG18=0,0,M32)</f>
        <v>62381.087128944338</v>
      </c>
      <c r="AH32" s="573"/>
      <c r="AI32" s="573"/>
      <c r="AJ32" s="573"/>
      <c r="AK32" s="574"/>
      <c r="AL32" s="25"/>
      <c r="AM32" s="144"/>
      <c r="AN32" s="25" t="str">
        <f>General!H10</f>
        <v>Sunday Val m. Sobremonte</v>
      </c>
      <c r="AO32" s="25"/>
      <c r="AP32" s="25"/>
      <c r="AQ32" s="25"/>
      <c r="AR32" s="25"/>
      <c r="AS32" s="25"/>
      <c r="AT32" s="25"/>
      <c r="AU32" s="25"/>
      <c r="AV32" s="25"/>
      <c r="AW32" s="145"/>
      <c r="BA32" s="133">
        <f>+BA31-M25</f>
        <v>246.36633400880237</v>
      </c>
      <c r="BB32" s="134" t="s">
        <v>320</v>
      </c>
      <c r="BC32" s="135"/>
      <c r="BD32" s="133">
        <f>+BD31-AG25</f>
        <v>-240.85333911875205</v>
      </c>
      <c r="BE32" s="69"/>
      <c r="BG32" s="157">
        <f>+BG28+0.5</f>
        <v>12.296462975372759</v>
      </c>
      <c r="BH32" s="147">
        <f>BH31+(BG32-BG31)*(BH33-BH31)/(BG33-BG31)</f>
        <v>853.45805390350142</v>
      </c>
      <c r="BI32" s="158">
        <f>+BG32-1</f>
        <v>11.296462975372759</v>
      </c>
      <c r="BJ32" s="159">
        <f>BJ31+(BI32-BI31)*(BJ33-BJ31)/(BI33-BI31)</f>
        <v>834.17794102864798</v>
      </c>
    </row>
    <row r="33" spans="1:62" ht="13.5" thickBot="1" x14ac:dyDescent="0.25">
      <c r="A33" s="126" t="s">
        <v>321</v>
      </c>
      <c r="B33" s="48"/>
      <c r="C33" s="48"/>
      <c r="D33" s="48"/>
      <c r="E33" s="48"/>
      <c r="F33" s="48"/>
      <c r="G33" s="48"/>
      <c r="H33" s="153"/>
      <c r="I33" s="154"/>
      <c r="J33" s="154" t="s">
        <v>265</v>
      </c>
      <c r="K33" s="155"/>
      <c r="M33" s="616"/>
      <c r="N33" s="617"/>
      <c r="O33" s="617"/>
      <c r="P33" s="617"/>
      <c r="Q33" s="617"/>
      <c r="R33" s="618"/>
      <c r="S33" s="619" t="s">
        <v>322</v>
      </c>
      <c r="T33" s="620"/>
      <c r="U33" s="620"/>
      <c r="V33" s="620"/>
      <c r="W33" s="620"/>
      <c r="X33" s="620"/>
      <c r="Y33" s="620"/>
      <c r="Z33" s="620"/>
      <c r="AA33" s="620"/>
      <c r="AB33" s="620"/>
      <c r="AC33" s="620"/>
      <c r="AD33" s="620"/>
      <c r="AE33" s="621"/>
      <c r="AF33" s="263"/>
      <c r="AG33" s="573">
        <f>+AG27-AG28</f>
        <v>11258.55071633021</v>
      </c>
      <c r="AH33" s="573"/>
      <c r="AI33" s="573"/>
      <c r="AJ33" s="573"/>
      <c r="AK33" s="574"/>
      <c r="AL33" s="25"/>
      <c r="AM33" s="144"/>
      <c r="AN33" s="12"/>
      <c r="AO33" s="12"/>
      <c r="AP33" s="12"/>
      <c r="AQ33" s="12"/>
      <c r="AR33" s="1" t="s">
        <v>247</v>
      </c>
      <c r="AS33" s="12"/>
      <c r="AT33" s="12"/>
      <c r="AU33" s="12"/>
      <c r="AV33" s="12"/>
      <c r="AW33" s="145"/>
      <c r="BG33" s="133">
        <f>BG29+0.5</f>
        <v>12.35</v>
      </c>
      <c r="BH33" s="133">
        <v>854.32</v>
      </c>
      <c r="BI33" s="156">
        <f>+BG33-1</f>
        <v>11.35</v>
      </c>
      <c r="BJ33" s="133">
        <v>835.42</v>
      </c>
    </row>
    <row r="34" spans="1:62" ht="13.5" thickBot="1" x14ac:dyDescent="0.25">
      <c r="A34" s="126" t="s">
        <v>323</v>
      </c>
      <c r="B34" s="48"/>
      <c r="C34" s="48"/>
      <c r="D34" s="48"/>
      <c r="E34" s="48"/>
      <c r="F34" s="48"/>
      <c r="G34" s="48"/>
      <c r="H34" s="153"/>
      <c r="I34" s="160" t="s">
        <v>265</v>
      </c>
      <c r="J34" s="160"/>
      <c r="K34" s="161"/>
      <c r="M34" s="641">
        <f>IF(M30=0,M31,M27-M28-M29-M30)</f>
        <v>51294.087128944338</v>
      </c>
      <c r="N34" s="642"/>
      <c r="O34" s="642"/>
      <c r="P34" s="642"/>
      <c r="Q34" s="642"/>
      <c r="R34" s="162"/>
      <c r="S34" s="643" t="s">
        <v>324</v>
      </c>
      <c r="T34" s="643"/>
      <c r="U34" s="643"/>
      <c r="V34" s="643"/>
      <c r="W34" s="643"/>
      <c r="X34" s="644"/>
      <c r="Y34" s="645" t="s">
        <v>325</v>
      </c>
      <c r="Z34" s="646"/>
      <c r="AA34" s="646"/>
      <c r="AB34" s="646"/>
      <c r="AC34" s="646"/>
      <c r="AD34" s="646"/>
      <c r="AE34" s="646"/>
      <c r="AF34" s="267"/>
      <c r="AG34" s="647">
        <f>ABS(+AG32-AG33)</f>
        <v>51122.536412614128</v>
      </c>
      <c r="AH34" s="647"/>
      <c r="AI34" s="647"/>
      <c r="AJ34" s="647"/>
      <c r="AK34" s="648"/>
      <c r="AL34" s="25"/>
      <c r="AM34" s="144"/>
      <c r="AN34" s="25"/>
      <c r="AO34" s="25"/>
      <c r="AP34" s="25"/>
      <c r="AQ34" s="25"/>
      <c r="AR34" s="25"/>
      <c r="AS34" s="25"/>
      <c r="AT34" s="25"/>
      <c r="AU34" s="25"/>
      <c r="AV34" s="25"/>
      <c r="AW34" s="145"/>
      <c r="BB34" s="163" t="s">
        <v>326</v>
      </c>
      <c r="BG34" s="25"/>
      <c r="BH34" s="25"/>
      <c r="BI34" s="25"/>
      <c r="BJ34" s="25"/>
    </row>
    <row r="35" spans="1:62" ht="13.5" thickBot="1" x14ac:dyDescent="0.25">
      <c r="A35" s="126" t="s">
        <v>327</v>
      </c>
      <c r="B35" s="48"/>
      <c r="C35" s="48"/>
      <c r="D35" s="48"/>
      <c r="E35" s="48"/>
      <c r="F35" s="48"/>
      <c r="G35" s="48"/>
      <c r="H35" s="153"/>
      <c r="I35" s="160" t="s">
        <v>265</v>
      </c>
      <c r="J35" s="160"/>
      <c r="K35" s="161"/>
      <c r="M35" s="649">
        <v>51045.423000000003</v>
      </c>
      <c r="N35" s="650"/>
      <c r="O35" s="650"/>
      <c r="P35" s="650"/>
      <c r="Q35" s="650"/>
      <c r="R35" s="164"/>
      <c r="S35" s="651" t="s">
        <v>328</v>
      </c>
      <c r="T35" s="652"/>
      <c r="U35" s="652"/>
      <c r="V35" s="652"/>
      <c r="W35" s="652"/>
      <c r="X35" s="652"/>
      <c r="Y35" s="652"/>
      <c r="Z35" s="652"/>
      <c r="AA35" s="652"/>
      <c r="AB35" s="652"/>
      <c r="AC35" s="652"/>
      <c r="AD35" s="652"/>
      <c r="AE35" s="653"/>
      <c r="AF35" s="265"/>
      <c r="AG35" s="654">
        <v>51045.42</v>
      </c>
      <c r="AH35" s="654"/>
      <c r="AI35" s="654"/>
      <c r="AJ35" s="654"/>
      <c r="AK35" s="655"/>
      <c r="AL35" s="25"/>
      <c r="AM35" s="144"/>
      <c r="AN35" s="25" t="str">
        <f>General!AB10</f>
        <v xml:space="preserve">MANFRED BOLAÑOS </v>
      </c>
      <c r="AO35" s="25"/>
      <c r="AP35" s="25"/>
      <c r="AQ35" s="25"/>
      <c r="AR35" s="25"/>
      <c r="AS35" s="25"/>
      <c r="AT35" s="25"/>
      <c r="AU35" s="25"/>
      <c r="AV35" s="25"/>
      <c r="AW35" s="145"/>
      <c r="BA35" s="165">
        <f>+A8</f>
        <v>11.43</v>
      </c>
      <c r="BB35" s="166">
        <f>+BB36</f>
        <v>28.3</v>
      </c>
      <c r="BC35" s="167">
        <f>BA35+BB35*((BC36-BA36)/BB36)</f>
        <v>11.44</v>
      </c>
      <c r="BG35" s="168" t="s">
        <v>301</v>
      </c>
      <c r="BH35" s="168" t="s">
        <v>258</v>
      </c>
      <c r="BI35" s="168" t="s">
        <v>279</v>
      </c>
      <c r="BJ35" s="168" t="s">
        <v>254</v>
      </c>
    </row>
    <row r="36" spans="1:62" ht="13.5" thickBot="1" x14ac:dyDescent="0.25">
      <c r="A36" s="575" t="s">
        <v>329</v>
      </c>
      <c r="B36" s="389"/>
      <c r="C36" s="389"/>
      <c r="D36" s="389"/>
      <c r="E36" s="389"/>
      <c r="F36" s="389"/>
      <c r="G36" s="389"/>
      <c r="H36" s="622"/>
      <c r="I36" s="160" t="s">
        <v>265</v>
      </c>
      <c r="J36" s="160"/>
      <c r="K36" s="161"/>
      <c r="M36" s="627">
        <f>+M34-M35</f>
        <v>248.66412894433597</v>
      </c>
      <c r="N36" s="628"/>
      <c r="O36" s="628"/>
      <c r="P36" s="628"/>
      <c r="Q36" s="628"/>
      <c r="R36" s="164"/>
      <c r="S36" s="629" t="s">
        <v>320</v>
      </c>
      <c r="T36" s="630"/>
      <c r="U36" s="630"/>
      <c r="V36" s="630"/>
      <c r="W36" s="378"/>
      <c r="X36" s="378"/>
      <c r="Y36" s="378"/>
      <c r="Z36" s="378"/>
      <c r="AA36" s="378"/>
      <c r="AB36" s="630"/>
      <c r="AC36" s="630"/>
      <c r="AD36" s="630"/>
      <c r="AE36" s="631"/>
      <c r="AF36" s="265"/>
      <c r="AG36" s="632">
        <f>+AG34-AG35</f>
        <v>77.11641261413024</v>
      </c>
      <c r="AH36" s="632"/>
      <c r="AI36" s="632"/>
      <c r="AJ36" s="632"/>
      <c r="AK36" s="633"/>
      <c r="AL36" s="25"/>
      <c r="AM36" s="169"/>
      <c r="AN36" s="12"/>
      <c r="AO36" s="12"/>
      <c r="AP36" s="12"/>
      <c r="AQ36" s="12"/>
      <c r="AR36" s="1" t="s">
        <v>330</v>
      </c>
      <c r="AS36" s="12"/>
      <c r="AT36" s="12"/>
      <c r="AU36" s="12"/>
      <c r="AV36" s="12"/>
      <c r="AW36" s="145"/>
      <c r="BA36" s="170">
        <f>+A9</f>
        <v>11.78</v>
      </c>
      <c r="BB36" s="171">
        <f>+General!M21</f>
        <v>28.3</v>
      </c>
      <c r="BC36" s="172">
        <f>+E9</f>
        <v>11.79</v>
      </c>
      <c r="BG36" s="133">
        <v>5.5</v>
      </c>
      <c r="BH36" s="133">
        <v>28470</v>
      </c>
      <c r="BI36" s="142">
        <v>54.9</v>
      </c>
      <c r="BJ36" s="143">
        <v>-6.39</v>
      </c>
    </row>
    <row r="37" spans="1:62" ht="16.899999999999999" customHeight="1" thickBot="1" x14ac:dyDescent="0.25">
      <c r="A37" s="634" t="s">
        <v>382</v>
      </c>
      <c r="B37" s="635"/>
      <c r="C37" s="635"/>
      <c r="D37" s="635"/>
      <c r="E37" s="635"/>
      <c r="F37" s="635"/>
      <c r="G37" s="635"/>
      <c r="H37" s="635"/>
      <c r="I37" s="635"/>
      <c r="J37" s="635"/>
      <c r="K37" s="635"/>
      <c r="L37" s="635"/>
      <c r="M37" s="635"/>
      <c r="N37" s="635"/>
      <c r="O37" s="635"/>
      <c r="P37" s="635"/>
      <c r="Q37" s="635"/>
      <c r="R37" s="635"/>
      <c r="S37" s="635"/>
      <c r="T37" s="635"/>
      <c r="U37" s="635"/>
      <c r="V37" s="635"/>
      <c r="W37" s="637"/>
      <c r="X37" s="637"/>
      <c r="Y37" s="637"/>
      <c r="Z37" s="637"/>
      <c r="AA37" s="637"/>
      <c r="AB37" s="639"/>
      <c r="AC37" s="639"/>
      <c r="AD37" s="639"/>
      <c r="AE37" s="639"/>
      <c r="AF37" s="639"/>
      <c r="AG37" s="639"/>
      <c r="AH37" s="639"/>
      <c r="AI37" s="639"/>
      <c r="AJ37" s="639"/>
      <c r="AK37" s="639"/>
      <c r="AL37" s="639"/>
      <c r="AM37" s="639"/>
      <c r="AN37" s="639"/>
      <c r="AO37" s="639"/>
      <c r="AP37" s="639"/>
      <c r="AQ37" s="639"/>
      <c r="AR37" s="639"/>
      <c r="AS37" s="639"/>
      <c r="AT37" s="639"/>
      <c r="AU37" s="639"/>
      <c r="AV37" s="639"/>
      <c r="AW37" s="639"/>
      <c r="BA37" s="173">
        <f>+A10</f>
        <v>12.19</v>
      </c>
      <c r="BB37" s="174">
        <f>+BB36</f>
        <v>28.3</v>
      </c>
      <c r="BC37" s="167">
        <f>BA37+BB37*((BC36-BA36)/BB36)</f>
        <v>12.2</v>
      </c>
      <c r="BG37" s="146">
        <f>+AQ13</f>
        <v>5.7819932149438769</v>
      </c>
      <c r="BH37" s="147">
        <f>BH36+(BG37-BG36)*(BH38-BH36)/(BG38-BG36)</f>
        <v>30022.372648266042</v>
      </c>
      <c r="BI37" s="148">
        <f>BI36+(BG37-BG36)*(BI38-BI36)/(BG38-BG36)</f>
        <v>55.118544741581502</v>
      </c>
      <c r="BJ37" s="149">
        <f>BJ36+(BG37-BG36)*(BJ38-BJ36)/(BG38-BG36)</f>
        <v>-6.1080067850561237</v>
      </c>
    </row>
    <row r="38" spans="1:62" ht="12" customHeight="1" thickBot="1" x14ac:dyDescent="0.25">
      <c r="A38" s="636"/>
      <c r="B38" s="636"/>
      <c r="C38" s="636"/>
      <c r="D38" s="636"/>
      <c r="E38" s="636"/>
      <c r="F38" s="636"/>
      <c r="G38" s="636"/>
      <c r="H38" s="636"/>
      <c r="I38" s="636"/>
      <c r="J38" s="636"/>
      <c r="K38" s="636"/>
      <c r="L38" s="636"/>
      <c r="M38" s="636"/>
      <c r="N38" s="636"/>
      <c r="O38" s="636"/>
      <c r="P38" s="636"/>
      <c r="Q38" s="636"/>
      <c r="R38" s="636"/>
      <c r="S38" s="636"/>
      <c r="T38" s="636"/>
      <c r="U38" s="636"/>
      <c r="V38" s="636"/>
      <c r="W38" s="638"/>
      <c r="X38" s="638"/>
      <c r="Y38" s="638"/>
      <c r="Z38" s="638"/>
      <c r="AA38" s="638"/>
      <c r="AB38" s="640"/>
      <c r="AC38" s="640"/>
      <c r="AD38" s="640"/>
      <c r="AE38" s="640"/>
      <c r="AF38" s="640"/>
      <c r="AG38" s="640"/>
      <c r="AH38" s="640"/>
      <c r="AI38" s="640"/>
      <c r="AJ38" s="640"/>
      <c r="AK38" s="640"/>
      <c r="AL38" s="640"/>
      <c r="AM38" s="640"/>
      <c r="AN38" s="640"/>
      <c r="AO38" s="640"/>
      <c r="AP38" s="640"/>
      <c r="AQ38" s="640"/>
      <c r="AR38" s="640"/>
      <c r="AS38" s="640"/>
      <c r="AT38" s="640"/>
      <c r="AU38" s="640"/>
      <c r="AV38" s="640"/>
      <c r="AW38" s="640"/>
      <c r="BA38" s="175" t="s">
        <v>331</v>
      </c>
      <c r="BB38" s="176">
        <f>ROUND((ATAN((BA36-BC36)/BB36)*180/PI()),2)</f>
        <v>-0.02</v>
      </c>
      <c r="BC38" s="177" t="s">
        <v>332</v>
      </c>
      <c r="BG38" s="150">
        <v>5.9</v>
      </c>
      <c r="BH38" s="150">
        <v>30672</v>
      </c>
      <c r="BI38" s="151">
        <v>55.21</v>
      </c>
      <c r="BJ38" s="152">
        <v>-5.99</v>
      </c>
    </row>
    <row r="39" spans="1:62" ht="13.5" thickBot="1" x14ac:dyDescent="0.25">
      <c r="BA39" s="167">
        <f>BC39+BB39*((BA40-BC40)/BB40)</f>
        <v>11.43</v>
      </c>
      <c r="BB39" s="166">
        <f>+BB40</f>
        <v>28.3</v>
      </c>
      <c r="BC39" s="165">
        <f>+E8</f>
        <v>11.44</v>
      </c>
      <c r="BG39" s="168" t="s">
        <v>311</v>
      </c>
      <c r="BH39" s="168" t="s">
        <v>312</v>
      </c>
      <c r="BI39" s="168" t="s">
        <v>313</v>
      </c>
      <c r="BJ39" s="168" t="s">
        <v>314</v>
      </c>
    </row>
    <row r="40" spans="1:62" ht="13.5" thickBot="1" x14ac:dyDescent="0.25">
      <c r="BA40" s="172">
        <f>+A9</f>
        <v>11.78</v>
      </c>
      <c r="BB40" s="171">
        <f>+BB36</f>
        <v>28.3</v>
      </c>
      <c r="BC40" s="170">
        <f>+E9</f>
        <v>11.79</v>
      </c>
      <c r="BG40" s="133">
        <f>BG36+0.5</f>
        <v>6</v>
      </c>
      <c r="BH40" s="133">
        <v>675.4</v>
      </c>
      <c r="BI40" s="156">
        <f>+BG40-1</f>
        <v>5</v>
      </c>
      <c r="BJ40" s="133">
        <v>651.96</v>
      </c>
    </row>
    <row r="41" spans="1:62" ht="13.5" thickBot="1" x14ac:dyDescent="0.25">
      <c r="BA41" s="167">
        <f>BC41+BB41*((BA40-BC40)/BB40)</f>
        <v>12.19</v>
      </c>
      <c r="BB41" s="174">
        <f>+BB40</f>
        <v>28.3</v>
      </c>
      <c r="BC41" s="173">
        <f>+E10</f>
        <v>12.2</v>
      </c>
      <c r="BG41" s="157">
        <f>+BG37+0.5</f>
        <v>6.2819932149438769</v>
      </c>
      <c r="BH41" s="147">
        <f>BH40+(BG41-BG40)*(BH42-BH40)/(BG42-BG40)</f>
        <v>683.46500594739484</v>
      </c>
      <c r="BI41" s="158">
        <f>+BG41-1</f>
        <v>5.2819932149438769</v>
      </c>
      <c r="BJ41" s="159">
        <f>BJ40+(BI41-BI40)*(BJ42-BJ40)/(BI42-BI40)</f>
        <v>657.69151209373433</v>
      </c>
    </row>
    <row r="42" spans="1:62" ht="13.5" thickBot="1" x14ac:dyDescent="0.25">
      <c r="BA42" s="175" t="s">
        <v>331</v>
      </c>
      <c r="BB42" s="176">
        <f>ROUND((ATAN((BC40-BA40)/BB40)*180/PI()),2)</f>
        <v>0.02</v>
      </c>
      <c r="BC42" s="177" t="s">
        <v>332</v>
      </c>
      <c r="BG42" s="133">
        <f>BG38+0.5</f>
        <v>6.4</v>
      </c>
      <c r="BH42" s="133">
        <v>686.84</v>
      </c>
      <c r="BI42" s="156">
        <f>+BG42-1</f>
        <v>5.4</v>
      </c>
      <c r="BJ42" s="133">
        <v>660.09</v>
      </c>
    </row>
    <row r="45" spans="1:62" ht="13.5" thickBot="1" x14ac:dyDescent="0.25">
      <c r="BB45" s="163" t="s">
        <v>333</v>
      </c>
    </row>
    <row r="46" spans="1:62" ht="13.5" thickBot="1" x14ac:dyDescent="0.25">
      <c r="BA46" s="165">
        <f>+Z8</f>
        <v>4.6500000000000004</v>
      </c>
      <c r="BB46" s="166">
        <f>+BB47</f>
        <v>28.3</v>
      </c>
      <c r="BC46" s="178">
        <f>BA46+BB46*((BC47-BA47)/BB47)</f>
        <v>4.6500000000000004</v>
      </c>
    </row>
    <row r="47" spans="1:62" ht="13.5" thickBot="1" x14ac:dyDescent="0.25">
      <c r="BA47" s="170">
        <f>+Z9</f>
        <v>5.76</v>
      </c>
      <c r="BB47" s="171">
        <f>+BB36</f>
        <v>28.3</v>
      </c>
      <c r="BC47" s="172">
        <f>+AD9</f>
        <v>5.76</v>
      </c>
    </row>
    <row r="48" spans="1:62" ht="13.5" thickBot="1" x14ac:dyDescent="0.25">
      <c r="BA48" s="173">
        <f>+Z10</f>
        <v>6.95</v>
      </c>
      <c r="BB48" s="174">
        <f>+BB47</f>
        <v>28.3</v>
      </c>
      <c r="BC48" s="178">
        <f>BA48+BB48*((BC47-BA47)/BB47)</f>
        <v>6.95</v>
      </c>
    </row>
    <row r="49" spans="53:55" ht="13.5" thickBot="1" x14ac:dyDescent="0.25">
      <c r="BA49" s="175" t="s">
        <v>331</v>
      </c>
      <c r="BB49" s="176">
        <f>ROUND((ATAN((BA47-BC47)/BB47)*180/PI()),2)</f>
        <v>0</v>
      </c>
      <c r="BC49" s="177" t="s">
        <v>332</v>
      </c>
    </row>
    <row r="50" spans="53:55" ht="13.5" thickBot="1" x14ac:dyDescent="0.25">
      <c r="BA50" s="178">
        <f>BC50+BB50*((BA51-BC51)/BB51)</f>
        <v>4.6500000000000004</v>
      </c>
      <c r="BB50" s="166">
        <f>+BB51</f>
        <v>28.3</v>
      </c>
      <c r="BC50" s="165">
        <f>+AD8</f>
        <v>4.6500000000000004</v>
      </c>
    </row>
    <row r="51" spans="53:55" ht="13.5" thickBot="1" x14ac:dyDescent="0.25">
      <c r="BA51" s="172">
        <f>+Z9</f>
        <v>5.76</v>
      </c>
      <c r="BB51" s="171">
        <f>+BB47</f>
        <v>28.3</v>
      </c>
      <c r="BC51" s="170">
        <f>+AD9</f>
        <v>5.76</v>
      </c>
    </row>
    <row r="52" spans="53:55" ht="13.5" thickBot="1" x14ac:dyDescent="0.25">
      <c r="BA52" s="178">
        <f>BC52+BB52*((BA51-BC51)/BB51)</f>
        <v>6.95</v>
      </c>
      <c r="BB52" s="174">
        <f>+BB51</f>
        <v>28.3</v>
      </c>
      <c r="BC52" s="173">
        <f>+AD10</f>
        <v>6.95</v>
      </c>
    </row>
    <row r="53" spans="53:55" ht="13.5" thickBot="1" x14ac:dyDescent="0.25">
      <c r="BA53" s="175" t="s">
        <v>331</v>
      </c>
      <c r="BB53" s="176">
        <f>ROUND((ATAN((BC51-BA51)/BB51)*180/PI()),2)</f>
        <v>0</v>
      </c>
      <c r="BC53" s="177" t="s">
        <v>332</v>
      </c>
    </row>
  </sheetData>
  <mergeCells count="229">
    <mergeCell ref="A36:H36"/>
    <mergeCell ref="M36:Q36"/>
    <mergeCell ref="S36:AE36"/>
    <mergeCell ref="AG36:AK36"/>
    <mergeCell ref="A37:V38"/>
    <mergeCell ref="W37:AA38"/>
    <mergeCell ref="AB37:AW38"/>
    <mergeCell ref="M34:Q34"/>
    <mergeCell ref="S34:X34"/>
    <mergeCell ref="Y34:AE34"/>
    <mergeCell ref="AG34:AK34"/>
    <mergeCell ref="M35:Q35"/>
    <mergeCell ref="S35:AE35"/>
    <mergeCell ref="AG35:AK35"/>
    <mergeCell ref="M32:Q32"/>
    <mergeCell ref="S32:AE32"/>
    <mergeCell ref="AG32:AK32"/>
    <mergeCell ref="M33:R33"/>
    <mergeCell ref="S33:AE33"/>
    <mergeCell ref="AG33:AK33"/>
    <mergeCell ref="A30:H30"/>
    <mergeCell ref="M30:Q30"/>
    <mergeCell ref="S30:AE30"/>
    <mergeCell ref="AF30:AK30"/>
    <mergeCell ref="A31:H31"/>
    <mergeCell ref="M31:Q31"/>
    <mergeCell ref="S31:AE31"/>
    <mergeCell ref="AG31:AK31"/>
    <mergeCell ref="AG27:AK27"/>
    <mergeCell ref="M28:Q28"/>
    <mergeCell ref="S28:AE28"/>
    <mergeCell ref="AG28:AK28"/>
    <mergeCell ref="M29:Q29"/>
    <mergeCell ref="S29:AE29"/>
    <mergeCell ref="AG29:AK29"/>
    <mergeCell ref="A27:H29"/>
    <mergeCell ref="I27:I29"/>
    <mergeCell ref="J27:J29"/>
    <mergeCell ref="K27:K29"/>
    <mergeCell ref="M27:Q27"/>
    <mergeCell ref="S27:AE27"/>
    <mergeCell ref="AS25:AW25"/>
    <mergeCell ref="A26:F26"/>
    <mergeCell ref="G26:K26"/>
    <mergeCell ref="M26:Q26"/>
    <mergeCell ref="S26:AE26"/>
    <mergeCell ref="AG26:AK26"/>
    <mergeCell ref="AM26:AR26"/>
    <mergeCell ref="AS26:AW26"/>
    <mergeCell ref="A25:F25"/>
    <mergeCell ref="G25:K25"/>
    <mergeCell ref="M25:Q25"/>
    <mergeCell ref="S25:AE25"/>
    <mergeCell ref="AG25:AK25"/>
    <mergeCell ref="AM25:AR25"/>
    <mergeCell ref="AS23:AW23"/>
    <mergeCell ref="A24:F24"/>
    <mergeCell ref="G24:K24"/>
    <mergeCell ref="M24:Q24"/>
    <mergeCell ref="S24:AE24"/>
    <mergeCell ref="AG24:AK24"/>
    <mergeCell ref="AM24:AR24"/>
    <mergeCell ref="AS24:AW24"/>
    <mergeCell ref="A23:F23"/>
    <mergeCell ref="G23:K23"/>
    <mergeCell ref="M23:Q23"/>
    <mergeCell ref="S23:AE23"/>
    <mergeCell ref="AG23:AK23"/>
    <mergeCell ref="AM23:AR23"/>
    <mergeCell ref="AS21:AW21"/>
    <mergeCell ref="A22:F22"/>
    <mergeCell ref="G22:K22"/>
    <mergeCell ref="M22:Q22"/>
    <mergeCell ref="S22:AE22"/>
    <mergeCell ref="AG22:AK22"/>
    <mergeCell ref="AM22:AR22"/>
    <mergeCell ref="AS22:AW22"/>
    <mergeCell ref="A21:F21"/>
    <mergeCell ref="G21:K21"/>
    <mergeCell ref="M21:Q21"/>
    <mergeCell ref="S21:AE21"/>
    <mergeCell ref="AG21:AK21"/>
    <mergeCell ref="AM21:AR21"/>
    <mergeCell ref="AS19:AW19"/>
    <mergeCell ref="A20:F20"/>
    <mergeCell ref="G20:K20"/>
    <mergeCell ref="M20:Q20"/>
    <mergeCell ref="S20:AE20"/>
    <mergeCell ref="AG20:AK20"/>
    <mergeCell ref="AM20:AR20"/>
    <mergeCell ref="AS20:AW20"/>
    <mergeCell ref="A19:F19"/>
    <mergeCell ref="G19:K19"/>
    <mergeCell ref="M19:Q19"/>
    <mergeCell ref="T19:AE19"/>
    <mergeCell ref="AG19:AK19"/>
    <mergeCell ref="AM19:AR19"/>
    <mergeCell ref="A16:D16"/>
    <mergeCell ref="E16:H16"/>
    <mergeCell ref="I16:L16"/>
    <mergeCell ref="M16:P16"/>
    <mergeCell ref="Q16:T16"/>
    <mergeCell ref="U16:X16"/>
    <mergeCell ref="A17:AW17"/>
    <mergeCell ref="A18:F18"/>
    <mergeCell ref="G18:K18"/>
    <mergeCell ref="M18:Q18"/>
    <mergeCell ref="S18:AE18"/>
    <mergeCell ref="AG18:AK18"/>
    <mergeCell ref="AM18:AR18"/>
    <mergeCell ref="AS18:AW18"/>
    <mergeCell ref="Z16:AC16"/>
    <mergeCell ref="AD16:AG16"/>
    <mergeCell ref="AH16:AK16"/>
    <mergeCell ref="AL16:AO16"/>
    <mergeCell ref="AP16:AS16"/>
    <mergeCell ref="AT16:AW16"/>
    <mergeCell ref="AQ13:AW13"/>
    <mergeCell ref="A14:AW14"/>
    <mergeCell ref="A15:D15"/>
    <mergeCell ref="E15:H15"/>
    <mergeCell ref="I15:L15"/>
    <mergeCell ref="M15:P15"/>
    <mergeCell ref="Q15:T15"/>
    <mergeCell ref="U15:X15"/>
    <mergeCell ref="Z15:AC15"/>
    <mergeCell ref="AD15:AG15"/>
    <mergeCell ref="AH15:AK15"/>
    <mergeCell ref="AL15:AO15"/>
    <mergeCell ref="AP15:AS15"/>
    <mergeCell ref="AT15:AW15"/>
    <mergeCell ref="A13:D13"/>
    <mergeCell ref="E13:H13"/>
    <mergeCell ref="I13:L13"/>
    <mergeCell ref="M13:P13"/>
    <mergeCell ref="R13:X13"/>
    <mergeCell ref="Z13:AC13"/>
    <mergeCell ref="AD13:AG13"/>
    <mergeCell ref="AH13:AK13"/>
    <mergeCell ref="AL13:AO13"/>
    <mergeCell ref="A11:AW11"/>
    <mergeCell ref="A12:D12"/>
    <mergeCell ref="E12:H12"/>
    <mergeCell ref="I12:L12"/>
    <mergeCell ref="M12:P12"/>
    <mergeCell ref="R12:X12"/>
    <mergeCell ref="Z12:AC12"/>
    <mergeCell ref="AD12:AG12"/>
    <mergeCell ref="AH12:AK12"/>
    <mergeCell ref="AL12:AO12"/>
    <mergeCell ref="AQ12:AW12"/>
    <mergeCell ref="Z10:AC10"/>
    <mergeCell ref="AD10:AH10"/>
    <mergeCell ref="AI10:AL10"/>
    <mergeCell ref="AM10:AP10"/>
    <mergeCell ref="AQ10:AT10"/>
    <mergeCell ref="AU10:AW10"/>
    <mergeCell ref="A10:D10"/>
    <mergeCell ref="E10:I10"/>
    <mergeCell ref="J10:M10"/>
    <mergeCell ref="N10:Q10"/>
    <mergeCell ref="R10:U10"/>
    <mergeCell ref="V10:X10"/>
    <mergeCell ref="AM9:AP9"/>
    <mergeCell ref="AQ9:AT9"/>
    <mergeCell ref="AU9:AW9"/>
    <mergeCell ref="A9:D9"/>
    <mergeCell ref="E9:I9"/>
    <mergeCell ref="J9:M9"/>
    <mergeCell ref="N9:Q9"/>
    <mergeCell ref="R9:U9"/>
    <mergeCell ref="V9:X9"/>
    <mergeCell ref="A8:D8"/>
    <mergeCell ref="E8:I8"/>
    <mergeCell ref="J8:M8"/>
    <mergeCell ref="N8:Q8"/>
    <mergeCell ref="R8:U8"/>
    <mergeCell ref="V8:X8"/>
    <mergeCell ref="Z9:AC9"/>
    <mergeCell ref="AD9:AH9"/>
    <mergeCell ref="AI9:AL9"/>
    <mergeCell ref="Z8:AC8"/>
    <mergeCell ref="AD8:AH8"/>
    <mergeCell ref="AI8:AL8"/>
    <mergeCell ref="AM8:AP8"/>
    <mergeCell ref="AQ8:AT8"/>
    <mergeCell ref="Q3:S3"/>
    <mergeCell ref="T3:X3"/>
    <mergeCell ref="Y3:AA3"/>
    <mergeCell ref="AB3:AH3"/>
    <mergeCell ref="AI3:AM3"/>
    <mergeCell ref="AP3:AR3"/>
    <mergeCell ref="AS3:AW3"/>
    <mergeCell ref="Z7:AC7"/>
    <mergeCell ref="AE7:AH7"/>
    <mergeCell ref="AI7:AL7"/>
    <mergeCell ref="AM7:AP7"/>
    <mergeCell ref="AQ7:AT7"/>
    <mergeCell ref="AU8:AW8"/>
    <mergeCell ref="AU7:AW7"/>
    <mergeCell ref="AS4:AW4"/>
    <mergeCell ref="Q5:AW5"/>
    <mergeCell ref="A6:X6"/>
    <mergeCell ref="Z6:AW6"/>
    <mergeCell ref="A7:D7"/>
    <mergeCell ref="F7:I7"/>
    <mergeCell ref="J7:M7"/>
    <mergeCell ref="N7:Q7"/>
    <mergeCell ref="R7:U7"/>
    <mergeCell ref="V7:X7"/>
    <mergeCell ref="Q4:S4"/>
    <mergeCell ref="T4:X4"/>
    <mergeCell ref="Y4:AA4"/>
    <mergeCell ref="AB4:AH4"/>
    <mergeCell ref="AI4:AM4"/>
    <mergeCell ref="AP4:AR4"/>
    <mergeCell ref="A1:P5"/>
    <mergeCell ref="Q1:X1"/>
    <mergeCell ref="Y1:AA1"/>
    <mergeCell ref="AB1:AL1"/>
    <mergeCell ref="AM1:AO1"/>
    <mergeCell ref="AP1:AW1"/>
    <mergeCell ref="Q2:S2"/>
    <mergeCell ref="T2:X2"/>
    <mergeCell ref="Y2:AA2"/>
    <mergeCell ref="AB2:AL2"/>
    <mergeCell ref="AM2:AO2"/>
    <mergeCell ref="AP2:AR2"/>
    <mergeCell ref="AS2:AW2"/>
  </mergeCells>
  <printOptions horizontalCentered="1" verticalCentered="1"/>
  <pageMargins left="0.6692913385826772" right="0.55118110236220474" top="0.35433070866141736" bottom="0.39370078740157483" header="0" footer="0"/>
  <pageSetup orientation="landscape" horizontalDpi="300" verticalDpi="300" r:id="rId1"/>
  <headerFooter alignWithMargins="0">
    <oddFooter>&amp;RPage 1 of 4</oddFooter>
  </headerFooter>
  <ignoredErrors>
    <ignoredError sqref="BC18:BD20 AV9:AW9 AV8:AW8 AU9 AU8 N16:P16 J16:L16 F16:H16 B16:D16 A16 E16 I16 M16 AM16:AO16 AI16:AK16 AE16:AG16 AA16:AC16 Z16 AD16 AH16 AL16 M18 AG18 BC3:BC17 BB18:BB20 BE3:BE20" unlockedFormula="1"/>
    <ignoredError sqref="BA22:BA32 BD22:BD32" evalError="1"/>
    <ignoredError sqref="BG32 BG41 BI41 BI32" formula="1"/>
  </ignoredErrors>
  <drawing r:id="rId2"/>
  <legacy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56D815-C882-411D-95F7-05A460F2CD43}">
  <sheetPr>
    <tabColor rgb="FFFF0000"/>
    <pageSetUpPr fitToPage="1"/>
  </sheetPr>
  <dimension ref="A1:BD58"/>
  <sheetViews>
    <sheetView showGridLines="0" showZeros="0" topLeftCell="A34" zoomScale="106" zoomScaleNormal="106" workbookViewId="0">
      <selection activeCell="AP1" sqref="A1:AP57"/>
    </sheetView>
  </sheetViews>
  <sheetFormatPr baseColWidth="10" defaultRowHeight="12.75" x14ac:dyDescent="0.2"/>
  <cols>
    <col min="1" max="178" width="2.42578125" customWidth="1"/>
    <col min="257" max="434" width="2.42578125" customWidth="1"/>
    <col min="513" max="690" width="2.42578125" customWidth="1"/>
    <col min="769" max="946" width="2.42578125" customWidth="1"/>
    <col min="1025" max="1202" width="2.42578125" customWidth="1"/>
    <col min="1281" max="1458" width="2.42578125" customWidth="1"/>
    <col min="1537" max="1714" width="2.42578125" customWidth="1"/>
    <col min="1793" max="1970" width="2.42578125" customWidth="1"/>
    <col min="2049" max="2226" width="2.42578125" customWidth="1"/>
    <col min="2305" max="2482" width="2.42578125" customWidth="1"/>
    <col min="2561" max="2738" width="2.42578125" customWidth="1"/>
    <col min="2817" max="2994" width="2.42578125" customWidth="1"/>
    <col min="3073" max="3250" width="2.42578125" customWidth="1"/>
    <col min="3329" max="3506" width="2.42578125" customWidth="1"/>
    <col min="3585" max="3762" width="2.42578125" customWidth="1"/>
    <col min="3841" max="4018" width="2.42578125" customWidth="1"/>
    <col min="4097" max="4274" width="2.42578125" customWidth="1"/>
    <col min="4353" max="4530" width="2.42578125" customWidth="1"/>
    <col min="4609" max="4786" width="2.42578125" customWidth="1"/>
    <col min="4865" max="5042" width="2.42578125" customWidth="1"/>
    <col min="5121" max="5298" width="2.42578125" customWidth="1"/>
    <col min="5377" max="5554" width="2.42578125" customWidth="1"/>
    <col min="5633" max="5810" width="2.42578125" customWidth="1"/>
    <col min="5889" max="6066" width="2.42578125" customWidth="1"/>
    <col min="6145" max="6322" width="2.42578125" customWidth="1"/>
    <col min="6401" max="6578" width="2.42578125" customWidth="1"/>
    <col min="6657" max="6834" width="2.42578125" customWidth="1"/>
    <col min="6913" max="7090" width="2.42578125" customWidth="1"/>
    <col min="7169" max="7346" width="2.42578125" customWidth="1"/>
    <col min="7425" max="7602" width="2.42578125" customWidth="1"/>
    <col min="7681" max="7858" width="2.42578125" customWidth="1"/>
    <col min="7937" max="8114" width="2.42578125" customWidth="1"/>
    <col min="8193" max="8370" width="2.42578125" customWidth="1"/>
    <col min="8449" max="8626" width="2.42578125" customWidth="1"/>
    <col min="8705" max="8882" width="2.42578125" customWidth="1"/>
    <col min="8961" max="9138" width="2.42578125" customWidth="1"/>
    <col min="9217" max="9394" width="2.42578125" customWidth="1"/>
    <col min="9473" max="9650" width="2.42578125" customWidth="1"/>
    <col min="9729" max="9906" width="2.42578125" customWidth="1"/>
    <col min="9985" max="10162" width="2.42578125" customWidth="1"/>
    <col min="10241" max="10418" width="2.42578125" customWidth="1"/>
    <col min="10497" max="10674" width="2.42578125" customWidth="1"/>
    <col min="10753" max="10930" width="2.42578125" customWidth="1"/>
    <col min="11009" max="11186" width="2.42578125" customWidth="1"/>
    <col min="11265" max="11442" width="2.42578125" customWidth="1"/>
    <col min="11521" max="11698" width="2.42578125" customWidth="1"/>
    <col min="11777" max="11954" width="2.42578125" customWidth="1"/>
    <col min="12033" max="12210" width="2.42578125" customWidth="1"/>
    <col min="12289" max="12466" width="2.42578125" customWidth="1"/>
    <col min="12545" max="12722" width="2.42578125" customWidth="1"/>
    <col min="12801" max="12978" width="2.42578125" customWidth="1"/>
    <col min="13057" max="13234" width="2.42578125" customWidth="1"/>
    <col min="13313" max="13490" width="2.42578125" customWidth="1"/>
    <col min="13569" max="13746" width="2.42578125" customWidth="1"/>
    <col min="13825" max="14002" width="2.42578125" customWidth="1"/>
    <col min="14081" max="14258" width="2.42578125" customWidth="1"/>
    <col min="14337" max="14514" width="2.42578125" customWidth="1"/>
    <col min="14593" max="14770" width="2.42578125" customWidth="1"/>
    <col min="14849" max="15026" width="2.42578125" customWidth="1"/>
    <col min="15105" max="15282" width="2.42578125" customWidth="1"/>
    <col min="15361" max="15538" width="2.42578125" customWidth="1"/>
    <col min="15617" max="15794" width="2.42578125" customWidth="1"/>
    <col min="15873" max="16050" width="2.42578125" customWidth="1"/>
    <col min="16129" max="16306" width="2.42578125" customWidth="1"/>
  </cols>
  <sheetData>
    <row r="1" spans="1:41" ht="12.75" customHeight="1" x14ac:dyDescent="0.25">
      <c r="A1" s="333" t="s">
        <v>0</v>
      </c>
      <c r="B1" s="333"/>
      <c r="C1" s="333"/>
      <c r="D1" s="333"/>
      <c r="E1" s="333"/>
      <c r="F1" s="333"/>
      <c r="G1" s="333"/>
      <c r="H1" s="333"/>
      <c r="I1" s="333"/>
      <c r="J1" s="333"/>
      <c r="K1" s="333"/>
      <c r="L1" s="333"/>
      <c r="M1" s="333"/>
      <c r="N1" s="333"/>
      <c r="O1" s="333"/>
      <c r="P1" s="333"/>
      <c r="Q1" s="333"/>
      <c r="R1" s="333"/>
      <c r="S1" s="333"/>
      <c r="T1" s="333"/>
      <c r="U1" s="333"/>
      <c r="V1" s="333"/>
      <c r="W1" s="333"/>
      <c r="X1" s="333"/>
      <c r="Y1" s="333"/>
      <c r="Z1" s="333"/>
      <c r="AA1" s="333"/>
      <c r="AB1" s="333"/>
      <c r="AC1" s="333"/>
      <c r="AD1" s="333"/>
      <c r="AE1" s="333"/>
      <c r="AF1" s="333"/>
      <c r="AG1" s="333"/>
      <c r="AH1" s="333"/>
      <c r="AI1" s="333"/>
      <c r="AJ1" s="333"/>
      <c r="AK1" s="333"/>
      <c r="AL1" s="333"/>
      <c r="AM1" s="333"/>
      <c r="AN1" s="333"/>
      <c r="AO1" s="333"/>
    </row>
    <row r="2" spans="1:41" ht="12.75" customHeight="1" x14ac:dyDescent="0.2">
      <c r="A2" s="334"/>
      <c r="B2" s="335"/>
      <c r="C2" s="335"/>
      <c r="D2" s="335"/>
      <c r="E2" s="335"/>
      <c r="F2" s="335"/>
      <c r="G2" s="335"/>
      <c r="H2" s="335"/>
      <c r="I2" s="335"/>
      <c r="J2" s="335"/>
      <c r="K2" s="335"/>
      <c r="L2" s="335"/>
      <c r="M2" s="335"/>
      <c r="N2" s="335"/>
      <c r="O2" s="335"/>
      <c r="P2" s="335"/>
      <c r="Q2" s="335"/>
      <c r="R2" s="335"/>
      <c r="S2" s="335"/>
      <c r="T2" s="335"/>
      <c r="U2" s="335"/>
      <c r="V2" s="335"/>
      <c r="W2" s="335"/>
      <c r="X2" s="335"/>
      <c r="Y2" s="336"/>
      <c r="Z2" s="336"/>
      <c r="AA2" s="336"/>
      <c r="AB2" s="336"/>
      <c r="AC2" s="336"/>
      <c r="AD2" s="336"/>
      <c r="AE2" s="336"/>
      <c r="AF2" s="336"/>
      <c r="AG2" s="336"/>
      <c r="AH2" s="337"/>
      <c r="AI2" s="380" t="s">
        <v>218</v>
      </c>
      <c r="AJ2" s="339"/>
      <c r="AK2" s="339"/>
      <c r="AL2" s="339"/>
      <c r="AM2" s="339"/>
      <c r="AN2" s="339"/>
      <c r="AO2" s="340"/>
    </row>
    <row r="3" spans="1:41" ht="12.75" customHeight="1" x14ac:dyDescent="0.2">
      <c r="A3" s="347" t="s">
        <v>2</v>
      </c>
      <c r="B3" s="348"/>
      <c r="C3" s="348"/>
      <c r="D3" s="348"/>
      <c r="E3" s="348"/>
      <c r="F3" s="348"/>
      <c r="G3" s="348"/>
      <c r="H3" s="348"/>
      <c r="I3" s="348"/>
      <c r="J3" s="348"/>
      <c r="K3" s="348"/>
      <c r="L3" s="348"/>
      <c r="M3" s="348"/>
      <c r="N3" s="348"/>
      <c r="O3" s="348"/>
      <c r="P3" s="348"/>
      <c r="Q3" s="348"/>
      <c r="R3" s="348"/>
      <c r="S3" s="348"/>
      <c r="T3" s="348"/>
      <c r="U3" s="348"/>
      <c r="V3" s="348"/>
      <c r="W3" s="348"/>
      <c r="X3" s="348"/>
      <c r="Y3" s="349"/>
      <c r="Z3" s="2" t="str">
        <f>+A!Z3</f>
        <v>X</v>
      </c>
      <c r="AA3" s="350" t="s">
        <v>3</v>
      </c>
      <c r="AB3" s="351"/>
      <c r="AC3" s="351"/>
      <c r="AD3" s="351"/>
      <c r="AE3" s="351"/>
      <c r="AF3" s="351"/>
      <c r="AG3" s="351"/>
      <c r="AH3" s="352"/>
      <c r="AI3" s="341"/>
      <c r="AJ3" s="342"/>
      <c r="AK3" s="342"/>
      <c r="AL3" s="342"/>
      <c r="AM3" s="342"/>
      <c r="AN3" s="342"/>
      <c r="AO3" s="343"/>
    </row>
    <row r="4" spans="1:41" ht="12.75" customHeight="1" x14ac:dyDescent="0.2">
      <c r="A4" s="353"/>
      <c r="B4" s="354"/>
      <c r="C4" s="354"/>
      <c r="D4" s="354"/>
      <c r="E4" s="354"/>
      <c r="F4" s="354"/>
      <c r="G4" s="354"/>
      <c r="H4" s="354"/>
      <c r="I4" s="354"/>
      <c r="J4" s="354"/>
      <c r="K4" s="354"/>
      <c r="L4" s="354"/>
      <c r="M4" s="354"/>
      <c r="N4" s="354"/>
      <c r="O4" s="354"/>
      <c r="P4" s="354"/>
      <c r="Q4" s="354"/>
      <c r="R4" s="354"/>
      <c r="S4" s="354"/>
      <c r="T4" s="354"/>
      <c r="U4" s="354"/>
      <c r="V4" s="354"/>
      <c r="W4" s="354"/>
      <c r="X4" s="354"/>
      <c r="Y4" s="355"/>
      <c r="Z4" s="2">
        <f>+A!Z4</f>
        <v>0</v>
      </c>
      <c r="AA4" s="356" t="s">
        <v>4</v>
      </c>
      <c r="AB4" s="357"/>
      <c r="AC4" s="357"/>
      <c r="AD4" s="357"/>
      <c r="AE4" s="357"/>
      <c r="AF4" s="357"/>
      <c r="AG4" s="357"/>
      <c r="AH4" s="358"/>
      <c r="AI4" s="344"/>
      <c r="AJ4" s="345"/>
      <c r="AK4" s="345"/>
      <c r="AL4" s="345"/>
      <c r="AM4" s="345"/>
      <c r="AN4" s="345"/>
      <c r="AO4" s="346"/>
    </row>
    <row r="5" spans="1:41" ht="12.75" customHeight="1" x14ac:dyDescent="0.2">
      <c r="A5" s="6"/>
      <c r="B5" s="322" t="s">
        <v>5</v>
      </c>
      <c r="C5" s="322"/>
      <c r="D5" s="322"/>
      <c r="E5" s="322"/>
      <c r="F5" s="322"/>
      <c r="G5" s="322"/>
      <c r="H5" s="322"/>
      <c r="I5" s="322"/>
      <c r="J5" s="322"/>
      <c r="K5" s="322"/>
      <c r="L5" s="322"/>
      <c r="M5" s="322"/>
      <c r="N5" s="322"/>
      <c r="O5" s="322"/>
      <c r="P5" s="322"/>
      <c r="Q5" s="322"/>
      <c r="R5" s="322"/>
      <c r="S5" s="322"/>
      <c r="T5" s="322"/>
      <c r="U5" s="322"/>
      <c r="V5" s="322"/>
      <c r="W5" s="322"/>
      <c r="X5" s="322"/>
      <c r="Y5" s="322"/>
      <c r="Z5" s="322"/>
      <c r="AA5" s="322"/>
      <c r="AB5" s="322"/>
      <c r="AC5" s="322"/>
      <c r="AD5" s="322"/>
      <c r="AE5" s="322"/>
      <c r="AF5" s="322"/>
      <c r="AG5" s="322"/>
      <c r="AH5" s="322"/>
      <c r="AI5" s="322"/>
      <c r="AJ5" s="322"/>
      <c r="AK5" s="322"/>
      <c r="AL5" s="322"/>
      <c r="AM5" s="322"/>
      <c r="AN5" s="322"/>
      <c r="AO5" s="323"/>
    </row>
    <row r="6" spans="1:41" ht="12.75" customHeight="1" x14ac:dyDescent="0.2">
      <c r="A6" s="353" t="str">
        <f>A!B6</f>
        <v>MSL Marine Surveyors And Logistics</v>
      </c>
      <c r="B6" s="354"/>
      <c r="C6" s="354"/>
      <c r="D6" s="354"/>
      <c r="E6" s="354"/>
      <c r="F6" s="354"/>
      <c r="G6" s="354"/>
      <c r="H6" s="354"/>
      <c r="I6" s="354"/>
      <c r="J6" s="354"/>
      <c r="K6" s="354"/>
      <c r="L6" s="354"/>
      <c r="M6" s="354"/>
      <c r="N6" s="354"/>
      <c r="O6" s="354"/>
      <c r="P6" s="354"/>
      <c r="Q6" s="354"/>
      <c r="R6" s="354"/>
      <c r="S6" s="354"/>
      <c r="T6" s="354"/>
      <c r="U6" s="354"/>
      <c r="V6" s="354"/>
      <c r="W6" s="354"/>
      <c r="X6" s="354"/>
      <c r="Y6" s="354"/>
      <c r="Z6" s="354"/>
      <c r="AA6" s="354"/>
      <c r="AB6" s="354"/>
      <c r="AC6" s="354"/>
      <c r="AD6" s="354"/>
      <c r="AE6" s="354"/>
      <c r="AF6" s="354"/>
      <c r="AG6" s="354"/>
      <c r="AH6" s="354"/>
      <c r="AI6" s="354"/>
      <c r="AJ6" s="354"/>
      <c r="AK6" s="354"/>
      <c r="AL6" s="354"/>
      <c r="AM6" s="354"/>
      <c r="AN6" s="354"/>
      <c r="AO6" s="355"/>
    </row>
    <row r="7" spans="1:41" ht="12.75" customHeight="1" x14ac:dyDescent="0.2">
      <c r="A7" s="6"/>
      <c r="B7" s="322" t="s">
        <v>11</v>
      </c>
      <c r="C7" s="322"/>
      <c r="D7" s="322"/>
      <c r="E7" s="322"/>
      <c r="F7" s="322"/>
      <c r="G7" s="322"/>
      <c r="H7" s="322"/>
      <c r="I7" s="322"/>
      <c r="J7" s="322"/>
      <c r="K7" s="322"/>
      <c r="L7" s="322"/>
      <c r="M7" s="322"/>
      <c r="N7" s="322"/>
      <c r="O7" s="322"/>
      <c r="P7" s="322"/>
      <c r="Q7" s="322"/>
      <c r="R7" s="322"/>
      <c r="S7" s="322"/>
      <c r="T7" s="322"/>
      <c r="U7" s="322"/>
      <c r="V7" s="322"/>
      <c r="W7" s="322"/>
      <c r="X7" s="322"/>
      <c r="Y7" s="322"/>
      <c r="Z7" s="322" t="s">
        <v>13</v>
      </c>
      <c r="AA7" s="322"/>
      <c r="AB7" s="322"/>
      <c r="AC7" s="322"/>
      <c r="AD7" s="322"/>
      <c r="AE7" s="322"/>
      <c r="AF7" s="322"/>
      <c r="AG7" s="322"/>
      <c r="AH7" s="322"/>
      <c r="AI7" s="322"/>
      <c r="AJ7" s="322"/>
      <c r="AK7" s="322"/>
      <c r="AL7" s="322"/>
      <c r="AM7" s="322"/>
      <c r="AN7" s="322"/>
      <c r="AO7" s="323"/>
    </row>
    <row r="8" spans="1:41" ht="12.75" customHeight="1" x14ac:dyDescent="0.2">
      <c r="A8" s="353"/>
      <c r="B8" s="354"/>
      <c r="C8" s="354"/>
      <c r="D8" s="354"/>
      <c r="E8" s="354"/>
      <c r="F8" s="379" t="str">
        <f>+A!G12</f>
        <v>MV SANTA CAROLINA</v>
      </c>
      <c r="G8" s="379"/>
      <c r="H8" s="379"/>
      <c r="I8" s="379"/>
      <c r="J8" s="379"/>
      <c r="K8" s="379"/>
      <c r="L8" s="379"/>
      <c r="M8" s="379"/>
      <c r="N8" s="379"/>
      <c r="O8" s="379"/>
      <c r="P8" s="379"/>
      <c r="Q8" s="379"/>
      <c r="R8" s="379"/>
      <c r="S8" s="379"/>
      <c r="T8" s="379"/>
      <c r="U8" s="379"/>
      <c r="V8" s="379"/>
      <c r="W8" s="379"/>
      <c r="X8" s="379"/>
      <c r="Y8" s="379"/>
      <c r="Z8" s="379"/>
      <c r="AA8" s="379"/>
      <c r="AB8" s="379"/>
      <c r="AC8" s="360" t="str">
        <f>+A!AG12</f>
        <v>2207-1407-2026</v>
      </c>
      <c r="AD8" s="360"/>
      <c r="AE8" s="360"/>
      <c r="AF8" s="360"/>
      <c r="AG8" s="360"/>
      <c r="AH8" s="360"/>
      <c r="AI8" s="360"/>
      <c r="AJ8" s="360"/>
      <c r="AK8" s="360"/>
      <c r="AL8" s="360"/>
      <c r="AM8" s="360"/>
      <c r="AN8" s="360"/>
      <c r="AO8" s="361"/>
    </row>
    <row r="9" spans="1:41" ht="12.75" customHeight="1" x14ac:dyDescent="0.2">
      <c r="A9" s="363" t="s">
        <v>219</v>
      </c>
      <c r="B9" s="364"/>
      <c r="C9" s="364"/>
      <c r="D9" s="364"/>
      <c r="E9" s="364"/>
      <c r="F9" s="364"/>
      <c r="G9" s="364"/>
      <c r="H9" s="364"/>
      <c r="I9" s="364"/>
      <c r="J9" s="364"/>
      <c r="K9" s="364"/>
      <c r="L9" s="364"/>
      <c r="M9" s="364"/>
      <c r="N9" s="364"/>
      <c r="O9" s="364"/>
      <c r="P9" s="364"/>
      <c r="Q9" s="364"/>
      <c r="R9" s="364"/>
      <c r="S9" s="364"/>
      <c r="T9" s="364"/>
      <c r="U9" s="364"/>
      <c r="V9" s="364"/>
      <c r="W9" s="364"/>
      <c r="X9" s="364"/>
      <c r="Y9" s="364"/>
      <c r="Z9" s="364"/>
      <c r="AA9" s="364"/>
      <c r="AB9" s="364"/>
      <c r="AC9" s="364"/>
      <c r="AD9" s="364"/>
      <c r="AE9" s="364"/>
      <c r="AF9" s="364"/>
      <c r="AG9" s="364"/>
      <c r="AH9" s="364"/>
      <c r="AI9" s="364"/>
      <c r="AJ9" s="364"/>
      <c r="AK9" s="364"/>
      <c r="AL9" s="364"/>
      <c r="AM9" s="364"/>
      <c r="AN9" s="364"/>
      <c r="AO9" s="365"/>
    </row>
    <row r="10" spans="1:41" ht="12.75" customHeight="1" x14ac:dyDescent="0.2">
      <c r="A10" s="45"/>
      <c r="AO10" s="30"/>
    </row>
    <row r="11" spans="1:41" ht="12.75" customHeight="1" x14ac:dyDescent="0.2">
      <c r="A11" s="381"/>
      <c r="B11" s="382"/>
      <c r="C11" s="382"/>
      <c r="D11" s="382"/>
      <c r="E11" s="382"/>
      <c r="F11" s="382"/>
      <c r="G11" s="382"/>
      <c r="H11" s="382"/>
      <c r="I11" s="382"/>
      <c r="J11" s="382"/>
      <c r="K11" s="382"/>
      <c r="L11" s="382"/>
      <c r="M11" s="382"/>
      <c r="N11" s="382"/>
      <c r="O11" s="382"/>
      <c r="P11" s="382"/>
      <c r="Q11" s="382"/>
      <c r="R11" s="382"/>
      <c r="S11" s="382"/>
      <c r="T11" s="382"/>
      <c r="U11" s="382"/>
      <c r="V11" s="382"/>
      <c r="W11" s="382"/>
      <c r="X11" s="383"/>
      <c r="Y11" s="656" t="s">
        <v>220</v>
      </c>
      <c r="Z11" s="657"/>
      <c r="AA11" s="657"/>
      <c r="AB11" s="657"/>
      <c r="AC11" s="657"/>
      <c r="AD11" s="657"/>
      <c r="AE11" s="657"/>
      <c r="AF11" s="657"/>
      <c r="AG11" s="658"/>
      <c r="AK11" s="25"/>
      <c r="AL11" s="25"/>
      <c r="AM11" s="25"/>
      <c r="AN11" s="25"/>
      <c r="AO11" s="27"/>
    </row>
    <row r="12" spans="1:41" ht="12.75" customHeight="1" x14ac:dyDescent="0.2">
      <c r="A12" s="381"/>
      <c r="B12" s="382"/>
      <c r="C12" s="382"/>
      <c r="D12" s="382"/>
      <c r="E12" s="382"/>
      <c r="F12" s="382"/>
      <c r="G12" s="382"/>
      <c r="H12" s="382"/>
      <c r="I12" s="382"/>
      <c r="J12" s="382"/>
      <c r="K12" s="382"/>
      <c r="L12" s="382"/>
      <c r="M12" s="382"/>
      <c r="N12" s="382"/>
      <c r="O12" s="382"/>
      <c r="P12" s="382"/>
      <c r="Q12" s="382"/>
      <c r="R12" s="382"/>
      <c r="S12" s="382"/>
      <c r="T12" s="382"/>
      <c r="U12" s="382"/>
      <c r="V12" s="382"/>
      <c r="W12" s="382"/>
      <c r="X12" s="383"/>
      <c r="Y12" s="659"/>
      <c r="Z12" s="660"/>
      <c r="AA12" s="660"/>
      <c r="AB12" s="660"/>
      <c r="AC12" s="660"/>
      <c r="AD12" s="660"/>
      <c r="AE12" s="660"/>
      <c r="AF12" s="660"/>
      <c r="AG12" s="661"/>
      <c r="AK12" s="25"/>
      <c r="AL12" s="25"/>
      <c r="AM12" s="25"/>
      <c r="AN12" s="25"/>
      <c r="AO12" s="27"/>
    </row>
    <row r="13" spans="1:41" ht="12.75" customHeight="1" x14ac:dyDescent="0.2">
      <c r="A13" s="381"/>
      <c r="B13" s="382"/>
      <c r="C13" s="382"/>
      <c r="D13" s="382"/>
      <c r="E13" s="382"/>
      <c r="F13" s="382"/>
      <c r="G13" s="382"/>
      <c r="H13" s="382"/>
      <c r="I13" s="382"/>
      <c r="J13" s="382"/>
      <c r="K13" s="382"/>
      <c r="L13" s="382"/>
      <c r="M13" s="382"/>
      <c r="N13" s="382"/>
      <c r="O13" s="382"/>
      <c r="P13" s="382"/>
      <c r="Q13" s="382"/>
      <c r="R13" s="382"/>
      <c r="S13" s="382"/>
      <c r="T13" s="382"/>
      <c r="U13" s="382"/>
      <c r="V13" s="382"/>
      <c r="W13" s="382"/>
      <c r="X13" s="383"/>
      <c r="Y13" s="662"/>
      <c r="Z13" s="335"/>
      <c r="AA13" s="335"/>
      <c r="AB13" s="335"/>
      <c r="AC13" s="335"/>
      <c r="AD13" s="335"/>
      <c r="AE13" s="335"/>
      <c r="AF13" s="335"/>
      <c r="AG13" s="663"/>
      <c r="AK13" s="25"/>
      <c r="AL13" s="25"/>
      <c r="AM13" s="25"/>
      <c r="AN13" s="25"/>
      <c r="AO13" s="27"/>
    </row>
    <row r="14" spans="1:41" ht="12.75" customHeight="1" x14ac:dyDescent="0.2">
      <c r="A14" s="401" t="s">
        <v>221</v>
      </c>
      <c r="B14" s="402"/>
      <c r="C14" s="402"/>
      <c r="D14" s="402"/>
      <c r="E14" s="402"/>
      <c r="F14" s="402"/>
      <c r="G14" s="402"/>
      <c r="H14" s="402"/>
      <c r="I14" s="402"/>
      <c r="J14" s="402"/>
      <c r="K14" s="402"/>
      <c r="L14" s="402"/>
      <c r="M14" s="402"/>
      <c r="N14" s="402"/>
      <c r="O14" s="402"/>
      <c r="P14" s="402"/>
      <c r="Q14" s="402"/>
      <c r="R14" s="402"/>
      <c r="S14" s="402"/>
      <c r="T14" s="402"/>
      <c r="U14" s="402"/>
      <c r="V14" s="402"/>
      <c r="W14" s="402"/>
      <c r="X14" s="36"/>
      <c r="Y14" s="664">
        <f>+Draft!M32</f>
        <v>62381.087128944338</v>
      </c>
      <c r="Z14" s="665"/>
      <c r="AA14" s="665"/>
      <c r="AB14" s="665"/>
      <c r="AC14" s="665"/>
      <c r="AD14" s="665"/>
      <c r="AE14" s="665"/>
      <c r="AF14" s="665"/>
      <c r="AG14" s="83"/>
      <c r="AK14" s="25"/>
      <c r="AL14" s="25"/>
      <c r="AM14" s="25"/>
      <c r="AN14" s="25"/>
      <c r="AO14" s="27"/>
    </row>
    <row r="15" spans="1:41" ht="12.75" customHeight="1" x14ac:dyDescent="0.2">
      <c r="A15" s="381"/>
      <c r="B15" s="382"/>
      <c r="C15" s="382"/>
      <c r="D15" s="382"/>
      <c r="E15" s="382"/>
      <c r="F15" s="382"/>
      <c r="G15" s="382"/>
      <c r="H15" s="382"/>
      <c r="I15" s="382"/>
      <c r="J15" s="382"/>
      <c r="K15" s="382"/>
      <c r="L15" s="382"/>
      <c r="M15" s="382"/>
      <c r="N15" s="382"/>
      <c r="O15" s="382"/>
      <c r="P15" s="382"/>
      <c r="Q15" s="382"/>
      <c r="R15" s="382"/>
      <c r="S15" s="382"/>
      <c r="T15" s="382"/>
      <c r="U15" s="382"/>
      <c r="V15" s="382"/>
      <c r="W15" s="382"/>
      <c r="X15" s="25"/>
      <c r="Y15" s="662"/>
      <c r="Z15" s="335"/>
      <c r="AA15" s="335"/>
      <c r="AB15" s="335"/>
      <c r="AC15" s="335"/>
      <c r="AD15" s="335"/>
      <c r="AE15" s="335"/>
      <c r="AF15" s="335"/>
      <c r="AG15" s="663"/>
      <c r="AK15" s="25"/>
      <c r="AL15" s="25"/>
      <c r="AM15" s="25"/>
      <c r="AN15" s="25"/>
      <c r="AO15" s="27"/>
    </row>
    <row r="16" spans="1:41" ht="12.75" customHeight="1" x14ac:dyDescent="0.2">
      <c r="A16" s="401" t="s">
        <v>222</v>
      </c>
      <c r="B16" s="402"/>
      <c r="C16" s="402"/>
      <c r="D16" s="402"/>
      <c r="E16" s="402"/>
      <c r="F16" s="402"/>
      <c r="G16" s="402"/>
      <c r="H16" s="402"/>
      <c r="I16" s="402"/>
      <c r="J16" s="402"/>
      <c r="K16" s="402"/>
      <c r="L16" s="402"/>
      <c r="M16" s="402"/>
      <c r="N16" s="402"/>
      <c r="O16" s="402"/>
      <c r="P16" s="402"/>
      <c r="Q16" s="402"/>
      <c r="R16" s="402"/>
      <c r="S16" s="402"/>
      <c r="T16" s="402"/>
      <c r="U16" s="402"/>
      <c r="V16" s="402"/>
      <c r="W16" s="402"/>
      <c r="X16" s="36"/>
      <c r="Y16" s="664">
        <f>+Draft!AG33</f>
        <v>11258.55071633021</v>
      </c>
      <c r="Z16" s="665"/>
      <c r="AA16" s="665"/>
      <c r="AB16" s="665"/>
      <c r="AC16" s="665"/>
      <c r="AD16" s="665"/>
      <c r="AE16" s="665"/>
      <c r="AF16" s="665"/>
      <c r="AG16" s="83"/>
      <c r="AK16" s="25"/>
      <c r="AL16" s="25"/>
      <c r="AM16" s="25"/>
      <c r="AN16" s="25"/>
      <c r="AO16" s="27"/>
    </row>
    <row r="17" spans="1:56" ht="12.75" customHeight="1" x14ac:dyDescent="0.2">
      <c r="A17" s="381"/>
      <c r="B17" s="382"/>
      <c r="C17" s="382"/>
      <c r="D17" s="382"/>
      <c r="E17" s="382"/>
      <c r="F17" s="382"/>
      <c r="G17" s="382"/>
      <c r="H17" s="382"/>
      <c r="I17" s="382"/>
      <c r="J17" s="382"/>
      <c r="K17" s="382"/>
      <c r="L17" s="382"/>
      <c r="M17" s="382"/>
      <c r="N17" s="382"/>
      <c r="O17" s="382"/>
      <c r="P17" s="382"/>
      <c r="Q17" s="382"/>
      <c r="R17" s="382"/>
      <c r="S17" s="382"/>
      <c r="T17" s="382"/>
      <c r="U17" s="382"/>
      <c r="V17" s="382"/>
      <c r="W17" s="382"/>
      <c r="X17" s="25"/>
      <c r="Y17" s="662"/>
      <c r="Z17" s="335"/>
      <c r="AA17" s="335"/>
      <c r="AB17" s="335"/>
      <c r="AC17" s="335"/>
      <c r="AD17" s="335"/>
      <c r="AE17" s="335"/>
      <c r="AF17" s="335"/>
      <c r="AG17" s="663"/>
      <c r="AH17" s="586"/>
      <c r="AI17" s="378"/>
      <c r="AJ17" s="378"/>
      <c r="AK17" s="378"/>
      <c r="AL17" s="378"/>
      <c r="AM17" s="378"/>
      <c r="AN17" s="378"/>
      <c r="AO17" s="666"/>
      <c r="AW17" s="586" t="s">
        <v>223</v>
      </c>
      <c r="AX17" s="378"/>
      <c r="AY17" s="378"/>
      <c r="AZ17" s="378"/>
      <c r="BA17" s="378"/>
      <c r="BB17" s="378"/>
      <c r="BC17" s="378"/>
      <c r="BD17" s="666"/>
    </row>
    <row r="18" spans="1:56" ht="12.75" customHeight="1" x14ac:dyDescent="0.2">
      <c r="A18" s="401" t="s">
        <v>224</v>
      </c>
      <c r="B18" s="402"/>
      <c r="C18" s="402"/>
      <c r="D18" s="402"/>
      <c r="E18" s="402"/>
      <c r="F18" s="402"/>
      <c r="G18" s="402"/>
      <c r="H18" s="402"/>
      <c r="I18" s="402"/>
      <c r="J18" s="402"/>
      <c r="K18" s="402"/>
      <c r="L18" s="402"/>
      <c r="M18" s="402"/>
      <c r="N18" s="402"/>
      <c r="O18" s="402"/>
      <c r="P18" s="402"/>
      <c r="Q18" s="402"/>
      <c r="R18" s="402"/>
      <c r="S18" s="402"/>
      <c r="T18" s="402"/>
      <c r="U18" s="402"/>
      <c r="V18" s="402"/>
      <c r="W18" s="402"/>
      <c r="X18" s="84"/>
      <c r="Y18" s="664">
        <f>ROUND(+Draft!AG34,2)</f>
        <v>51122.54</v>
      </c>
      <c r="Z18" s="665"/>
      <c r="AA18" s="665"/>
      <c r="AB18" s="665"/>
      <c r="AC18" s="665"/>
      <c r="AD18" s="665"/>
      <c r="AE18" s="665"/>
      <c r="AF18" s="665"/>
      <c r="AG18" s="83"/>
      <c r="AH18" s="586"/>
      <c r="AI18" s="378"/>
      <c r="AJ18" s="378"/>
      <c r="AK18" s="378"/>
      <c r="AL18" s="378"/>
      <c r="AM18" s="378"/>
      <c r="AN18" s="378"/>
      <c r="AO18" s="666"/>
      <c r="AW18" s="586" t="s">
        <v>225</v>
      </c>
      <c r="AX18" s="378"/>
      <c r="AY18" s="378"/>
      <c r="AZ18" s="378"/>
      <c r="BA18" s="378"/>
      <c r="BB18" s="378"/>
      <c r="BC18" s="378"/>
      <c r="BD18" s="666"/>
    </row>
    <row r="19" spans="1:56" ht="12.75" customHeight="1" x14ac:dyDescent="0.2">
      <c r="A19" s="381"/>
      <c r="B19" s="382"/>
      <c r="C19" s="382"/>
      <c r="D19" s="382"/>
      <c r="E19" s="382"/>
      <c r="F19" s="382"/>
      <c r="G19" s="382"/>
      <c r="H19" s="382"/>
      <c r="I19" s="382"/>
      <c r="J19" s="382"/>
      <c r="K19" s="382"/>
      <c r="L19" s="382"/>
      <c r="M19" s="382"/>
      <c r="N19" s="382"/>
      <c r="O19" s="382"/>
      <c r="P19" s="382"/>
      <c r="Q19" s="382"/>
      <c r="R19" s="382"/>
      <c r="S19" s="382"/>
      <c r="T19" s="382"/>
      <c r="U19" s="382"/>
      <c r="V19" s="382"/>
      <c r="W19" s="382"/>
      <c r="X19" s="382"/>
      <c r="Y19" s="382"/>
      <c r="Z19" s="382"/>
      <c r="AA19" s="382"/>
      <c r="AB19" s="382"/>
      <c r="AC19" s="382"/>
      <c r="AD19" s="382"/>
      <c r="AE19" s="382"/>
      <c r="AF19" s="382"/>
      <c r="AG19" s="382"/>
      <c r="AH19" s="382"/>
      <c r="AI19" s="382"/>
      <c r="AJ19" s="382"/>
      <c r="AK19" s="382"/>
      <c r="AL19" s="382"/>
      <c r="AM19" s="382"/>
      <c r="AN19" s="382"/>
      <c r="AO19" s="383"/>
    </row>
    <row r="20" spans="1:56" ht="12.75" customHeight="1" x14ac:dyDescent="0.2">
      <c r="A20" s="23"/>
      <c r="B20" s="351" t="s">
        <v>226</v>
      </c>
      <c r="C20" s="351"/>
      <c r="D20" s="351"/>
      <c r="E20" s="351"/>
      <c r="F20" s="351"/>
      <c r="G20" s="351"/>
      <c r="H20" s="351"/>
      <c r="I20" s="351"/>
      <c r="J20" s="351"/>
      <c r="K20" s="351"/>
      <c r="L20" s="351"/>
      <c r="M20" s="351"/>
      <c r="N20" s="351"/>
      <c r="O20" s="351"/>
      <c r="P20" s="351"/>
      <c r="Q20" s="351"/>
      <c r="R20" s="351"/>
      <c r="S20" s="351"/>
      <c r="T20" s="351"/>
      <c r="U20" s="351"/>
      <c r="V20" s="351"/>
      <c r="W20" s="351"/>
      <c r="X20" s="352"/>
      <c r="Y20" s="667"/>
      <c r="Z20" s="668"/>
      <c r="AA20" s="668"/>
      <c r="AB20" s="668"/>
      <c r="AC20" s="668"/>
      <c r="AD20" s="668"/>
      <c r="AE20" s="668"/>
      <c r="AF20" s="668"/>
      <c r="AG20" s="82"/>
      <c r="AK20" s="25"/>
      <c r="AL20" s="25"/>
      <c r="AM20" s="25"/>
      <c r="AN20" s="25"/>
      <c r="AO20" s="27"/>
    </row>
    <row r="21" spans="1:56" ht="12.75" customHeight="1" x14ac:dyDescent="0.2">
      <c r="A21" s="23"/>
      <c r="B21" s="351" t="s">
        <v>227</v>
      </c>
      <c r="C21" s="351"/>
      <c r="D21" s="351"/>
      <c r="E21" s="351"/>
      <c r="F21" s="351"/>
      <c r="G21" s="351"/>
      <c r="H21" s="351"/>
      <c r="I21" s="351"/>
      <c r="J21" s="351"/>
      <c r="K21" s="351"/>
      <c r="L21" s="351"/>
      <c r="M21" s="351"/>
      <c r="N21" s="351"/>
      <c r="O21" s="351"/>
      <c r="P21" s="351"/>
      <c r="Q21" s="351"/>
      <c r="R21" s="351"/>
      <c r="S21" s="351"/>
      <c r="T21" s="351"/>
      <c r="U21" s="351"/>
      <c r="V21" s="351"/>
      <c r="W21" s="351"/>
      <c r="X21" s="351"/>
      <c r="Y21" s="351"/>
      <c r="Z21" s="351"/>
      <c r="AA21" s="351"/>
      <c r="AB21" s="351"/>
      <c r="AC21" s="351"/>
      <c r="AD21" s="351"/>
      <c r="AE21" s="351"/>
      <c r="AF21" s="351"/>
      <c r="AG21" s="351"/>
      <c r="AH21" s="351"/>
      <c r="AI21" s="351"/>
      <c r="AJ21" s="351"/>
      <c r="AK21" s="351"/>
      <c r="AL21" s="351"/>
      <c r="AM21" s="351"/>
      <c r="AN21" s="351"/>
      <c r="AO21" s="352"/>
    </row>
    <row r="22" spans="1:56" ht="12.75" customHeight="1" x14ac:dyDescent="0.2">
      <c r="A22" s="23"/>
      <c r="B22" s="351" t="s">
        <v>228</v>
      </c>
      <c r="C22" s="351"/>
      <c r="D22" s="351"/>
      <c r="E22" s="351"/>
      <c r="F22" s="351"/>
      <c r="G22" s="351"/>
      <c r="H22" s="351"/>
      <c r="I22" s="351"/>
      <c r="J22" s="351"/>
      <c r="K22" s="351"/>
      <c r="L22" s="351"/>
      <c r="M22" s="351"/>
      <c r="N22" s="351"/>
      <c r="O22" s="351"/>
      <c r="P22" s="351"/>
      <c r="Q22" s="351"/>
      <c r="R22" s="351"/>
      <c r="S22" s="351"/>
      <c r="T22" s="351"/>
      <c r="U22" s="351"/>
      <c r="V22" s="351"/>
      <c r="W22" s="351"/>
      <c r="X22" s="351"/>
      <c r="Y22" s="351"/>
      <c r="Z22" s="351"/>
      <c r="AA22" s="351"/>
      <c r="AB22" s="351"/>
      <c r="AC22" s="351"/>
      <c r="AD22" s="351"/>
      <c r="AE22" s="351"/>
      <c r="AF22" s="351"/>
      <c r="AG22" s="351"/>
      <c r="AH22" s="351"/>
      <c r="AI22" s="351"/>
      <c r="AJ22" s="351"/>
      <c r="AK22" s="351"/>
      <c r="AL22" s="351"/>
      <c r="AM22" s="351"/>
      <c r="AN22" s="351"/>
      <c r="AO22" s="352"/>
    </row>
    <row r="23" spans="1:56" ht="12.75" customHeight="1" x14ac:dyDescent="0.2">
      <c r="A23" s="23"/>
      <c r="B23" s="351" t="s">
        <v>229</v>
      </c>
      <c r="C23" s="351"/>
      <c r="D23" s="351"/>
      <c r="E23" s="351"/>
      <c r="F23" s="351"/>
      <c r="G23" s="351"/>
      <c r="H23" s="351"/>
      <c r="I23" s="351"/>
      <c r="J23" s="351"/>
      <c r="K23" s="351"/>
      <c r="L23" s="351"/>
      <c r="M23" s="351"/>
      <c r="N23" s="351"/>
      <c r="O23" s="351"/>
      <c r="P23" s="351"/>
      <c r="Q23" s="351"/>
      <c r="R23" s="351"/>
      <c r="S23" s="351"/>
      <c r="T23" s="351"/>
      <c r="U23" s="351"/>
      <c r="V23" s="351"/>
      <c r="W23" s="351"/>
      <c r="X23" s="351"/>
      <c r="Y23" s="351"/>
      <c r="Z23" s="351"/>
      <c r="AA23" s="351"/>
      <c r="AB23" s="351"/>
      <c r="AC23" s="351"/>
      <c r="AD23" s="351"/>
      <c r="AE23" s="351"/>
      <c r="AF23" s="351"/>
      <c r="AG23" s="351"/>
      <c r="AH23" s="351"/>
      <c r="AI23" s="351"/>
      <c r="AJ23" s="351"/>
      <c r="AK23" s="351"/>
      <c r="AL23" s="351"/>
      <c r="AM23" s="351"/>
      <c r="AN23" s="351"/>
      <c r="AO23" s="352"/>
    </row>
    <row r="24" spans="1:56" ht="12.75" customHeight="1" x14ac:dyDescent="0.2">
      <c r="A24" s="23"/>
      <c r="B24" s="351" t="s">
        <v>230</v>
      </c>
      <c r="C24" s="351"/>
      <c r="D24" s="351"/>
      <c r="E24" s="351"/>
      <c r="F24" s="351"/>
      <c r="G24" s="351"/>
      <c r="H24" s="351"/>
      <c r="I24" s="351"/>
      <c r="J24" s="351"/>
      <c r="K24" s="351"/>
      <c r="L24" s="351"/>
      <c r="M24" s="351"/>
      <c r="N24" s="351"/>
      <c r="O24" s="351"/>
      <c r="P24" s="351"/>
      <c r="Q24" s="351"/>
      <c r="R24" s="351"/>
      <c r="S24" s="351"/>
      <c r="T24" s="351"/>
      <c r="U24" s="351"/>
      <c r="V24" s="351"/>
      <c r="W24" s="351"/>
      <c r="X24" s="351"/>
      <c r="Y24" s="351"/>
      <c r="Z24" s="351"/>
      <c r="AA24" s="351"/>
      <c r="AB24" s="351"/>
      <c r="AC24" s="351"/>
      <c r="AD24" s="351"/>
      <c r="AE24" s="351"/>
      <c r="AF24" s="351"/>
      <c r="AG24" s="351"/>
      <c r="AH24" s="351"/>
      <c r="AI24" s="351"/>
      <c r="AJ24" s="351"/>
      <c r="AK24" s="351"/>
      <c r="AL24" s="351"/>
      <c r="AM24" s="351"/>
      <c r="AN24" s="351"/>
      <c r="AO24" s="352"/>
    </row>
    <row r="25" spans="1:56" ht="12.75" customHeight="1" x14ac:dyDescent="0.2">
      <c r="A25" s="381"/>
      <c r="B25" s="382"/>
      <c r="C25" s="382"/>
      <c r="D25" s="382"/>
      <c r="E25" s="382"/>
      <c r="F25" s="382"/>
      <c r="G25" s="382"/>
      <c r="H25" s="382"/>
      <c r="I25" s="382"/>
      <c r="J25" s="382"/>
      <c r="K25" s="382"/>
      <c r="L25" s="382"/>
      <c r="M25" s="382"/>
      <c r="N25" s="382"/>
      <c r="O25" s="382"/>
      <c r="P25" s="382"/>
      <c r="Q25" s="382"/>
      <c r="R25" s="382"/>
      <c r="S25" s="382"/>
      <c r="T25" s="382"/>
      <c r="U25" s="382"/>
      <c r="V25" s="382"/>
      <c r="W25" s="382"/>
      <c r="X25" s="382"/>
      <c r="Y25" s="382"/>
      <c r="Z25" s="382"/>
      <c r="AA25" s="382"/>
      <c r="AB25" s="382"/>
      <c r="AC25" s="382"/>
      <c r="AD25" s="382"/>
      <c r="AE25" s="382"/>
      <c r="AF25" s="382"/>
      <c r="AG25" s="382"/>
      <c r="AH25" s="382"/>
      <c r="AI25" s="382"/>
      <c r="AJ25" s="382"/>
      <c r="AK25" s="382"/>
      <c r="AL25" s="382"/>
      <c r="AM25" s="382"/>
      <c r="AN25" s="382"/>
      <c r="AO25" s="383"/>
    </row>
    <row r="26" spans="1:56" ht="12.75" customHeight="1" x14ac:dyDescent="0.2">
      <c r="A26" s="353"/>
      <c r="B26" s="354"/>
      <c r="C26" s="354"/>
      <c r="D26" s="354"/>
      <c r="E26" s="354"/>
      <c r="F26" s="354"/>
      <c r="G26" s="354"/>
      <c r="H26" s="354"/>
      <c r="I26" s="354"/>
      <c r="J26" s="354"/>
      <c r="K26" s="354"/>
      <c r="L26" s="354"/>
      <c r="M26" s="354"/>
      <c r="N26" s="354"/>
      <c r="O26" s="354"/>
      <c r="P26" s="354"/>
      <c r="Q26" s="354"/>
      <c r="R26" s="354"/>
      <c r="S26" s="354"/>
      <c r="T26" s="354"/>
      <c r="U26" s="354"/>
      <c r="V26" s="354"/>
      <c r="W26" s="354"/>
      <c r="X26" s="354"/>
      <c r="Y26" s="354"/>
      <c r="Z26" s="354"/>
      <c r="AA26" s="354"/>
      <c r="AB26" s="354"/>
      <c r="AC26" s="354"/>
      <c r="AD26" s="354"/>
      <c r="AE26" s="354"/>
      <c r="AF26" s="354"/>
      <c r="AG26" s="354"/>
      <c r="AH26" s="354"/>
      <c r="AI26" s="354"/>
      <c r="AJ26" s="354"/>
      <c r="AK26" s="354"/>
      <c r="AL26" s="354"/>
      <c r="AM26" s="354"/>
      <c r="AN26" s="354"/>
      <c r="AO26" s="355"/>
    </row>
    <row r="27" spans="1:56" ht="12.75" customHeight="1" x14ac:dyDescent="0.2">
      <c r="A27" s="363"/>
      <c r="B27" s="364"/>
      <c r="C27" s="364"/>
      <c r="D27" s="364"/>
      <c r="E27" s="364"/>
      <c r="F27" s="364"/>
      <c r="G27" s="364"/>
      <c r="H27" s="364"/>
      <c r="I27" s="364"/>
      <c r="J27" s="364"/>
      <c r="K27" s="364"/>
      <c r="L27" s="364"/>
      <c r="M27" s="364"/>
      <c r="N27" s="364"/>
      <c r="O27" s="364"/>
      <c r="P27" s="364"/>
      <c r="Q27" s="364"/>
      <c r="R27" s="364"/>
      <c r="S27" s="364"/>
      <c r="T27" s="364"/>
      <c r="U27" s="364"/>
      <c r="V27" s="364"/>
      <c r="W27" s="364"/>
      <c r="X27" s="335" t="s">
        <v>220</v>
      </c>
      <c r="Y27" s="335"/>
      <c r="Z27" s="335"/>
      <c r="AA27" s="335"/>
      <c r="AB27" s="335"/>
      <c r="AC27" s="335"/>
      <c r="AD27" s="335"/>
      <c r="AE27" s="335"/>
      <c r="AF27" s="335"/>
      <c r="AG27" s="335"/>
      <c r="AH27" s="399"/>
      <c r="AI27" s="399"/>
      <c r="AJ27" s="399"/>
      <c r="AK27" s="399"/>
      <c r="AL27" s="399"/>
      <c r="AM27" s="399"/>
      <c r="AN27" s="399"/>
      <c r="AO27" s="400"/>
    </row>
    <row r="28" spans="1:56" ht="12.75" customHeight="1" x14ac:dyDescent="0.2">
      <c r="A28" s="401" t="s">
        <v>231</v>
      </c>
      <c r="B28" s="402"/>
      <c r="C28" s="402"/>
      <c r="D28" s="402"/>
      <c r="E28" s="402"/>
      <c r="F28" s="402"/>
      <c r="G28" s="402"/>
      <c r="H28" s="402"/>
      <c r="I28" s="402"/>
      <c r="J28" s="402"/>
      <c r="K28" s="402"/>
      <c r="L28" s="402"/>
      <c r="M28" s="402"/>
      <c r="N28" s="402"/>
      <c r="O28" s="402"/>
      <c r="P28" s="402"/>
      <c r="Q28" s="402"/>
      <c r="R28" s="402"/>
      <c r="S28" s="402"/>
      <c r="T28" s="402"/>
      <c r="U28" s="402"/>
      <c r="V28" s="402"/>
      <c r="W28" s="669"/>
      <c r="X28" s="437">
        <f>IF(Y16=0,0,IF(Y14=0,0,IF(Draft!M27&gt;Draft!AG27,Draft!M27,Draft!AG27)))</f>
        <v>64297.977128944338</v>
      </c>
      <c r="Y28" s="433"/>
      <c r="Z28" s="433"/>
      <c r="AA28" s="433"/>
      <c r="AB28" s="433"/>
      <c r="AC28" s="433"/>
      <c r="AD28" s="433"/>
      <c r="AE28" s="433"/>
      <c r="AF28" s="433"/>
      <c r="AG28" s="82"/>
      <c r="AH28" s="272"/>
      <c r="AI28" s="272"/>
      <c r="AJ28" s="272"/>
      <c r="AK28" s="272"/>
      <c r="AL28" s="272"/>
      <c r="AM28" s="272"/>
      <c r="AN28" s="272"/>
      <c r="AO28" s="287"/>
    </row>
    <row r="29" spans="1:56" ht="12.75" customHeight="1" x14ac:dyDescent="0.2">
      <c r="A29" s="401" t="s">
        <v>232</v>
      </c>
      <c r="B29" s="402"/>
      <c r="C29" s="402"/>
      <c r="D29" s="402"/>
      <c r="E29" s="402"/>
      <c r="F29" s="402"/>
      <c r="G29" s="402"/>
      <c r="H29" s="402"/>
      <c r="I29" s="402"/>
      <c r="J29" s="402"/>
      <c r="K29" s="402"/>
      <c r="L29" s="402"/>
      <c r="M29" s="402"/>
      <c r="N29" s="402"/>
      <c r="O29" s="402"/>
      <c r="P29" s="402"/>
      <c r="Q29" s="402"/>
      <c r="R29" s="402"/>
      <c r="S29" s="402"/>
      <c r="T29" s="402"/>
      <c r="U29" s="402"/>
      <c r="V29" s="402"/>
      <c r="W29" s="669"/>
      <c r="X29" s="437">
        <f>IF(X28=0,0,IF(Draft!M27&gt;Draft!AG27,Draft!G26,Draft!AS26))</f>
        <v>1916.89</v>
      </c>
      <c r="Y29" s="433"/>
      <c r="Z29" s="433"/>
      <c r="AA29" s="433"/>
      <c r="AB29" s="433"/>
      <c r="AC29" s="433"/>
      <c r="AD29" s="433"/>
      <c r="AE29" s="433"/>
      <c r="AF29" s="433"/>
      <c r="AG29" s="82"/>
      <c r="AH29" s="272"/>
      <c r="AI29" s="272"/>
      <c r="AJ29" s="272"/>
      <c r="AK29" s="272"/>
      <c r="AL29" s="272"/>
      <c r="AM29" s="272"/>
      <c r="AN29" s="272"/>
      <c r="AO29" s="287"/>
    </row>
    <row r="30" spans="1:56" ht="12.75" customHeight="1" x14ac:dyDescent="0.2">
      <c r="A30" s="401" t="s">
        <v>233</v>
      </c>
      <c r="B30" s="402"/>
      <c r="C30" s="402"/>
      <c r="D30" s="402"/>
      <c r="E30" s="402"/>
      <c r="F30" s="402"/>
      <c r="G30" s="402"/>
      <c r="H30" s="402"/>
      <c r="I30" s="402"/>
      <c r="J30" s="402"/>
      <c r="K30" s="402"/>
      <c r="L30" s="402"/>
      <c r="M30" s="402"/>
      <c r="N30" s="402"/>
      <c r="O30" s="402"/>
      <c r="P30" s="402"/>
      <c r="Q30" s="402"/>
      <c r="R30" s="402"/>
      <c r="S30" s="402"/>
      <c r="T30" s="402"/>
      <c r="U30" s="402"/>
      <c r="V30" s="402"/>
      <c r="W30" s="669"/>
      <c r="X30" s="437">
        <f>IF(X29=0,0,+Draft!AG29)</f>
        <v>10787</v>
      </c>
      <c r="Y30" s="433"/>
      <c r="Z30" s="433"/>
      <c r="AA30" s="433"/>
      <c r="AB30" s="433"/>
      <c r="AC30" s="433"/>
      <c r="AD30" s="433"/>
      <c r="AE30" s="433"/>
      <c r="AF30" s="433"/>
      <c r="AG30" s="82"/>
      <c r="AH30" s="272"/>
      <c r="AI30" s="272"/>
      <c r="AJ30" s="272"/>
      <c r="AK30" s="272"/>
      <c r="AL30" s="272"/>
      <c r="AM30" s="272"/>
      <c r="AN30" s="272"/>
      <c r="AO30" s="287"/>
    </row>
    <row r="31" spans="1:56" ht="12.75" customHeight="1" x14ac:dyDescent="0.2">
      <c r="A31" s="401" t="s">
        <v>234</v>
      </c>
      <c r="B31" s="402"/>
      <c r="C31" s="402"/>
      <c r="D31" s="402"/>
      <c r="E31" s="402"/>
      <c r="F31" s="402"/>
      <c r="G31" s="402"/>
      <c r="H31" s="402"/>
      <c r="I31" s="402"/>
      <c r="J31" s="402"/>
      <c r="K31" s="402"/>
      <c r="L31" s="402"/>
      <c r="M31" s="402"/>
      <c r="N31" s="402"/>
      <c r="O31" s="402"/>
      <c r="P31" s="402"/>
      <c r="Q31" s="402"/>
      <c r="R31" s="402"/>
      <c r="S31" s="402"/>
      <c r="T31" s="402"/>
      <c r="U31" s="402"/>
      <c r="V31" s="402"/>
      <c r="W31" s="669"/>
      <c r="X31" s="437">
        <f>IF(X30=0,0,+Draft!AG31)</f>
        <v>471.55071633020998</v>
      </c>
      <c r="Y31" s="433"/>
      <c r="Z31" s="433"/>
      <c r="AA31" s="433"/>
      <c r="AB31" s="433"/>
      <c r="AC31" s="433"/>
      <c r="AD31" s="433"/>
      <c r="AE31" s="433"/>
      <c r="AF31" s="433"/>
      <c r="AG31" s="82"/>
      <c r="AH31" s="272"/>
      <c r="AI31" s="272"/>
      <c r="AJ31" s="272"/>
      <c r="AK31" s="272"/>
      <c r="AL31" s="272"/>
      <c r="AM31" s="272"/>
      <c r="AN31" s="272"/>
      <c r="AO31" s="287"/>
    </row>
    <row r="32" spans="1:56" ht="12.75" customHeight="1" x14ac:dyDescent="0.2">
      <c r="A32" s="401" t="s">
        <v>235</v>
      </c>
      <c r="B32" s="402"/>
      <c r="C32" s="402"/>
      <c r="D32" s="402"/>
      <c r="E32" s="402"/>
      <c r="F32" s="402"/>
      <c r="G32" s="402"/>
      <c r="H32" s="402"/>
      <c r="I32" s="402"/>
      <c r="J32" s="402"/>
      <c r="K32" s="402"/>
      <c r="L32" s="402"/>
      <c r="M32" s="402"/>
      <c r="N32" s="402"/>
      <c r="O32" s="402"/>
      <c r="P32" s="402"/>
      <c r="Q32" s="402"/>
      <c r="R32" s="402"/>
      <c r="S32" s="402"/>
      <c r="T32" s="402"/>
      <c r="U32" s="402"/>
      <c r="V32" s="402"/>
      <c r="W32" s="669"/>
      <c r="X32" s="436"/>
      <c r="Y32" s="433"/>
      <c r="Z32" s="433"/>
      <c r="AA32" s="433"/>
      <c r="AB32" s="433"/>
      <c r="AC32" s="433"/>
      <c r="AD32" s="433"/>
      <c r="AE32" s="433"/>
      <c r="AF32" s="433"/>
      <c r="AG32" s="82"/>
      <c r="AH32" s="272"/>
      <c r="AI32" s="272"/>
      <c r="AJ32" s="272"/>
      <c r="AK32" s="272"/>
      <c r="AL32" s="272"/>
      <c r="AM32" s="272"/>
      <c r="AN32" s="272"/>
      <c r="AO32" s="287"/>
    </row>
    <row r="33" spans="1:41" ht="12.75" customHeight="1" x14ac:dyDescent="0.2">
      <c r="A33" s="586"/>
      <c r="B33" s="378"/>
      <c r="C33" s="378"/>
      <c r="D33" s="378"/>
      <c r="E33" s="378"/>
      <c r="F33" s="378"/>
      <c r="G33" s="378"/>
      <c r="H33" s="378"/>
      <c r="I33" s="378"/>
      <c r="J33" s="378"/>
      <c r="K33" s="378"/>
      <c r="L33" s="378"/>
      <c r="M33" s="378"/>
      <c r="N33" s="378"/>
      <c r="O33" s="378"/>
      <c r="P33" s="378"/>
      <c r="Q33" s="378"/>
      <c r="R33" s="378"/>
      <c r="S33" s="378"/>
      <c r="T33" s="378"/>
      <c r="U33" s="378"/>
      <c r="V33" s="378"/>
      <c r="W33" s="378"/>
      <c r="X33" s="378"/>
      <c r="Y33" s="378"/>
      <c r="Z33" s="378"/>
      <c r="AA33" s="378"/>
      <c r="AB33" s="378"/>
      <c r="AC33" s="378"/>
      <c r="AD33" s="378"/>
      <c r="AE33" s="378"/>
      <c r="AF33" s="378"/>
      <c r="AG33" s="378"/>
      <c r="AH33" s="378"/>
      <c r="AI33" s="378"/>
      <c r="AJ33" s="378"/>
      <c r="AK33" s="378"/>
      <c r="AL33" s="378"/>
      <c r="AM33" s="378"/>
      <c r="AN33" s="378"/>
      <c r="AO33" s="666"/>
    </row>
    <row r="34" spans="1:41" ht="12.75" customHeight="1" x14ac:dyDescent="0.2">
      <c r="A34" s="586"/>
      <c r="B34" s="378"/>
      <c r="C34" s="378"/>
      <c r="D34" s="378"/>
      <c r="E34" s="378"/>
      <c r="F34" s="378"/>
      <c r="G34" s="378"/>
      <c r="H34" s="378"/>
      <c r="I34" s="378"/>
      <c r="J34" s="378"/>
      <c r="K34" s="378"/>
      <c r="L34" s="378"/>
      <c r="M34" s="378"/>
      <c r="N34" s="378"/>
      <c r="O34" s="378"/>
      <c r="P34" s="378"/>
      <c r="Q34" s="378"/>
      <c r="R34" s="378"/>
      <c r="S34" s="378"/>
      <c r="T34" s="378"/>
      <c r="U34" s="378"/>
      <c r="V34" s="378"/>
      <c r="W34" s="378"/>
      <c r="X34" s="378"/>
      <c r="Y34" s="378"/>
      <c r="Z34" s="378"/>
      <c r="AA34" s="378"/>
      <c r="AB34" s="378"/>
      <c r="AC34" s="378"/>
      <c r="AD34" s="378"/>
      <c r="AE34" s="378"/>
      <c r="AF34" s="378"/>
      <c r="AG34" s="378"/>
      <c r="AH34" s="378"/>
      <c r="AI34" s="378"/>
      <c r="AJ34" s="378"/>
      <c r="AK34" s="378"/>
      <c r="AL34" s="378"/>
      <c r="AM34" s="378"/>
      <c r="AN34" s="378"/>
      <c r="AO34" s="666"/>
    </row>
    <row r="35" spans="1:41" ht="12.75" customHeight="1" x14ac:dyDescent="0.2">
      <c r="A35" s="85"/>
      <c r="B35" s="382" t="s">
        <v>236</v>
      </c>
      <c r="C35" s="382"/>
      <c r="D35" s="382"/>
      <c r="E35" s="382"/>
      <c r="F35" s="382"/>
      <c r="G35" s="382"/>
      <c r="H35" s="382"/>
      <c r="I35" s="382"/>
      <c r="J35" s="382"/>
      <c r="K35" s="382"/>
      <c r="L35" s="382"/>
      <c r="M35" s="382"/>
      <c r="N35" s="382"/>
      <c r="O35" s="382"/>
      <c r="P35" s="382"/>
      <c r="Q35" s="382"/>
      <c r="R35" s="382"/>
      <c r="S35" s="382"/>
      <c r="T35" s="382"/>
      <c r="U35" s="382"/>
      <c r="V35" s="382"/>
      <c r="W35" s="382"/>
      <c r="X35" s="382"/>
      <c r="Y35" s="382"/>
      <c r="Z35" s="382"/>
      <c r="AA35" s="382"/>
      <c r="AB35" s="382"/>
      <c r="AC35" s="382"/>
      <c r="AD35" s="382"/>
      <c r="AE35" s="382"/>
      <c r="AF35" s="382"/>
      <c r="AG35" s="382"/>
      <c r="AH35" s="382"/>
      <c r="AI35" s="382"/>
      <c r="AJ35" s="382"/>
      <c r="AK35" s="382"/>
      <c r="AL35" s="382"/>
      <c r="AM35" s="382"/>
      <c r="AN35" s="382"/>
      <c r="AO35" s="383"/>
    </row>
    <row r="36" spans="1:41" ht="12.75" customHeight="1" x14ac:dyDescent="0.2">
      <c r="A36" s="670"/>
      <c r="B36" s="671"/>
      <c r="C36" s="671"/>
      <c r="D36" s="671"/>
      <c r="E36" s="671"/>
      <c r="F36" s="671"/>
      <c r="G36" s="671"/>
      <c r="H36" s="671"/>
      <c r="I36" s="671"/>
      <c r="J36" s="671"/>
      <c r="K36" s="671"/>
      <c r="L36" s="671"/>
      <c r="M36" s="671"/>
      <c r="N36" s="671"/>
      <c r="O36" s="671"/>
      <c r="P36" s="671"/>
      <c r="Q36" s="671"/>
      <c r="R36" s="671"/>
      <c r="S36" s="671"/>
      <c r="T36" s="671"/>
      <c r="U36" s="671"/>
      <c r="V36" s="671"/>
      <c r="W36" s="671"/>
      <c r="X36" s="671"/>
      <c r="Y36" s="671"/>
      <c r="Z36" s="671"/>
      <c r="AA36" s="671"/>
      <c r="AB36" s="671"/>
      <c r="AC36" s="671"/>
      <c r="AD36" s="671"/>
      <c r="AE36" s="671"/>
      <c r="AF36" s="671"/>
      <c r="AG36" s="671"/>
      <c r="AH36" s="671"/>
      <c r="AI36" s="671"/>
      <c r="AJ36" s="671"/>
      <c r="AK36" s="671"/>
      <c r="AL36" s="671"/>
      <c r="AM36" s="671"/>
      <c r="AN36" s="671"/>
      <c r="AO36" s="672"/>
    </row>
    <row r="37" spans="1:41" ht="12.75" customHeight="1" x14ac:dyDescent="0.2">
      <c r="A37" s="662"/>
      <c r="B37" s="335"/>
      <c r="C37" s="335"/>
      <c r="D37" s="335"/>
      <c r="E37" s="335"/>
      <c r="F37" s="335"/>
      <c r="G37" s="335"/>
      <c r="H37" s="335"/>
      <c r="I37" s="335"/>
      <c r="J37" s="335"/>
      <c r="K37" s="335"/>
      <c r="L37" s="335"/>
      <c r="M37" s="335"/>
      <c r="N37" s="335"/>
      <c r="O37" s="335"/>
      <c r="P37" s="335"/>
      <c r="Q37" s="335"/>
      <c r="R37" s="335"/>
      <c r="S37" s="335"/>
      <c r="T37" s="335"/>
      <c r="U37" s="335"/>
      <c r="V37" s="335"/>
      <c r="W37" s="335"/>
      <c r="X37" s="335"/>
      <c r="Y37" s="335"/>
      <c r="Z37" s="335"/>
      <c r="AA37" s="335"/>
      <c r="AB37" s="335"/>
      <c r="AC37" s="335"/>
      <c r="AD37" s="335"/>
      <c r="AE37" s="335"/>
      <c r="AF37" s="335"/>
      <c r="AG37" s="335"/>
      <c r="AH37" s="335"/>
      <c r="AI37" s="335"/>
      <c r="AJ37" s="335"/>
      <c r="AK37" s="335"/>
      <c r="AL37" s="335"/>
      <c r="AM37" s="335"/>
      <c r="AN37" s="335"/>
      <c r="AO37" s="663"/>
    </row>
    <row r="38" spans="1:41" ht="12.75" customHeight="1" x14ac:dyDescent="0.2">
      <c r="A38" s="23"/>
      <c r="B38" s="351" t="s">
        <v>237</v>
      </c>
      <c r="C38" s="351"/>
      <c r="D38" s="351"/>
      <c r="E38" s="351"/>
      <c r="F38" s="351"/>
      <c r="G38" s="351"/>
      <c r="H38" s="351"/>
      <c r="I38" s="351"/>
      <c r="J38" s="351"/>
      <c r="K38" s="351"/>
      <c r="L38" s="351"/>
      <c r="M38" s="351"/>
      <c r="N38" s="351"/>
      <c r="O38" s="351"/>
      <c r="P38" s="351"/>
      <c r="Q38" s="351"/>
      <c r="R38" s="351"/>
      <c r="S38" s="351"/>
      <c r="T38" s="351"/>
      <c r="U38" s="351"/>
      <c r="V38" s="351"/>
      <c r="W38" s="351"/>
      <c r="X38" s="351"/>
      <c r="Y38" s="351"/>
      <c r="Z38" s="351"/>
      <c r="AA38" s="351"/>
      <c r="AB38" s="351"/>
      <c r="AC38" s="351"/>
      <c r="AD38" s="351"/>
      <c r="AE38" s="351"/>
      <c r="AF38" s="351"/>
      <c r="AG38" s="351"/>
      <c r="AH38" s="351"/>
      <c r="AI38" s="351"/>
      <c r="AJ38" s="351"/>
      <c r="AK38" s="351"/>
      <c r="AL38" s="351"/>
      <c r="AM38" s="351"/>
      <c r="AN38" s="351"/>
      <c r="AO38" s="352"/>
    </row>
    <row r="39" spans="1:41" ht="12.75" customHeight="1" x14ac:dyDescent="0.2">
      <c r="A39" s="23"/>
      <c r="B39" s="351" t="s">
        <v>238</v>
      </c>
      <c r="C39" s="351"/>
      <c r="D39" s="351"/>
      <c r="E39" s="351"/>
      <c r="F39" s="351"/>
      <c r="G39" s="351"/>
      <c r="H39" s="351"/>
      <c r="I39" s="351"/>
      <c r="J39" s="351"/>
      <c r="K39" s="351"/>
      <c r="L39" s="351"/>
      <c r="M39" s="351"/>
      <c r="N39" s="351"/>
      <c r="O39" s="351"/>
      <c r="P39" s="351"/>
      <c r="Q39" s="351"/>
      <c r="R39" s="351"/>
      <c r="S39" s="351"/>
      <c r="T39" s="351"/>
      <c r="U39" s="351"/>
      <c r="V39" s="351"/>
      <c r="W39" s="351"/>
      <c r="X39" s="351"/>
      <c r="Y39" s="351"/>
      <c r="Z39" s="351"/>
      <c r="AA39" s="351"/>
      <c r="AB39" s="351"/>
      <c r="AC39" s="351"/>
      <c r="AD39" s="351"/>
      <c r="AE39" s="351"/>
      <c r="AF39" s="351"/>
      <c r="AG39" s="351"/>
      <c r="AH39" s="351"/>
      <c r="AI39" s="351"/>
      <c r="AJ39" s="351"/>
      <c r="AK39" s="351"/>
      <c r="AL39" s="351"/>
      <c r="AM39" s="351"/>
      <c r="AN39" s="351"/>
      <c r="AO39" s="352"/>
    </row>
    <row r="40" spans="1:41" ht="12.75" customHeight="1" x14ac:dyDescent="0.2">
      <c r="A40" s="23"/>
      <c r="B40" s="351" t="s">
        <v>363</v>
      </c>
      <c r="C40" s="351"/>
      <c r="D40" s="351"/>
      <c r="E40" s="351"/>
      <c r="F40" s="351"/>
      <c r="G40" s="351"/>
      <c r="H40" s="351"/>
      <c r="I40" s="351"/>
      <c r="J40" s="351"/>
      <c r="K40" s="351"/>
      <c r="L40" s="351"/>
      <c r="M40" s="351"/>
      <c r="N40" s="351"/>
      <c r="O40" s="351"/>
      <c r="P40" s="351"/>
      <c r="Q40" s="351"/>
      <c r="R40" s="351"/>
      <c r="S40" s="351"/>
      <c r="T40" s="351"/>
      <c r="U40" s="351"/>
      <c r="V40" s="351"/>
      <c r="W40" s="351"/>
      <c r="X40" s="351"/>
      <c r="Y40" s="351"/>
      <c r="Z40" s="351"/>
      <c r="AA40" s="351"/>
      <c r="AB40" s="351"/>
      <c r="AC40" s="351"/>
      <c r="AD40" s="351"/>
      <c r="AE40" s="351"/>
      <c r="AF40" s="351"/>
      <c r="AG40" s="351"/>
      <c r="AH40" s="351"/>
      <c r="AI40" s="351"/>
      <c r="AJ40" s="351"/>
      <c r="AK40" s="351"/>
      <c r="AL40" s="351"/>
      <c r="AM40" s="351"/>
      <c r="AN40" s="351"/>
      <c r="AO40" s="352"/>
    </row>
    <row r="41" spans="1:41" ht="12.75" customHeight="1" x14ac:dyDescent="0.2">
      <c r="A41" s="23"/>
      <c r="B41" s="351" t="s">
        <v>239</v>
      </c>
      <c r="C41" s="351"/>
      <c r="D41" s="351"/>
      <c r="E41" s="351"/>
      <c r="F41" s="351"/>
      <c r="G41" s="351"/>
      <c r="H41" s="351"/>
      <c r="I41" s="351"/>
      <c r="J41" s="351"/>
      <c r="K41" s="351"/>
      <c r="L41" s="351"/>
      <c r="M41" s="351"/>
      <c r="N41" s="351"/>
      <c r="O41" s="351"/>
      <c r="P41" s="351"/>
      <c r="Q41" s="351"/>
      <c r="R41" s="351"/>
      <c r="S41" s="351"/>
      <c r="T41" s="351"/>
      <c r="U41" s="351"/>
      <c r="V41" s="351"/>
      <c r="W41" s="351"/>
      <c r="X41" s="351"/>
      <c r="Y41" s="351"/>
      <c r="Z41" s="351"/>
      <c r="AA41" s="351"/>
      <c r="AB41" s="351"/>
      <c r="AC41" s="351"/>
      <c r="AD41" s="351"/>
      <c r="AE41" s="351"/>
      <c r="AF41" s="351"/>
      <c r="AG41" s="351"/>
      <c r="AH41" s="351"/>
      <c r="AI41" s="351"/>
      <c r="AJ41" s="351"/>
      <c r="AK41" s="351"/>
      <c r="AL41" s="351"/>
      <c r="AM41" s="351"/>
      <c r="AN41" s="351"/>
      <c r="AO41" s="352"/>
    </row>
    <row r="42" spans="1:41" ht="12.75" customHeight="1" x14ac:dyDescent="0.2">
      <c r="A42" s="381"/>
      <c r="B42" s="382"/>
      <c r="C42" s="382"/>
      <c r="D42" s="382"/>
      <c r="E42" s="382"/>
      <c r="F42" s="382"/>
      <c r="G42" s="382"/>
      <c r="H42" s="382"/>
      <c r="I42" s="382"/>
      <c r="J42" s="382"/>
      <c r="K42" s="382"/>
      <c r="L42" s="382"/>
      <c r="M42" s="382"/>
      <c r="N42" s="382"/>
      <c r="O42" s="382"/>
      <c r="P42" s="382"/>
      <c r="Q42" s="382"/>
      <c r="R42" s="382"/>
      <c r="S42" s="382"/>
      <c r="T42" s="382"/>
      <c r="U42" s="382"/>
      <c r="V42" s="382"/>
      <c r="W42" s="382"/>
      <c r="X42" s="382"/>
      <c r="Y42" s="382"/>
      <c r="Z42" s="382"/>
      <c r="AA42" s="382"/>
      <c r="AB42" s="382"/>
      <c r="AC42" s="382"/>
      <c r="AD42" s="382"/>
      <c r="AE42" s="382"/>
      <c r="AF42" s="382"/>
      <c r="AG42" s="382"/>
      <c r="AH42" s="382"/>
      <c r="AI42" s="382"/>
      <c r="AJ42" s="382"/>
      <c r="AK42" s="382"/>
      <c r="AL42" s="382"/>
      <c r="AM42" s="382"/>
      <c r="AN42" s="382"/>
      <c r="AO42" s="383"/>
    </row>
    <row r="43" spans="1:41" ht="4.5" customHeight="1" x14ac:dyDescent="0.2">
      <c r="A43" s="381"/>
      <c r="B43" s="382"/>
      <c r="C43" s="382"/>
      <c r="D43" s="382"/>
      <c r="E43" s="382"/>
      <c r="F43" s="382"/>
      <c r="G43" s="382"/>
      <c r="H43" s="382"/>
      <c r="I43" s="382"/>
      <c r="J43" s="382"/>
      <c r="K43" s="382"/>
      <c r="L43" s="382"/>
      <c r="M43" s="382"/>
      <c r="N43" s="382"/>
      <c r="O43" s="382"/>
      <c r="P43" s="382"/>
      <c r="Q43" s="382"/>
      <c r="R43" s="382"/>
      <c r="S43" s="382"/>
      <c r="T43" s="382"/>
      <c r="U43" s="382"/>
      <c r="V43" s="382"/>
      <c r="W43" s="382"/>
      <c r="X43" s="382"/>
      <c r="Y43" s="382"/>
      <c r="Z43" s="382"/>
      <c r="AA43" s="382"/>
      <c r="AB43" s="382"/>
      <c r="AC43" s="382"/>
      <c r="AD43" s="382"/>
      <c r="AE43" s="382"/>
      <c r="AF43" s="382"/>
      <c r="AG43" s="382"/>
      <c r="AH43" s="382"/>
      <c r="AI43" s="382"/>
      <c r="AJ43" s="382"/>
      <c r="AK43" s="382"/>
      <c r="AL43" s="382"/>
      <c r="AM43" s="382"/>
      <c r="AN43" s="382"/>
      <c r="AO43" s="383"/>
    </row>
    <row r="44" spans="1:41" ht="12.75" customHeight="1" x14ac:dyDescent="0.2">
      <c r="A44" s="381"/>
      <c r="B44" s="382"/>
      <c r="C44" s="382"/>
      <c r="D44" s="382"/>
      <c r="E44" s="382"/>
      <c r="F44" s="382"/>
      <c r="G44" s="382"/>
      <c r="H44" s="382"/>
      <c r="I44" s="382"/>
      <c r="J44" s="382"/>
      <c r="K44" s="382"/>
      <c r="L44" s="382"/>
      <c r="M44" s="382"/>
      <c r="N44" s="382"/>
      <c r="O44" s="382"/>
      <c r="P44" s="382"/>
      <c r="Q44" s="382"/>
      <c r="R44" s="382"/>
      <c r="S44" s="382"/>
      <c r="T44" s="382"/>
      <c r="U44" s="382"/>
      <c r="V44" s="382"/>
      <c r="W44" s="382"/>
      <c r="X44" s="382"/>
      <c r="Y44" s="382"/>
      <c r="Z44" s="382"/>
      <c r="AA44" s="382"/>
      <c r="AB44" s="382"/>
      <c r="AC44" s="382"/>
      <c r="AD44" s="382"/>
      <c r="AE44" s="382"/>
      <c r="AF44" s="382"/>
      <c r="AG44" s="382"/>
      <c r="AH44" s="382"/>
      <c r="AI44" s="382"/>
      <c r="AJ44" s="382"/>
      <c r="AK44" s="382"/>
      <c r="AL44" s="382"/>
      <c r="AM44" s="382"/>
      <c r="AN44" s="382"/>
      <c r="AO44" s="383"/>
    </row>
    <row r="45" spans="1:41" ht="12.75" customHeight="1" x14ac:dyDescent="0.2">
      <c r="A45" s="23"/>
      <c r="B45" s="393" t="s">
        <v>240</v>
      </c>
      <c r="C45" s="393"/>
      <c r="D45" s="393"/>
      <c r="E45" s="393"/>
      <c r="F45" s="393"/>
      <c r="G45" s="393"/>
      <c r="H45" s="393"/>
      <c r="I45" s="393"/>
      <c r="J45" s="393"/>
      <c r="K45" s="393"/>
      <c r="L45" s="393"/>
      <c r="M45" s="393"/>
      <c r="N45" s="393"/>
      <c r="O45" s="393"/>
      <c r="P45" s="393"/>
      <c r="Q45" s="393"/>
      <c r="R45" s="393"/>
      <c r="S45" s="393"/>
      <c r="T45" s="393"/>
      <c r="U45" s="393"/>
      <c r="V45" s="393"/>
      <c r="W45" s="393"/>
      <c r="X45" s="393"/>
      <c r="Y45" s="393"/>
      <c r="Z45" s="393"/>
      <c r="AA45" s="378"/>
      <c r="AB45" s="378"/>
      <c r="AC45" s="378"/>
      <c r="AD45" s="378"/>
      <c r="AE45" s="378"/>
      <c r="AF45" s="378"/>
      <c r="AG45" s="378"/>
      <c r="AH45" s="378"/>
      <c r="AI45" s="378"/>
      <c r="AJ45" s="378"/>
      <c r="AK45" s="378"/>
      <c r="AL45" s="378"/>
      <c r="AM45" s="378"/>
      <c r="AN45" s="378"/>
      <c r="AO45" s="666"/>
    </row>
    <row r="46" spans="1:41" ht="12.75" customHeight="1" x14ac:dyDescent="0.2">
      <c r="A46" s="381"/>
      <c r="B46" s="382"/>
      <c r="C46" s="382"/>
      <c r="D46" s="382"/>
      <c r="E46" s="382"/>
      <c r="F46" s="382"/>
      <c r="G46" s="382"/>
      <c r="H46" s="382"/>
      <c r="I46" s="382"/>
      <c r="J46" s="382"/>
      <c r="K46" s="382"/>
      <c r="L46" s="382"/>
      <c r="M46" s="382"/>
      <c r="N46" s="382"/>
      <c r="O46" s="382"/>
      <c r="P46" s="382"/>
      <c r="Q46" s="382"/>
      <c r="R46" s="382"/>
      <c r="S46" s="382"/>
      <c r="T46" s="382"/>
      <c r="U46" s="382"/>
      <c r="V46" s="382"/>
      <c r="W46" s="382"/>
      <c r="X46" s="382"/>
      <c r="Y46" s="382"/>
      <c r="Z46" s="382"/>
      <c r="AA46" s="382"/>
      <c r="AB46" s="382"/>
      <c r="AC46" s="382"/>
      <c r="AD46" s="382"/>
      <c r="AE46" s="382"/>
      <c r="AF46" s="382"/>
      <c r="AG46" s="382"/>
      <c r="AH46" s="382"/>
      <c r="AI46" s="382"/>
      <c r="AJ46" s="382"/>
      <c r="AK46" s="382"/>
      <c r="AL46" s="382"/>
      <c r="AM46" s="382"/>
      <c r="AN46" s="382"/>
      <c r="AO46" s="383"/>
    </row>
    <row r="47" spans="1:41" ht="12.75" customHeight="1" x14ac:dyDescent="0.2">
      <c r="A47" s="23"/>
      <c r="B47" s="24" t="s">
        <v>17</v>
      </c>
      <c r="C47" s="354"/>
      <c r="D47" s="354"/>
      <c r="E47" s="354"/>
      <c r="F47" s="354"/>
      <c r="G47" s="354"/>
      <c r="H47" s="354"/>
      <c r="I47" s="354"/>
      <c r="J47" s="354"/>
      <c r="K47" s="354"/>
      <c r="L47" s="354"/>
      <c r="M47" s="354"/>
      <c r="N47" s="354"/>
      <c r="O47" s="272"/>
      <c r="P47" s="272"/>
      <c r="Q47" s="272"/>
      <c r="R47" s="272"/>
      <c r="S47" s="272"/>
      <c r="T47" s="272"/>
      <c r="U47" s="272"/>
      <c r="V47" s="272"/>
      <c r="W47" s="272"/>
      <c r="X47" s="272"/>
      <c r="Y47" s="272"/>
      <c r="Z47" s="272"/>
      <c r="AA47" s="272"/>
      <c r="AB47" s="671" t="str">
        <f>A!B6</f>
        <v>MSL Marine Surveyors And Logistics</v>
      </c>
      <c r="AC47" s="671"/>
      <c r="AD47" s="671"/>
      <c r="AE47" s="671"/>
      <c r="AF47" s="671"/>
      <c r="AG47" s="671"/>
      <c r="AH47" s="671"/>
      <c r="AI47" s="671"/>
      <c r="AJ47" s="671"/>
      <c r="AK47" s="671"/>
      <c r="AL47" s="671"/>
      <c r="AM47" s="671"/>
      <c r="AN47" s="671"/>
      <c r="AO47" s="27"/>
    </row>
    <row r="48" spans="1:41" ht="12.75" customHeight="1" x14ac:dyDescent="0.2">
      <c r="A48" s="23"/>
      <c r="B48" s="425" t="s">
        <v>241</v>
      </c>
      <c r="C48" s="425"/>
      <c r="D48" s="425"/>
      <c r="E48" s="425"/>
      <c r="F48" s="425"/>
      <c r="G48" s="425"/>
      <c r="H48" s="425"/>
      <c r="I48" s="425"/>
      <c r="J48" s="425"/>
      <c r="K48" s="425"/>
      <c r="L48" s="425"/>
      <c r="M48" s="425"/>
      <c r="N48" s="425"/>
      <c r="O48" s="272"/>
      <c r="P48" s="272"/>
      <c r="Q48" s="272"/>
      <c r="R48" s="272"/>
      <c r="S48" s="272"/>
      <c r="T48" s="272"/>
      <c r="U48" s="272"/>
      <c r="V48" s="272"/>
      <c r="W48" s="272"/>
      <c r="X48" s="272"/>
      <c r="Y48" s="272"/>
      <c r="Z48" s="272"/>
      <c r="AA48" s="272"/>
      <c r="AB48" s="272"/>
      <c r="AC48" s="272"/>
      <c r="AD48" s="272"/>
      <c r="AE48" s="272"/>
      <c r="AF48" s="272"/>
      <c r="AG48" s="272"/>
      <c r="AH48" s="272"/>
      <c r="AI48" s="272"/>
      <c r="AJ48" s="272"/>
      <c r="AK48" s="272"/>
      <c r="AL48" s="272"/>
      <c r="AM48" s="272"/>
      <c r="AN48" s="272"/>
      <c r="AO48" s="287"/>
    </row>
    <row r="49" spans="1:41" ht="12.75" customHeight="1" x14ac:dyDescent="0.2">
      <c r="A49" s="381"/>
      <c r="B49" s="382"/>
      <c r="C49" s="382"/>
      <c r="D49" s="382"/>
      <c r="E49" s="382"/>
      <c r="F49" s="382"/>
      <c r="G49" s="382"/>
      <c r="H49" s="382"/>
      <c r="I49" s="382"/>
      <c r="J49" s="382"/>
      <c r="K49" s="382"/>
      <c r="L49" s="382"/>
      <c r="M49" s="382"/>
      <c r="N49" s="382"/>
      <c r="O49" s="382"/>
      <c r="P49" s="382"/>
      <c r="Q49" s="382"/>
      <c r="R49" s="382"/>
      <c r="S49" s="382"/>
      <c r="T49" s="382"/>
      <c r="U49" s="382"/>
      <c r="V49" s="382"/>
      <c r="W49" s="382"/>
      <c r="X49" s="382"/>
      <c r="Y49" s="382"/>
      <c r="Z49" s="382"/>
      <c r="AA49" s="382"/>
      <c r="AB49" s="382"/>
      <c r="AC49" s="382"/>
      <c r="AD49" s="382"/>
      <c r="AE49" s="382"/>
      <c r="AF49" s="382"/>
      <c r="AG49" s="382"/>
      <c r="AH49" s="382"/>
      <c r="AI49" s="382"/>
      <c r="AJ49" s="382"/>
      <c r="AK49" s="382"/>
      <c r="AL49" s="382"/>
      <c r="AM49" s="382"/>
      <c r="AN49" s="382"/>
      <c r="AO49" s="383"/>
    </row>
    <row r="50" spans="1:41" ht="12.75" customHeight="1" x14ac:dyDescent="0.2">
      <c r="A50" s="23"/>
      <c r="B50" s="351" t="s">
        <v>242</v>
      </c>
      <c r="C50" s="351"/>
      <c r="D50" s="351"/>
      <c r="E50" s="351"/>
      <c r="F50" s="351"/>
      <c r="G50" s="351"/>
      <c r="H50" s="675" t="str">
        <f>CONCATENATE(AB54," - ",AB56," - ",General!AB10)</f>
        <v xml:space="preserve">Sunday Val m. Sobremonte - Velez Rene Boy Enriquez - MANFRED BOLAÑOS </v>
      </c>
      <c r="I50" s="675"/>
      <c r="J50" s="675"/>
      <c r="K50" s="675"/>
      <c r="L50" s="675"/>
      <c r="M50" s="675"/>
      <c r="N50" s="675"/>
      <c r="O50" s="675"/>
      <c r="P50" s="675"/>
      <c r="Q50" s="675"/>
      <c r="R50" s="675"/>
      <c r="S50" s="675"/>
      <c r="T50" s="675"/>
      <c r="U50" s="675"/>
      <c r="V50" s="675"/>
      <c r="W50" s="675"/>
      <c r="X50" s="675"/>
      <c r="Y50" s="675"/>
      <c r="Z50" s="675"/>
      <c r="AA50" s="675"/>
      <c r="AB50" s="675"/>
      <c r="AC50" s="675"/>
      <c r="AD50" s="675"/>
      <c r="AE50" s="675"/>
      <c r="AF50" s="675"/>
      <c r="AG50" s="675"/>
      <c r="AH50" s="675"/>
      <c r="AI50" s="675"/>
      <c r="AJ50" s="675"/>
      <c r="AK50" s="675"/>
      <c r="AL50" s="675"/>
      <c r="AM50" s="675"/>
      <c r="AN50" s="675"/>
      <c r="AO50" s="27"/>
    </row>
    <row r="51" spans="1:41" ht="12.75" customHeight="1" x14ac:dyDescent="0.2">
      <c r="A51" s="673" t="s">
        <v>243</v>
      </c>
      <c r="B51" s="377"/>
      <c r="C51" s="377"/>
      <c r="D51" s="377"/>
      <c r="E51" s="377"/>
      <c r="F51" s="377"/>
      <c r="G51" s="377"/>
      <c r="H51" s="377"/>
      <c r="I51" s="377"/>
      <c r="J51" s="377"/>
      <c r="K51" s="377"/>
      <c r="L51" s="377"/>
      <c r="M51" s="377"/>
      <c r="N51" s="377"/>
      <c r="O51" s="377"/>
      <c r="P51" s="377"/>
      <c r="Q51" s="377"/>
      <c r="R51" s="377"/>
      <c r="S51" s="377"/>
      <c r="T51" s="377"/>
      <c r="U51" s="377"/>
      <c r="V51" s="377"/>
      <c r="W51" s="377"/>
      <c r="X51" s="377"/>
      <c r="Y51" s="377"/>
      <c r="Z51" s="377"/>
      <c r="AA51" s="377"/>
      <c r="AB51" s="377"/>
      <c r="AC51" s="377"/>
      <c r="AD51" s="377"/>
      <c r="AE51" s="377"/>
      <c r="AF51" s="377"/>
      <c r="AG51" s="377"/>
      <c r="AH51" s="377"/>
      <c r="AI51" s="377"/>
      <c r="AJ51" s="377"/>
      <c r="AK51" s="377"/>
      <c r="AL51" s="377"/>
      <c r="AM51" s="377"/>
      <c r="AN51" s="377"/>
      <c r="AO51" s="674"/>
    </row>
    <row r="52" spans="1:41" ht="12.75" customHeight="1" x14ac:dyDescent="0.2">
      <c r="A52" s="381"/>
      <c r="B52" s="382"/>
      <c r="C52" s="382"/>
      <c r="D52" s="382"/>
      <c r="E52" s="382"/>
      <c r="F52" s="382"/>
      <c r="G52" s="382"/>
      <c r="H52" s="382"/>
      <c r="I52" s="382"/>
      <c r="J52" s="382"/>
      <c r="K52" s="382"/>
      <c r="L52" s="382"/>
      <c r="M52" s="382"/>
      <c r="N52" s="382"/>
      <c r="O52" s="382"/>
      <c r="P52" s="382"/>
      <c r="Q52" s="382"/>
      <c r="R52" s="382"/>
      <c r="S52" s="382"/>
      <c r="T52" s="382"/>
      <c r="U52" s="382"/>
      <c r="V52" s="382"/>
      <c r="W52" s="382"/>
      <c r="X52" s="382"/>
      <c r="Y52" s="382"/>
      <c r="Z52" s="382"/>
      <c r="AA52" s="382"/>
      <c r="AB52" s="382"/>
      <c r="AC52" s="382"/>
      <c r="AD52" s="382"/>
      <c r="AE52" s="382"/>
      <c r="AF52" s="382"/>
      <c r="AG52" s="382"/>
      <c r="AH52" s="382"/>
      <c r="AI52" s="382"/>
      <c r="AJ52" s="382"/>
      <c r="AK52" s="382"/>
      <c r="AL52" s="382"/>
      <c r="AM52" s="382"/>
      <c r="AN52" s="382"/>
      <c r="AO52" s="383"/>
    </row>
    <row r="53" spans="1:41" ht="12.75" customHeight="1" x14ac:dyDescent="0.2">
      <c r="A53" s="676"/>
      <c r="B53" s="678" t="s">
        <v>244</v>
      </c>
      <c r="C53" s="421"/>
      <c r="D53" s="421"/>
      <c r="E53" s="421"/>
      <c r="F53" s="421"/>
      <c r="G53" s="421"/>
      <c r="H53" s="421"/>
      <c r="I53" s="421"/>
      <c r="J53" s="421"/>
      <c r="K53" s="421"/>
      <c r="L53" s="421"/>
      <c r="M53" s="322" t="s">
        <v>245</v>
      </c>
      <c r="N53" s="322"/>
      <c r="O53" s="322"/>
      <c r="P53" s="322"/>
      <c r="Q53" s="322"/>
      <c r="R53" s="322"/>
      <c r="S53" s="322"/>
      <c r="T53" s="335" t="s">
        <v>246</v>
      </c>
      <c r="U53" s="335"/>
      <c r="V53" s="335"/>
      <c r="W53" s="335"/>
      <c r="X53" s="335"/>
      <c r="Y53" s="335"/>
      <c r="Z53" s="335"/>
      <c r="AA53" s="335"/>
      <c r="AB53" s="335"/>
      <c r="AC53" s="335"/>
      <c r="AD53" s="335"/>
      <c r="AE53" s="335"/>
      <c r="AF53" s="335"/>
      <c r="AG53" s="335"/>
      <c r="AH53" s="335"/>
      <c r="AI53" s="335"/>
      <c r="AJ53" s="335"/>
      <c r="AK53" s="335"/>
      <c r="AL53" s="335"/>
      <c r="AM53" s="335"/>
      <c r="AN53" s="663"/>
      <c r="AO53" s="679"/>
    </row>
    <row r="54" spans="1:41" ht="12.75" customHeight="1" x14ac:dyDescent="0.2">
      <c r="A54" s="676"/>
      <c r="B54" s="381"/>
      <c r="C54" s="382"/>
      <c r="D54" s="382"/>
      <c r="E54" s="382"/>
      <c r="F54" s="382"/>
      <c r="G54" s="382"/>
      <c r="H54" s="382"/>
      <c r="I54" s="382"/>
      <c r="J54" s="382"/>
      <c r="K54" s="382"/>
      <c r="L54" s="382"/>
      <c r="M54" s="681" t="s">
        <v>247</v>
      </c>
      <c r="N54" s="681"/>
      <c r="O54" s="681"/>
      <c r="P54" s="681"/>
      <c r="Q54" s="681"/>
      <c r="R54" s="681"/>
      <c r="S54" s="681"/>
      <c r="AB54" t="str">
        <f>+General!H10</f>
        <v>Sunday Val m. Sobremonte</v>
      </c>
      <c r="AO54" s="679"/>
    </row>
    <row r="55" spans="1:41" ht="12.75" customHeight="1" x14ac:dyDescent="0.2">
      <c r="A55" s="676"/>
      <c r="B55" s="381"/>
      <c r="C55" s="382"/>
      <c r="D55" s="382"/>
      <c r="E55" s="382"/>
      <c r="F55" s="382"/>
      <c r="G55" s="382"/>
      <c r="H55" s="382"/>
      <c r="I55" s="382"/>
      <c r="J55" s="382"/>
      <c r="K55" s="382"/>
      <c r="L55" s="382"/>
      <c r="M55" s="681"/>
      <c r="N55" s="681"/>
      <c r="O55" s="681"/>
      <c r="P55" s="681"/>
      <c r="Q55" s="681"/>
      <c r="R55" s="681"/>
      <c r="S55" s="681"/>
      <c r="AO55" s="679"/>
    </row>
    <row r="56" spans="1:41" ht="12.75" customHeight="1" x14ac:dyDescent="0.2">
      <c r="A56" s="677"/>
      <c r="B56" s="353"/>
      <c r="C56" s="354"/>
      <c r="D56" s="354"/>
      <c r="E56" s="354"/>
      <c r="F56" s="354"/>
      <c r="G56" s="354"/>
      <c r="H56" s="354"/>
      <c r="I56" s="354"/>
      <c r="J56" s="354"/>
      <c r="K56" s="354"/>
      <c r="L56" s="354"/>
      <c r="M56" s="682" t="s">
        <v>248</v>
      </c>
      <c r="N56" s="682"/>
      <c r="O56" s="682"/>
      <c r="P56" s="682"/>
      <c r="Q56" s="682"/>
      <c r="R56" s="682"/>
      <c r="S56" s="682"/>
      <c r="AB56" t="str">
        <f>+General!H11</f>
        <v>Velez Rene Boy Enriquez</v>
      </c>
      <c r="AO56" s="680"/>
    </row>
    <row r="57" spans="1:41" ht="12.75" customHeight="1" x14ac:dyDescent="0.2">
      <c r="A57" s="364"/>
      <c r="B57" s="364"/>
      <c r="C57" s="364"/>
      <c r="D57" s="364"/>
      <c r="E57" s="364"/>
      <c r="F57" s="364"/>
      <c r="G57" s="364"/>
      <c r="H57" s="364"/>
      <c r="I57" s="364"/>
      <c r="J57" s="364"/>
      <c r="K57" s="364"/>
      <c r="L57" s="364"/>
      <c r="M57" s="364"/>
      <c r="N57" s="364"/>
      <c r="O57" s="364"/>
      <c r="P57" s="364"/>
      <c r="Q57" s="364"/>
      <c r="R57" s="364"/>
      <c r="S57" s="364"/>
      <c r="T57" s="364"/>
      <c r="U57" s="364"/>
      <c r="V57" s="364"/>
      <c r="W57" s="364"/>
      <c r="X57" s="364"/>
      <c r="Y57" s="364"/>
      <c r="Z57" s="364"/>
      <c r="AA57" s="364"/>
      <c r="AB57" s="364"/>
      <c r="AC57" s="364"/>
      <c r="AD57" s="364"/>
      <c r="AE57" s="364"/>
      <c r="AF57" s="364"/>
      <c r="AG57" s="364"/>
      <c r="AH57" s="364"/>
      <c r="AI57" s="364"/>
      <c r="AJ57" s="364"/>
      <c r="AK57" s="364"/>
      <c r="AL57" s="364"/>
      <c r="AM57" s="364"/>
      <c r="AN57" s="364"/>
      <c r="AO57" s="364"/>
    </row>
    <row r="58" spans="1:41" ht="24.75" customHeight="1" x14ac:dyDescent="0.2">
      <c r="A58" s="377"/>
      <c r="B58" s="378"/>
      <c r="C58" s="378"/>
      <c r="D58" s="378"/>
      <c r="E58" s="378"/>
      <c r="F58" s="378"/>
      <c r="G58" s="378"/>
      <c r="H58" s="378"/>
      <c r="I58" s="378"/>
      <c r="J58" s="378"/>
      <c r="K58" s="378"/>
      <c r="L58" s="378"/>
      <c r="M58" s="378"/>
      <c r="N58" s="378"/>
      <c r="O58" s="378"/>
      <c r="P58" s="378"/>
      <c r="Q58" s="378"/>
      <c r="R58" s="378"/>
      <c r="S58" s="378"/>
      <c r="T58" s="378"/>
      <c r="U58" s="378"/>
      <c r="V58" s="378"/>
      <c r="W58" s="378"/>
      <c r="X58" s="378"/>
      <c r="Y58" s="378"/>
      <c r="Z58" s="378"/>
      <c r="AA58" s="378"/>
      <c r="AB58" s="378"/>
      <c r="AC58" s="378"/>
      <c r="AD58" s="378"/>
      <c r="AE58" s="378"/>
      <c r="AF58" s="378"/>
      <c r="AG58" s="378"/>
      <c r="AH58" s="378"/>
      <c r="AI58" s="378"/>
      <c r="AJ58" s="378"/>
      <c r="AK58" s="378"/>
      <c r="AL58" s="378"/>
      <c r="AM58" s="378"/>
      <c r="AN58" s="378"/>
      <c r="AO58" s="378"/>
    </row>
  </sheetData>
  <mergeCells count="87">
    <mergeCell ref="A57:AO57"/>
    <mergeCell ref="A58:AO58"/>
    <mergeCell ref="A52:AO52"/>
    <mergeCell ref="A53:A56"/>
    <mergeCell ref="B53:L53"/>
    <mergeCell ref="M53:S53"/>
    <mergeCell ref="T53:AN53"/>
    <mergeCell ref="AO53:AO56"/>
    <mergeCell ref="B54:L56"/>
    <mergeCell ref="M54:S54"/>
    <mergeCell ref="M55:S55"/>
    <mergeCell ref="M56:S56"/>
    <mergeCell ref="A51:AO51"/>
    <mergeCell ref="B41:AO41"/>
    <mergeCell ref="A42:AO44"/>
    <mergeCell ref="B45:Z45"/>
    <mergeCell ref="AA45:AO45"/>
    <mergeCell ref="A46:AO46"/>
    <mergeCell ref="C47:N47"/>
    <mergeCell ref="O47:AA47"/>
    <mergeCell ref="AB47:AN47"/>
    <mergeCell ref="B48:N48"/>
    <mergeCell ref="O48:AO48"/>
    <mergeCell ref="A49:AO49"/>
    <mergeCell ref="B50:G50"/>
    <mergeCell ref="H50:AN50"/>
    <mergeCell ref="B40:AO40"/>
    <mergeCell ref="X30:AF30"/>
    <mergeCell ref="A31:W31"/>
    <mergeCell ref="X31:AF31"/>
    <mergeCell ref="A32:W32"/>
    <mergeCell ref="X32:AF32"/>
    <mergeCell ref="A33:AO34"/>
    <mergeCell ref="B35:AO35"/>
    <mergeCell ref="A36:AO36"/>
    <mergeCell ref="A37:AO37"/>
    <mergeCell ref="B38:AO38"/>
    <mergeCell ref="B39:AO39"/>
    <mergeCell ref="B24:AO24"/>
    <mergeCell ref="A25:AO26"/>
    <mergeCell ref="A27:W27"/>
    <mergeCell ref="X27:AG27"/>
    <mergeCell ref="AH27:AO32"/>
    <mergeCell ref="A28:W28"/>
    <mergeCell ref="X28:AF28"/>
    <mergeCell ref="A29:W29"/>
    <mergeCell ref="X29:AF29"/>
    <mergeCell ref="A30:W30"/>
    <mergeCell ref="B23:AO23"/>
    <mergeCell ref="AH17:AO17"/>
    <mergeCell ref="AW17:BD17"/>
    <mergeCell ref="A18:W18"/>
    <mergeCell ref="Y18:AF18"/>
    <mergeCell ref="AH18:AO18"/>
    <mergeCell ref="AW18:BD18"/>
    <mergeCell ref="A19:AO19"/>
    <mergeCell ref="B20:X20"/>
    <mergeCell ref="Y20:AF20"/>
    <mergeCell ref="B21:AO21"/>
    <mergeCell ref="B22:AO22"/>
    <mergeCell ref="A15:W15"/>
    <mergeCell ref="Y15:AG15"/>
    <mergeCell ref="A16:W16"/>
    <mergeCell ref="Y16:AF16"/>
    <mergeCell ref="A17:W17"/>
    <mergeCell ref="Y17:AG17"/>
    <mergeCell ref="A9:AO9"/>
    <mergeCell ref="A11:X13"/>
    <mergeCell ref="Y11:AG12"/>
    <mergeCell ref="Y13:AG13"/>
    <mergeCell ref="A14:W14"/>
    <mergeCell ref="Y14:AF14"/>
    <mergeCell ref="B5:AO5"/>
    <mergeCell ref="A6:AO6"/>
    <mergeCell ref="B7:Y7"/>
    <mergeCell ref="Z7:AO7"/>
    <mergeCell ref="A8:E8"/>
    <mergeCell ref="F8:AB8"/>
    <mergeCell ref="AC8:AO8"/>
    <mergeCell ref="A1:AO1"/>
    <mergeCell ref="A2:X2"/>
    <mergeCell ref="Y2:AH2"/>
    <mergeCell ref="AI2:AO4"/>
    <mergeCell ref="A3:Y3"/>
    <mergeCell ref="AA3:AH3"/>
    <mergeCell ref="A4:Y4"/>
    <mergeCell ref="AA4:AH4"/>
  </mergeCells>
  <printOptions horizontalCentered="1" verticalCentered="1"/>
  <pageMargins left="0.39370078740157483" right="0.39370078740157483" top="0.23622047244094491" bottom="0.23622047244094491" header="0" footer="0.23622047244094491"/>
  <pageSetup orientation="portrait" horizontalDpi="300" verticalDpi="300" r:id="rId1"/>
  <headerFooter alignWithMargins="0">
    <oddFooter>&amp;RPage 2 of 4</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FF0919-2F05-4651-BC63-F375B1CC3064}">
  <sheetPr>
    <tabColor rgb="FFFF0000"/>
    <pageSetUpPr fitToPage="1"/>
  </sheetPr>
  <dimension ref="A1:AV58"/>
  <sheetViews>
    <sheetView showGridLines="0" showZeros="0" topLeftCell="A33" zoomScale="98" zoomScaleNormal="98" workbookViewId="0">
      <selection activeCell="AP1" sqref="A1:AP59"/>
    </sheetView>
  </sheetViews>
  <sheetFormatPr baseColWidth="10" defaultRowHeight="12.75" x14ac:dyDescent="0.2"/>
  <cols>
    <col min="1" max="178" width="2.42578125" customWidth="1"/>
    <col min="257" max="434" width="2.42578125" customWidth="1"/>
    <col min="513" max="690" width="2.42578125" customWidth="1"/>
    <col min="769" max="946" width="2.42578125" customWidth="1"/>
    <col min="1025" max="1202" width="2.42578125" customWidth="1"/>
    <col min="1281" max="1458" width="2.42578125" customWidth="1"/>
    <col min="1537" max="1714" width="2.42578125" customWidth="1"/>
    <col min="1793" max="1970" width="2.42578125" customWidth="1"/>
    <col min="2049" max="2226" width="2.42578125" customWidth="1"/>
    <col min="2305" max="2482" width="2.42578125" customWidth="1"/>
    <col min="2561" max="2738" width="2.42578125" customWidth="1"/>
    <col min="2817" max="2994" width="2.42578125" customWidth="1"/>
    <col min="3073" max="3250" width="2.42578125" customWidth="1"/>
    <col min="3329" max="3506" width="2.42578125" customWidth="1"/>
    <col min="3585" max="3762" width="2.42578125" customWidth="1"/>
    <col min="3841" max="4018" width="2.42578125" customWidth="1"/>
    <col min="4097" max="4274" width="2.42578125" customWidth="1"/>
    <col min="4353" max="4530" width="2.42578125" customWidth="1"/>
    <col min="4609" max="4786" width="2.42578125" customWidth="1"/>
    <col min="4865" max="5042" width="2.42578125" customWidth="1"/>
    <col min="5121" max="5298" width="2.42578125" customWidth="1"/>
    <col min="5377" max="5554" width="2.42578125" customWidth="1"/>
    <col min="5633" max="5810" width="2.42578125" customWidth="1"/>
    <col min="5889" max="6066" width="2.42578125" customWidth="1"/>
    <col min="6145" max="6322" width="2.42578125" customWidth="1"/>
    <col min="6401" max="6578" width="2.42578125" customWidth="1"/>
    <col min="6657" max="6834" width="2.42578125" customWidth="1"/>
    <col min="6913" max="7090" width="2.42578125" customWidth="1"/>
    <col min="7169" max="7346" width="2.42578125" customWidth="1"/>
    <col min="7425" max="7602" width="2.42578125" customWidth="1"/>
    <col min="7681" max="7858" width="2.42578125" customWidth="1"/>
    <col min="7937" max="8114" width="2.42578125" customWidth="1"/>
    <col min="8193" max="8370" width="2.42578125" customWidth="1"/>
    <col min="8449" max="8626" width="2.42578125" customWidth="1"/>
    <col min="8705" max="8882" width="2.42578125" customWidth="1"/>
    <col min="8961" max="9138" width="2.42578125" customWidth="1"/>
    <col min="9217" max="9394" width="2.42578125" customWidth="1"/>
    <col min="9473" max="9650" width="2.42578125" customWidth="1"/>
    <col min="9729" max="9906" width="2.42578125" customWidth="1"/>
    <col min="9985" max="10162" width="2.42578125" customWidth="1"/>
    <col min="10241" max="10418" width="2.42578125" customWidth="1"/>
    <col min="10497" max="10674" width="2.42578125" customWidth="1"/>
    <col min="10753" max="10930" width="2.42578125" customWidth="1"/>
    <col min="11009" max="11186" width="2.42578125" customWidth="1"/>
    <col min="11265" max="11442" width="2.42578125" customWidth="1"/>
    <col min="11521" max="11698" width="2.42578125" customWidth="1"/>
    <col min="11777" max="11954" width="2.42578125" customWidth="1"/>
    <col min="12033" max="12210" width="2.42578125" customWidth="1"/>
    <col min="12289" max="12466" width="2.42578125" customWidth="1"/>
    <col min="12545" max="12722" width="2.42578125" customWidth="1"/>
    <col min="12801" max="12978" width="2.42578125" customWidth="1"/>
    <col min="13057" max="13234" width="2.42578125" customWidth="1"/>
    <col min="13313" max="13490" width="2.42578125" customWidth="1"/>
    <col min="13569" max="13746" width="2.42578125" customWidth="1"/>
    <col min="13825" max="14002" width="2.42578125" customWidth="1"/>
    <col min="14081" max="14258" width="2.42578125" customWidth="1"/>
    <col min="14337" max="14514" width="2.42578125" customWidth="1"/>
    <col min="14593" max="14770" width="2.42578125" customWidth="1"/>
    <col min="14849" max="15026" width="2.42578125" customWidth="1"/>
    <col min="15105" max="15282" width="2.42578125" customWidth="1"/>
    <col min="15361" max="15538" width="2.42578125" customWidth="1"/>
    <col min="15617" max="15794" width="2.42578125" customWidth="1"/>
    <col min="15873" max="16050" width="2.42578125" customWidth="1"/>
    <col min="16129" max="16306" width="2.42578125" customWidth="1"/>
  </cols>
  <sheetData>
    <row r="1" spans="1:41" ht="12.75" customHeight="1" x14ac:dyDescent="0.25">
      <c r="A1" s="333" t="s">
        <v>0</v>
      </c>
      <c r="B1" s="333"/>
      <c r="C1" s="333"/>
      <c r="D1" s="333"/>
      <c r="E1" s="333"/>
      <c r="F1" s="333"/>
      <c r="G1" s="333"/>
      <c r="H1" s="333"/>
      <c r="I1" s="333"/>
      <c r="J1" s="333"/>
      <c r="K1" s="333"/>
      <c r="L1" s="333"/>
      <c r="M1" s="333"/>
      <c r="N1" s="333"/>
      <c r="O1" s="333"/>
      <c r="P1" s="333"/>
      <c r="Q1" s="333"/>
      <c r="R1" s="333"/>
      <c r="S1" s="333"/>
      <c r="T1" s="333"/>
      <c r="U1" s="333"/>
      <c r="V1" s="333"/>
      <c r="W1" s="333"/>
      <c r="X1" s="333"/>
      <c r="Y1" s="333"/>
      <c r="Z1" s="333"/>
      <c r="AA1" s="333"/>
      <c r="AB1" s="333"/>
      <c r="AC1" s="333"/>
      <c r="AD1" s="333"/>
      <c r="AE1" s="333"/>
      <c r="AF1" s="333"/>
      <c r="AG1" s="333"/>
      <c r="AH1" s="333"/>
      <c r="AI1" s="333"/>
      <c r="AJ1" s="333"/>
      <c r="AK1" s="333"/>
      <c r="AL1" s="333"/>
      <c r="AM1" s="333"/>
      <c r="AN1" s="333"/>
      <c r="AO1" s="333"/>
    </row>
    <row r="2" spans="1:41" ht="12.75" customHeight="1" x14ac:dyDescent="0.2">
      <c r="A2" s="334"/>
      <c r="B2" s="335"/>
      <c r="C2" s="335"/>
      <c r="D2" s="335"/>
      <c r="E2" s="335"/>
      <c r="F2" s="335"/>
      <c r="G2" s="335"/>
      <c r="H2" s="335"/>
      <c r="I2" s="335"/>
      <c r="J2" s="335"/>
      <c r="K2" s="335"/>
      <c r="L2" s="335"/>
      <c r="M2" s="335"/>
      <c r="N2" s="335"/>
      <c r="O2" s="335"/>
      <c r="P2" s="335"/>
      <c r="Q2" s="335"/>
      <c r="R2" s="335"/>
      <c r="S2" s="335"/>
      <c r="T2" s="335"/>
      <c r="U2" s="335"/>
      <c r="V2" s="335"/>
      <c r="W2" s="335"/>
      <c r="X2" s="335"/>
      <c r="Y2" s="336"/>
      <c r="Z2" s="336"/>
      <c r="AA2" s="336"/>
      <c r="AB2" s="336"/>
      <c r="AC2" s="336"/>
      <c r="AD2" s="336"/>
      <c r="AE2" s="336"/>
      <c r="AF2" s="336"/>
      <c r="AG2" s="336"/>
      <c r="AH2" s="337"/>
      <c r="AI2" s="380" t="s">
        <v>151</v>
      </c>
      <c r="AJ2" s="339"/>
      <c r="AK2" s="339"/>
      <c r="AL2" s="339"/>
      <c r="AM2" s="339"/>
      <c r="AN2" s="339"/>
      <c r="AO2" s="340"/>
    </row>
    <row r="3" spans="1:41" ht="12.75" customHeight="1" x14ac:dyDescent="0.2">
      <c r="A3" s="347" t="s">
        <v>2</v>
      </c>
      <c r="B3" s="348"/>
      <c r="C3" s="348"/>
      <c r="D3" s="348"/>
      <c r="E3" s="348"/>
      <c r="F3" s="348"/>
      <c r="G3" s="348"/>
      <c r="H3" s="348"/>
      <c r="I3" s="348"/>
      <c r="J3" s="348"/>
      <c r="K3" s="348"/>
      <c r="L3" s="348"/>
      <c r="M3" s="348"/>
      <c r="N3" s="348"/>
      <c r="O3" s="348"/>
      <c r="P3" s="348"/>
      <c r="Q3" s="348"/>
      <c r="R3" s="348"/>
      <c r="S3" s="348"/>
      <c r="T3" s="348"/>
      <c r="U3" s="348"/>
      <c r="V3" s="348"/>
      <c r="W3" s="348"/>
      <c r="X3" s="348"/>
      <c r="Y3" s="349"/>
      <c r="Z3" s="2" t="str">
        <f>+A!Z3</f>
        <v>X</v>
      </c>
      <c r="AA3" s="350" t="s">
        <v>3</v>
      </c>
      <c r="AB3" s="351"/>
      <c r="AC3" s="351"/>
      <c r="AD3" s="351"/>
      <c r="AE3" s="351"/>
      <c r="AF3" s="351"/>
      <c r="AG3" s="351"/>
      <c r="AH3" s="352"/>
      <c r="AI3" s="341"/>
      <c r="AJ3" s="342"/>
      <c r="AK3" s="342"/>
      <c r="AL3" s="342"/>
      <c r="AM3" s="342"/>
      <c r="AN3" s="342"/>
      <c r="AO3" s="343"/>
    </row>
    <row r="4" spans="1:41" ht="12.75" customHeight="1" x14ac:dyDescent="0.2">
      <c r="A4" s="353"/>
      <c r="B4" s="354"/>
      <c r="C4" s="354"/>
      <c r="D4" s="354"/>
      <c r="E4" s="354"/>
      <c r="F4" s="354"/>
      <c r="G4" s="354"/>
      <c r="H4" s="354"/>
      <c r="I4" s="354"/>
      <c r="J4" s="354"/>
      <c r="K4" s="354"/>
      <c r="L4" s="354"/>
      <c r="M4" s="354"/>
      <c r="N4" s="354"/>
      <c r="O4" s="354"/>
      <c r="P4" s="354"/>
      <c r="Q4" s="354"/>
      <c r="R4" s="354"/>
      <c r="S4" s="354"/>
      <c r="T4" s="354"/>
      <c r="U4" s="354"/>
      <c r="V4" s="354"/>
      <c r="W4" s="354"/>
      <c r="X4" s="354"/>
      <c r="Y4" s="355"/>
      <c r="Z4" s="2">
        <f>+A!Z4</f>
        <v>0</v>
      </c>
      <c r="AA4" s="356" t="s">
        <v>4</v>
      </c>
      <c r="AB4" s="357"/>
      <c r="AC4" s="357"/>
      <c r="AD4" s="357"/>
      <c r="AE4" s="357"/>
      <c r="AF4" s="357"/>
      <c r="AG4" s="357"/>
      <c r="AH4" s="358"/>
      <c r="AI4" s="344"/>
      <c r="AJ4" s="345"/>
      <c r="AK4" s="345"/>
      <c r="AL4" s="345"/>
      <c r="AM4" s="345"/>
      <c r="AN4" s="345"/>
      <c r="AO4" s="346"/>
    </row>
    <row r="5" spans="1:41" ht="12.75" customHeight="1" x14ac:dyDescent="0.2">
      <c r="A5" s="6"/>
      <c r="B5" s="322" t="s">
        <v>5</v>
      </c>
      <c r="C5" s="322"/>
      <c r="D5" s="322"/>
      <c r="E5" s="322"/>
      <c r="F5" s="322"/>
      <c r="G5" s="322"/>
      <c r="H5" s="322"/>
      <c r="I5" s="322"/>
      <c r="J5" s="322"/>
      <c r="K5" s="322"/>
      <c r="L5" s="322"/>
      <c r="M5" s="322"/>
      <c r="N5" s="322"/>
      <c r="O5" s="322"/>
      <c r="P5" s="322"/>
      <c r="Q5" s="322"/>
      <c r="R5" s="322"/>
      <c r="S5" s="322"/>
      <c r="T5" s="322"/>
      <c r="U5" s="322"/>
      <c r="V5" s="322"/>
      <c r="W5" s="322"/>
      <c r="X5" s="322"/>
      <c r="Y5" s="322"/>
      <c r="Z5" s="322"/>
      <c r="AA5" s="322"/>
      <c r="AB5" s="322"/>
      <c r="AC5" s="322"/>
      <c r="AD5" s="322"/>
      <c r="AE5" s="322"/>
      <c r="AF5" s="322"/>
      <c r="AG5" s="322"/>
      <c r="AH5" s="322"/>
      <c r="AI5" s="322"/>
      <c r="AJ5" s="322"/>
      <c r="AK5" s="322"/>
      <c r="AL5" s="322"/>
      <c r="AM5" s="322"/>
      <c r="AN5" s="322"/>
      <c r="AO5" s="323"/>
    </row>
    <row r="6" spans="1:41" ht="12.75" customHeight="1" x14ac:dyDescent="0.2">
      <c r="A6" s="353" t="str">
        <f>A!B6</f>
        <v>MSL Marine Surveyors And Logistics</v>
      </c>
      <c r="B6" s="354"/>
      <c r="C6" s="354"/>
      <c r="D6" s="354"/>
      <c r="E6" s="354"/>
      <c r="F6" s="354"/>
      <c r="G6" s="354"/>
      <c r="H6" s="354"/>
      <c r="I6" s="354"/>
      <c r="J6" s="354"/>
      <c r="K6" s="354"/>
      <c r="L6" s="354"/>
      <c r="M6" s="354"/>
      <c r="N6" s="354"/>
      <c r="O6" s="354"/>
      <c r="P6" s="354"/>
      <c r="Q6" s="354"/>
      <c r="R6" s="354"/>
      <c r="S6" s="354"/>
      <c r="T6" s="354"/>
      <c r="U6" s="354"/>
      <c r="V6" s="354"/>
      <c r="W6" s="354"/>
      <c r="X6" s="354"/>
      <c r="Y6" s="354"/>
      <c r="Z6" s="354"/>
      <c r="AA6" s="354"/>
      <c r="AB6" s="354"/>
      <c r="AC6" s="354"/>
      <c r="AD6" s="354"/>
      <c r="AE6" s="354"/>
      <c r="AF6" s="354"/>
      <c r="AG6" s="354"/>
      <c r="AH6" s="354"/>
      <c r="AI6" s="354"/>
      <c r="AJ6" s="354"/>
      <c r="AK6" s="354"/>
      <c r="AL6" s="354"/>
      <c r="AM6" s="354"/>
      <c r="AN6" s="354"/>
      <c r="AO6" s="355"/>
    </row>
    <row r="7" spans="1:41" ht="12.75" customHeight="1" x14ac:dyDescent="0.2">
      <c r="A7" s="6"/>
      <c r="B7" s="322" t="s">
        <v>11</v>
      </c>
      <c r="C7" s="322"/>
      <c r="D7" s="322"/>
      <c r="E7" s="322"/>
      <c r="F7" s="322"/>
      <c r="G7" s="322"/>
      <c r="H7" s="322"/>
      <c r="I7" s="322"/>
      <c r="J7" s="322"/>
      <c r="K7" s="322"/>
      <c r="L7" s="322"/>
      <c r="M7" s="322"/>
      <c r="N7" s="322"/>
      <c r="O7" s="322"/>
      <c r="P7" s="322"/>
      <c r="Q7" s="322"/>
      <c r="R7" s="322"/>
      <c r="S7" s="322"/>
      <c r="T7" s="322"/>
      <c r="U7" s="322"/>
      <c r="V7" s="322"/>
      <c r="W7" s="322"/>
      <c r="X7" s="322"/>
      <c r="Y7" s="322"/>
      <c r="Z7" s="322" t="s">
        <v>13</v>
      </c>
      <c r="AA7" s="322"/>
      <c r="AB7" s="322"/>
      <c r="AC7" s="322"/>
      <c r="AD7" s="322"/>
      <c r="AE7" s="322"/>
      <c r="AF7" s="322"/>
      <c r="AG7" s="322"/>
      <c r="AH7" s="322"/>
      <c r="AI7" s="322"/>
      <c r="AJ7" s="322"/>
      <c r="AK7" s="322"/>
      <c r="AL7" s="322"/>
      <c r="AM7" s="322"/>
      <c r="AN7" s="322"/>
      <c r="AO7" s="323"/>
    </row>
    <row r="8" spans="1:41" ht="12.75" customHeight="1" x14ac:dyDescent="0.2">
      <c r="A8" s="353"/>
      <c r="B8" s="354"/>
      <c r="C8" s="354"/>
      <c r="D8" s="354"/>
      <c r="E8" s="354"/>
      <c r="F8" s="379" t="str">
        <f>+A!G12</f>
        <v>MV SANTA CAROLINA</v>
      </c>
      <c r="G8" s="379"/>
      <c r="H8" s="379"/>
      <c r="I8" s="379"/>
      <c r="J8" s="379"/>
      <c r="K8" s="379"/>
      <c r="L8" s="379"/>
      <c r="M8" s="379"/>
      <c r="N8" s="379"/>
      <c r="O8" s="379"/>
      <c r="P8" s="379"/>
      <c r="Q8" s="379"/>
      <c r="R8" s="379"/>
      <c r="S8" s="379"/>
      <c r="T8" s="379"/>
      <c r="U8" s="379"/>
      <c r="V8" s="379"/>
      <c r="W8" s="379"/>
      <c r="X8" s="379"/>
      <c r="Y8" s="379"/>
      <c r="Z8" s="379"/>
      <c r="AA8" s="379"/>
      <c r="AB8" s="379"/>
      <c r="AC8" s="360" t="str">
        <f>+A!AG12</f>
        <v>2207-1407-2026</v>
      </c>
      <c r="AD8" s="360"/>
      <c r="AE8" s="360"/>
      <c r="AF8" s="360"/>
      <c r="AG8" s="360"/>
      <c r="AH8" s="360"/>
      <c r="AI8" s="360"/>
      <c r="AJ8" s="360"/>
      <c r="AK8" s="360"/>
      <c r="AL8" s="360"/>
      <c r="AM8" s="360"/>
      <c r="AN8" s="360"/>
      <c r="AO8" s="361"/>
    </row>
    <row r="9" spans="1:41" ht="12.75" customHeight="1" x14ac:dyDescent="0.2">
      <c r="A9" s="334" t="s">
        <v>152</v>
      </c>
      <c r="B9" s="689"/>
      <c r="C9" s="689"/>
      <c r="D9" s="689"/>
      <c r="E9" s="689"/>
      <c r="F9" s="689"/>
      <c r="G9" s="689"/>
      <c r="H9" s="689"/>
      <c r="I9" s="689"/>
      <c r="J9" s="689"/>
      <c r="K9" s="322" t="s">
        <v>153</v>
      </c>
      <c r="L9" s="322"/>
      <c r="M9" s="322"/>
      <c r="N9" s="322"/>
      <c r="O9" s="335"/>
      <c r="P9" s="335"/>
      <c r="Q9" s="335"/>
      <c r="R9" s="335"/>
      <c r="S9" s="322" t="s">
        <v>154</v>
      </c>
      <c r="T9" s="322"/>
      <c r="U9" s="322"/>
      <c r="V9" s="399"/>
      <c r="W9" s="399"/>
      <c r="X9" s="399"/>
      <c r="Y9" s="399"/>
      <c r="Z9" s="399"/>
      <c r="AA9" s="399"/>
      <c r="AB9" s="322" t="s">
        <v>155</v>
      </c>
      <c r="AC9" s="322"/>
      <c r="AD9" s="399"/>
      <c r="AE9" s="399"/>
      <c r="AF9" s="399"/>
      <c r="AG9" s="399"/>
      <c r="AH9" s="399"/>
      <c r="AI9" s="399"/>
      <c r="AJ9" s="384" t="s">
        <v>156</v>
      </c>
      <c r="AK9" s="384"/>
      <c r="AL9" s="384"/>
      <c r="AM9" s="384"/>
      <c r="AN9" s="384"/>
      <c r="AO9" s="385"/>
    </row>
    <row r="10" spans="1:41" ht="12.75" customHeight="1" x14ac:dyDescent="0.2">
      <c r="A10" s="353"/>
      <c r="B10" s="354"/>
      <c r="C10" s="354"/>
      <c r="D10" s="354"/>
      <c r="E10" s="354"/>
      <c r="F10" s="354"/>
      <c r="G10" s="354"/>
      <c r="H10" s="354"/>
      <c r="I10" s="354"/>
      <c r="J10" s="354"/>
      <c r="K10" s="683">
        <f>Draft!T3</f>
        <v>0.63888888888888884</v>
      </c>
      <c r="L10" s="684"/>
      <c r="M10" s="684"/>
      <c r="N10" s="684"/>
      <c r="O10" s="684"/>
      <c r="P10" s="684"/>
      <c r="Q10" s="684"/>
      <c r="R10" s="684"/>
      <c r="S10" s="683">
        <f>Draft!T4</f>
        <v>0.68055555555555558</v>
      </c>
      <c r="T10" s="684"/>
      <c r="U10" s="684"/>
      <c r="V10" s="684"/>
      <c r="W10" s="684"/>
      <c r="X10" s="684"/>
      <c r="Y10" s="684"/>
      <c r="Z10" s="684"/>
      <c r="AA10" s="684"/>
      <c r="AB10" s="685">
        <f>+Draft!T2</f>
        <v>46217</v>
      </c>
      <c r="AC10" s="685"/>
      <c r="AD10" s="685"/>
      <c r="AE10" s="685"/>
      <c r="AF10" s="685"/>
      <c r="AG10" s="685"/>
      <c r="AH10" s="685"/>
      <c r="AI10" s="685"/>
      <c r="AJ10" s="686">
        <f>+Draft!E13</f>
        <v>0.83397554029150811</v>
      </c>
      <c r="AK10" s="686"/>
      <c r="AL10" s="686"/>
      <c r="AM10" s="686"/>
      <c r="AN10" s="687" t="s">
        <v>157</v>
      </c>
      <c r="AO10" s="688"/>
    </row>
    <row r="11" spans="1:41" ht="12.75" customHeight="1" x14ac:dyDescent="0.2">
      <c r="A11" s="662"/>
      <c r="B11" s="335"/>
      <c r="C11" s="335"/>
      <c r="D11" s="335"/>
      <c r="E11" s="335"/>
      <c r="F11" s="335"/>
      <c r="G11" s="335"/>
      <c r="H11" s="663"/>
      <c r="I11" s="690"/>
      <c r="J11" s="691"/>
      <c r="K11" s="691"/>
      <c r="L11" s="691"/>
      <c r="M11" s="692"/>
      <c r="N11" s="690"/>
      <c r="O11" s="691"/>
      <c r="P11" s="691"/>
      <c r="Q11" s="691"/>
      <c r="R11" s="692"/>
      <c r="S11" s="690" t="s">
        <v>158</v>
      </c>
      <c r="T11" s="691"/>
      <c r="U11" s="691"/>
      <c r="V11" s="691"/>
      <c r="W11" s="692"/>
      <c r="X11" s="690" t="s">
        <v>159</v>
      </c>
      <c r="Y11" s="691"/>
      <c r="Z11" s="691"/>
      <c r="AA11" s="691"/>
      <c r="AB11" s="691"/>
      <c r="AC11" s="692"/>
      <c r="AD11" s="690"/>
      <c r="AE11" s="691"/>
      <c r="AF11" s="691"/>
      <c r="AG11" s="691"/>
      <c r="AH11" s="691"/>
      <c r="AI11" s="692"/>
      <c r="AJ11" s="690"/>
      <c r="AK11" s="691"/>
      <c r="AL11" s="691"/>
      <c r="AM11" s="691"/>
      <c r="AN11" s="691"/>
      <c r="AO11" s="692"/>
    </row>
    <row r="12" spans="1:41" ht="12.75" customHeight="1" x14ac:dyDescent="0.2">
      <c r="A12" s="586" t="s">
        <v>160</v>
      </c>
      <c r="B12" s="378"/>
      <c r="C12" s="378"/>
      <c r="D12" s="378"/>
      <c r="E12" s="378"/>
      <c r="F12" s="378"/>
      <c r="G12" s="378"/>
      <c r="H12" s="666"/>
      <c r="I12" s="693" t="s">
        <v>161</v>
      </c>
      <c r="J12" s="694"/>
      <c r="K12" s="694"/>
      <c r="L12" s="694"/>
      <c r="M12" s="695"/>
      <c r="N12" s="693" t="s">
        <v>158</v>
      </c>
      <c r="O12" s="694"/>
      <c r="P12" s="694"/>
      <c r="Q12" s="694"/>
      <c r="R12" s="695"/>
      <c r="S12" s="696" t="s">
        <v>162</v>
      </c>
      <c r="T12" s="694"/>
      <c r="U12" s="694"/>
      <c r="V12" s="694"/>
      <c r="W12" s="695"/>
      <c r="X12" s="381" t="s">
        <v>163</v>
      </c>
      <c r="Y12" s="382"/>
      <c r="Z12" s="382"/>
      <c r="AA12" s="382"/>
      <c r="AB12" s="382"/>
      <c r="AC12" s="383"/>
      <c r="AD12" s="381" t="s">
        <v>164</v>
      </c>
      <c r="AE12" s="382"/>
      <c r="AF12" s="382"/>
      <c r="AG12" s="382"/>
      <c r="AH12" s="382"/>
      <c r="AI12" s="383"/>
      <c r="AJ12" s="381" t="s">
        <v>165</v>
      </c>
      <c r="AK12" s="382"/>
      <c r="AL12" s="382"/>
      <c r="AM12" s="382"/>
      <c r="AN12" s="382"/>
      <c r="AO12" s="383"/>
    </row>
    <row r="13" spans="1:41" ht="12.75" customHeight="1" x14ac:dyDescent="0.2">
      <c r="A13" s="65"/>
      <c r="B13" s="389" t="s">
        <v>166</v>
      </c>
      <c r="C13" s="389"/>
      <c r="D13" s="389"/>
      <c r="E13" s="389"/>
      <c r="F13" s="389"/>
      <c r="G13" s="389"/>
      <c r="H13" s="390"/>
      <c r="I13" s="696" t="s">
        <v>167</v>
      </c>
      <c r="J13" s="694"/>
      <c r="K13" s="694"/>
      <c r="L13" s="694"/>
      <c r="M13" s="695"/>
      <c r="N13" s="696" t="s">
        <v>162</v>
      </c>
      <c r="O13" s="694"/>
      <c r="P13" s="694"/>
      <c r="Q13" s="694"/>
      <c r="R13" s="695"/>
      <c r="S13" s="696" t="s">
        <v>168</v>
      </c>
      <c r="T13" s="694"/>
      <c r="U13" s="694"/>
      <c r="V13" s="694"/>
      <c r="W13" s="695"/>
      <c r="X13" s="381" t="s">
        <v>169</v>
      </c>
      <c r="Y13" s="382"/>
      <c r="Z13" s="382"/>
      <c r="AA13" s="382"/>
      <c r="AB13" s="382"/>
      <c r="AC13" s="383"/>
      <c r="AD13" s="381" t="s">
        <v>170</v>
      </c>
      <c r="AE13" s="382"/>
      <c r="AF13" s="382"/>
      <c r="AG13" s="382"/>
      <c r="AH13" s="382"/>
      <c r="AI13" s="383"/>
      <c r="AJ13" s="381" t="s">
        <v>171</v>
      </c>
      <c r="AK13" s="382"/>
      <c r="AL13" s="382"/>
      <c r="AM13" s="382"/>
      <c r="AN13" s="382"/>
      <c r="AO13" s="383"/>
    </row>
    <row r="14" spans="1:41" ht="12.75" customHeight="1" x14ac:dyDescent="0.2">
      <c r="A14" s="65"/>
      <c r="B14" s="389" t="s">
        <v>172</v>
      </c>
      <c r="C14" s="389"/>
      <c r="D14" s="389"/>
      <c r="E14" s="389"/>
      <c r="F14" s="389"/>
      <c r="G14" s="389"/>
      <c r="H14" s="390"/>
      <c r="I14" s="693" t="s">
        <v>173</v>
      </c>
      <c r="J14" s="694"/>
      <c r="K14" s="694"/>
      <c r="L14" s="694"/>
      <c r="M14" s="695"/>
      <c r="N14" s="693" t="s">
        <v>75</v>
      </c>
      <c r="O14" s="694"/>
      <c r="P14" s="694"/>
      <c r="Q14" s="694"/>
      <c r="R14" s="695"/>
      <c r="S14" s="696" t="s">
        <v>174</v>
      </c>
      <c r="T14" s="694"/>
      <c r="U14" s="694"/>
      <c r="V14" s="694"/>
      <c r="W14" s="695"/>
      <c r="X14" s="381" t="s">
        <v>175</v>
      </c>
      <c r="Y14" s="382"/>
      <c r="Z14" s="382"/>
      <c r="AA14" s="382"/>
      <c r="AB14" s="382"/>
      <c r="AC14" s="383"/>
      <c r="AD14" s="381" t="s">
        <v>176</v>
      </c>
      <c r="AE14" s="382"/>
      <c r="AF14" s="382"/>
      <c r="AG14" s="382"/>
      <c r="AH14" s="382"/>
      <c r="AI14" s="383"/>
      <c r="AJ14" s="381" t="s">
        <v>177</v>
      </c>
      <c r="AK14" s="382"/>
      <c r="AL14" s="382"/>
      <c r="AM14" s="382"/>
      <c r="AN14" s="382"/>
      <c r="AO14" s="383"/>
    </row>
    <row r="15" spans="1:41" ht="12.75" customHeight="1" x14ac:dyDescent="0.2">
      <c r="A15" s="66"/>
      <c r="B15" s="706" t="s">
        <v>178</v>
      </c>
      <c r="C15" s="706"/>
      <c r="D15" s="706"/>
      <c r="E15" s="706"/>
      <c r="F15" s="706"/>
      <c r="G15" s="706"/>
      <c r="H15" s="707"/>
      <c r="I15" s="708" t="s">
        <v>75</v>
      </c>
      <c r="J15" s="709"/>
      <c r="K15" s="709"/>
      <c r="L15" s="709"/>
      <c r="M15" s="710"/>
      <c r="N15" s="708"/>
      <c r="O15" s="709"/>
      <c r="P15" s="709"/>
      <c r="Q15" s="709"/>
      <c r="R15" s="710"/>
      <c r="S15" s="708" t="s">
        <v>75</v>
      </c>
      <c r="T15" s="709"/>
      <c r="U15" s="709"/>
      <c r="V15" s="709"/>
      <c r="W15" s="710"/>
      <c r="X15" s="353" t="s">
        <v>179</v>
      </c>
      <c r="Y15" s="354"/>
      <c r="Z15" s="354"/>
      <c r="AA15" s="354"/>
      <c r="AB15" s="354"/>
      <c r="AC15" s="355"/>
      <c r="AD15" s="353" t="s">
        <v>134</v>
      </c>
      <c r="AE15" s="354"/>
      <c r="AF15" s="354"/>
      <c r="AG15" s="354"/>
      <c r="AH15" s="354"/>
      <c r="AI15" s="355"/>
      <c r="AJ15" s="353" t="s">
        <v>180</v>
      </c>
      <c r="AK15" s="354"/>
      <c r="AL15" s="354"/>
      <c r="AM15" s="354"/>
      <c r="AN15" s="354"/>
      <c r="AO15" s="355"/>
    </row>
    <row r="16" spans="1:41" ht="12.75" customHeight="1" x14ac:dyDescent="0.2">
      <c r="A16" s="23"/>
      <c r="B16" s="24" t="s">
        <v>181</v>
      </c>
      <c r="C16" s="24"/>
      <c r="D16" s="25"/>
      <c r="E16" s="25"/>
      <c r="F16" s="25"/>
      <c r="G16" s="25"/>
      <c r="H16" s="25"/>
      <c r="I16" s="67"/>
      <c r="J16" s="67"/>
      <c r="K16" s="67"/>
      <c r="L16" s="67"/>
      <c r="M16" s="67"/>
      <c r="N16" s="67"/>
      <c r="X16" s="25"/>
      <c r="AC16" s="27"/>
      <c r="AD16" s="67"/>
      <c r="AI16" s="67"/>
      <c r="AJ16" s="25"/>
      <c r="AO16" s="27"/>
    </row>
    <row r="17" spans="1:41" ht="6" customHeight="1" x14ac:dyDescent="0.2">
      <c r="A17" s="8"/>
      <c r="B17" s="15"/>
      <c r="C17" s="15"/>
      <c r="D17" s="16"/>
      <c r="E17" s="16"/>
      <c r="F17" s="16"/>
      <c r="G17" s="16"/>
      <c r="H17" s="16"/>
      <c r="I17" s="16"/>
      <c r="J17" s="16"/>
      <c r="K17" s="16"/>
      <c r="L17" s="16"/>
      <c r="M17" s="16"/>
      <c r="N17" s="16"/>
      <c r="X17" s="25"/>
      <c r="AC17" s="27"/>
      <c r="AD17" s="25"/>
      <c r="AI17" s="25"/>
      <c r="AJ17" s="25"/>
      <c r="AO17" s="27"/>
    </row>
    <row r="18" spans="1:41" ht="12.75" customHeight="1" x14ac:dyDescent="0.2">
      <c r="A18" s="68"/>
      <c r="B18" s="387" t="str">
        <f>+Deductions!A11</f>
        <v>FPT</v>
      </c>
      <c r="C18" s="387"/>
      <c r="D18" s="387"/>
      <c r="E18" s="387"/>
      <c r="F18" s="387"/>
      <c r="G18" s="387"/>
      <c r="H18" s="388"/>
      <c r="I18" s="697">
        <f>+Deductions!D11</f>
        <v>0</v>
      </c>
      <c r="J18" s="698"/>
      <c r="K18" s="698"/>
      <c r="L18" s="698"/>
      <c r="M18" s="699"/>
      <c r="N18" s="697">
        <f>+Deductions!G11</f>
        <v>0.03</v>
      </c>
      <c r="O18" s="698"/>
      <c r="P18" s="698"/>
      <c r="Q18" s="698"/>
      <c r="R18" s="699"/>
      <c r="S18" s="697"/>
      <c r="T18" s="698"/>
      <c r="U18" s="698"/>
      <c r="V18" s="698"/>
      <c r="W18" s="699"/>
      <c r="X18" s="700">
        <f>+Deductions!J11</f>
        <v>2.09</v>
      </c>
      <c r="Y18" s="701"/>
      <c r="Z18" s="701"/>
      <c r="AA18" s="701"/>
      <c r="AB18" s="701"/>
      <c r="AC18" s="702"/>
      <c r="AD18" s="703">
        <f>+Deductions!M11</f>
        <v>1.0209999999999999</v>
      </c>
      <c r="AE18" s="704"/>
      <c r="AF18" s="704"/>
      <c r="AG18" s="704"/>
      <c r="AH18" s="704"/>
      <c r="AI18" s="705"/>
      <c r="AJ18" s="700">
        <f>+Deductions!P11</f>
        <v>2.1338899999999996</v>
      </c>
      <c r="AK18" s="701"/>
      <c r="AL18" s="701"/>
      <c r="AM18" s="701"/>
      <c r="AN18" s="701"/>
      <c r="AO18" s="702"/>
    </row>
    <row r="19" spans="1:41" ht="12.75" customHeight="1" x14ac:dyDescent="0.2">
      <c r="A19" s="65"/>
      <c r="B19" s="351" t="str">
        <f>+Deductions!A12</f>
        <v>WBT 1P</v>
      </c>
      <c r="C19" s="351"/>
      <c r="D19" s="351"/>
      <c r="E19" s="351"/>
      <c r="F19" s="351"/>
      <c r="G19" s="351"/>
      <c r="H19" s="352"/>
      <c r="I19" s="714">
        <f>+Deductions!D12</f>
        <v>0</v>
      </c>
      <c r="J19" s="715"/>
      <c r="K19" s="715"/>
      <c r="L19" s="715"/>
      <c r="M19" s="716"/>
      <c r="N19" s="714" t="str">
        <f>+Deductions!G12</f>
        <v>EMPTY</v>
      </c>
      <c r="O19" s="715"/>
      <c r="P19" s="715"/>
      <c r="Q19" s="715"/>
      <c r="R19" s="716"/>
      <c r="S19" s="714"/>
      <c r="T19" s="715"/>
      <c r="U19" s="715"/>
      <c r="V19" s="715"/>
      <c r="W19" s="716"/>
      <c r="X19" s="711">
        <f>+Deductions!J12</f>
        <v>3.55</v>
      </c>
      <c r="Y19" s="712"/>
      <c r="Z19" s="712"/>
      <c r="AA19" s="712"/>
      <c r="AB19" s="712"/>
      <c r="AC19" s="713"/>
      <c r="AD19" s="717">
        <f>+Deductions!M12</f>
        <v>1.0209999999999999</v>
      </c>
      <c r="AE19" s="718"/>
      <c r="AF19" s="718"/>
      <c r="AG19" s="718"/>
      <c r="AH19" s="718"/>
      <c r="AI19" s="719"/>
      <c r="AJ19" s="711">
        <f>+Deductions!P12</f>
        <v>3.6245499999999993</v>
      </c>
      <c r="AK19" s="712"/>
      <c r="AL19" s="712"/>
      <c r="AM19" s="712"/>
      <c r="AN19" s="712"/>
      <c r="AO19" s="713"/>
    </row>
    <row r="20" spans="1:41" ht="12.75" customHeight="1" x14ac:dyDescent="0.2">
      <c r="A20" s="65"/>
      <c r="B20" s="351" t="str">
        <f>+Deductions!A13</f>
        <v>WBT 1S</v>
      </c>
      <c r="C20" s="351"/>
      <c r="D20" s="351"/>
      <c r="E20" s="351"/>
      <c r="F20" s="351"/>
      <c r="G20" s="351"/>
      <c r="H20" s="352"/>
      <c r="I20" s="714">
        <f>+Deductions!D13</f>
        <v>0</v>
      </c>
      <c r="J20" s="715"/>
      <c r="K20" s="715"/>
      <c r="L20" s="715"/>
      <c r="M20" s="716"/>
      <c r="N20" s="714">
        <f>+Deductions!G13</f>
        <v>0.1</v>
      </c>
      <c r="O20" s="715"/>
      <c r="P20" s="715"/>
      <c r="Q20" s="715"/>
      <c r="R20" s="716"/>
      <c r="S20" s="714"/>
      <c r="T20" s="715"/>
      <c r="U20" s="715"/>
      <c r="V20" s="715"/>
      <c r="W20" s="716"/>
      <c r="X20" s="711">
        <f>+Deductions!J13</f>
        <v>28.92</v>
      </c>
      <c r="Y20" s="712"/>
      <c r="Z20" s="712"/>
      <c r="AA20" s="712"/>
      <c r="AB20" s="712"/>
      <c r="AC20" s="713"/>
      <c r="AD20" s="717">
        <f>+Deductions!M13</f>
        <v>1.0209999999999999</v>
      </c>
      <c r="AE20" s="718"/>
      <c r="AF20" s="718"/>
      <c r="AG20" s="718"/>
      <c r="AH20" s="718"/>
      <c r="AI20" s="719"/>
      <c r="AJ20" s="711">
        <f>+Deductions!P13</f>
        <v>29.52732</v>
      </c>
      <c r="AK20" s="712"/>
      <c r="AL20" s="712"/>
      <c r="AM20" s="712"/>
      <c r="AN20" s="712"/>
      <c r="AO20" s="713"/>
    </row>
    <row r="21" spans="1:41" ht="12.75" customHeight="1" x14ac:dyDescent="0.2">
      <c r="A21" s="65"/>
      <c r="B21" s="351" t="str">
        <f>+Deductions!A14</f>
        <v>WBT 2P</v>
      </c>
      <c r="C21" s="351"/>
      <c r="D21" s="351"/>
      <c r="E21" s="351"/>
      <c r="F21" s="351"/>
      <c r="G21" s="351"/>
      <c r="H21" s="352"/>
      <c r="I21" s="714">
        <f>+Deductions!D14</f>
        <v>0</v>
      </c>
      <c r="J21" s="715"/>
      <c r="K21" s="715"/>
      <c r="L21" s="715"/>
      <c r="M21" s="716"/>
      <c r="N21" s="714">
        <f>+Deductions!G14</f>
        <v>0.02</v>
      </c>
      <c r="O21" s="715"/>
      <c r="P21" s="715"/>
      <c r="Q21" s="715"/>
      <c r="R21" s="716"/>
      <c r="S21" s="714"/>
      <c r="T21" s="715"/>
      <c r="U21" s="715"/>
      <c r="V21" s="715"/>
      <c r="W21" s="716"/>
      <c r="X21" s="711">
        <f>+Deductions!J14</f>
        <v>12.03</v>
      </c>
      <c r="Y21" s="712"/>
      <c r="Z21" s="712"/>
      <c r="AA21" s="712"/>
      <c r="AB21" s="712"/>
      <c r="AC21" s="713"/>
      <c r="AD21" s="717">
        <f>+Deductions!M14</f>
        <v>1.0209999999999999</v>
      </c>
      <c r="AE21" s="718"/>
      <c r="AF21" s="718"/>
      <c r="AG21" s="718"/>
      <c r="AH21" s="718"/>
      <c r="AI21" s="719"/>
      <c r="AJ21" s="711">
        <f>+Deductions!P14</f>
        <v>12.282629999999997</v>
      </c>
      <c r="AK21" s="712"/>
      <c r="AL21" s="712"/>
      <c r="AM21" s="712"/>
      <c r="AN21" s="712"/>
      <c r="AO21" s="713"/>
    </row>
    <row r="22" spans="1:41" ht="12.75" customHeight="1" x14ac:dyDescent="0.2">
      <c r="A22" s="65"/>
      <c r="B22" s="351" t="str">
        <f>+Deductions!A15</f>
        <v>WBT 2S</v>
      </c>
      <c r="C22" s="351"/>
      <c r="D22" s="351"/>
      <c r="E22" s="351"/>
      <c r="F22" s="351"/>
      <c r="G22" s="351"/>
      <c r="H22" s="352"/>
      <c r="I22" s="714">
        <f>+Deductions!D15</f>
        <v>0</v>
      </c>
      <c r="J22" s="715"/>
      <c r="K22" s="715"/>
      <c r="L22" s="715"/>
      <c r="M22" s="716"/>
      <c r="N22" s="714" t="str">
        <f>+Deductions!G15</f>
        <v>EMPTY</v>
      </c>
      <c r="O22" s="715"/>
      <c r="P22" s="715"/>
      <c r="Q22" s="715"/>
      <c r="R22" s="716"/>
      <c r="S22" s="714"/>
      <c r="T22" s="715"/>
      <c r="U22" s="715"/>
      <c r="V22" s="715"/>
      <c r="W22" s="716"/>
      <c r="X22" s="711">
        <f>+Deductions!J15</f>
        <v>5.82</v>
      </c>
      <c r="Y22" s="712"/>
      <c r="Z22" s="712"/>
      <c r="AA22" s="712"/>
      <c r="AB22" s="712"/>
      <c r="AC22" s="713"/>
      <c r="AD22" s="717">
        <f>+Deductions!M15</f>
        <v>1.0209999999999999</v>
      </c>
      <c r="AE22" s="718"/>
      <c r="AF22" s="718"/>
      <c r="AG22" s="718"/>
      <c r="AH22" s="718"/>
      <c r="AI22" s="719"/>
      <c r="AJ22" s="711">
        <f>+Deductions!P15</f>
        <v>5.9422199999999998</v>
      </c>
      <c r="AK22" s="712"/>
      <c r="AL22" s="712"/>
      <c r="AM22" s="712"/>
      <c r="AN22" s="712"/>
      <c r="AO22" s="713"/>
    </row>
    <row r="23" spans="1:41" ht="12.75" customHeight="1" x14ac:dyDescent="0.2">
      <c r="A23" s="65"/>
      <c r="B23" s="351" t="str">
        <f>+Deductions!A16</f>
        <v>WBT 3P</v>
      </c>
      <c r="C23" s="351"/>
      <c r="D23" s="351"/>
      <c r="E23" s="351"/>
      <c r="F23" s="351"/>
      <c r="G23" s="351"/>
      <c r="H23" s="352"/>
      <c r="I23" s="714">
        <f>+Deductions!D16</f>
        <v>0</v>
      </c>
      <c r="J23" s="715"/>
      <c r="K23" s="715"/>
      <c r="L23" s="715"/>
      <c r="M23" s="716"/>
      <c r="N23" s="714" t="str">
        <f>+Deductions!G16</f>
        <v>EMPTY</v>
      </c>
      <c r="O23" s="715"/>
      <c r="P23" s="715"/>
      <c r="Q23" s="715"/>
      <c r="R23" s="716"/>
      <c r="S23" s="714"/>
      <c r="T23" s="715"/>
      <c r="U23" s="715"/>
      <c r="V23" s="715"/>
      <c r="W23" s="716"/>
      <c r="X23" s="711">
        <f>+Deductions!J16</f>
        <v>6.96</v>
      </c>
      <c r="Y23" s="712"/>
      <c r="Z23" s="712"/>
      <c r="AA23" s="712"/>
      <c r="AB23" s="712"/>
      <c r="AC23" s="713"/>
      <c r="AD23" s="717">
        <f>+Deductions!M16</f>
        <v>1.0209999999999999</v>
      </c>
      <c r="AE23" s="718"/>
      <c r="AF23" s="718"/>
      <c r="AG23" s="718"/>
      <c r="AH23" s="718"/>
      <c r="AI23" s="719"/>
      <c r="AJ23" s="711">
        <f>+Deductions!P16</f>
        <v>7.1061599999999991</v>
      </c>
      <c r="AK23" s="712"/>
      <c r="AL23" s="712"/>
      <c r="AM23" s="712"/>
      <c r="AN23" s="712"/>
      <c r="AO23" s="713"/>
    </row>
    <row r="24" spans="1:41" ht="12.75" customHeight="1" x14ac:dyDescent="0.2">
      <c r="A24" s="65"/>
      <c r="B24" s="351" t="str">
        <f>+Deductions!A17</f>
        <v>WBT 3S</v>
      </c>
      <c r="C24" s="351"/>
      <c r="D24" s="351"/>
      <c r="E24" s="351"/>
      <c r="F24" s="351"/>
      <c r="G24" s="351"/>
      <c r="H24" s="352"/>
      <c r="I24" s="714">
        <f>+Deductions!D17</f>
        <v>0</v>
      </c>
      <c r="J24" s="715"/>
      <c r="K24" s="715"/>
      <c r="L24" s="715"/>
      <c r="M24" s="716"/>
      <c r="N24" s="714">
        <f>+Deductions!G17</f>
        <v>0.01</v>
      </c>
      <c r="O24" s="715"/>
      <c r="P24" s="715"/>
      <c r="Q24" s="715"/>
      <c r="R24" s="716"/>
      <c r="S24" s="714"/>
      <c r="T24" s="715"/>
      <c r="U24" s="715"/>
      <c r="V24" s="715"/>
      <c r="W24" s="716"/>
      <c r="X24" s="711">
        <f>+Deductions!J17</f>
        <v>6.24</v>
      </c>
      <c r="Y24" s="712"/>
      <c r="Z24" s="712"/>
      <c r="AA24" s="712"/>
      <c r="AB24" s="712"/>
      <c r="AC24" s="713"/>
      <c r="AD24" s="717">
        <f>+Deductions!M17</f>
        <v>1.0209999999999999</v>
      </c>
      <c r="AE24" s="718"/>
      <c r="AF24" s="718"/>
      <c r="AG24" s="718"/>
      <c r="AH24" s="718"/>
      <c r="AI24" s="719"/>
      <c r="AJ24" s="711">
        <f>+Deductions!P17</f>
        <v>6.3710399999999998</v>
      </c>
      <c r="AK24" s="712"/>
      <c r="AL24" s="712"/>
      <c r="AM24" s="712"/>
      <c r="AN24" s="712"/>
      <c r="AO24" s="713"/>
    </row>
    <row r="25" spans="1:41" ht="12.75" customHeight="1" x14ac:dyDescent="0.2">
      <c r="A25" s="65"/>
      <c r="B25" s="351" t="str">
        <f>+Deductions!A18</f>
        <v>WBT 4P</v>
      </c>
      <c r="C25" s="351"/>
      <c r="D25" s="351"/>
      <c r="E25" s="351"/>
      <c r="F25" s="351"/>
      <c r="G25" s="351"/>
      <c r="H25" s="352"/>
      <c r="I25" s="714">
        <f>+Deductions!D18</f>
        <v>0</v>
      </c>
      <c r="J25" s="715"/>
      <c r="K25" s="715"/>
      <c r="L25" s="715"/>
      <c r="M25" s="716"/>
      <c r="N25" s="714">
        <f>+Deductions!G18</f>
        <v>0.01</v>
      </c>
      <c r="O25" s="715"/>
      <c r="P25" s="715"/>
      <c r="Q25" s="715"/>
      <c r="R25" s="716"/>
      <c r="S25" s="714"/>
      <c r="T25" s="715"/>
      <c r="U25" s="715"/>
      <c r="V25" s="715"/>
      <c r="W25" s="716"/>
      <c r="X25" s="711">
        <f>+Deductions!J18</f>
        <v>4.5599999999999996</v>
      </c>
      <c r="Y25" s="712"/>
      <c r="Z25" s="712"/>
      <c r="AA25" s="712"/>
      <c r="AB25" s="712"/>
      <c r="AC25" s="713"/>
      <c r="AD25" s="717">
        <f>+Deductions!M18</f>
        <v>1.0209999999999999</v>
      </c>
      <c r="AE25" s="718"/>
      <c r="AF25" s="718"/>
      <c r="AG25" s="718"/>
      <c r="AH25" s="718"/>
      <c r="AI25" s="719"/>
      <c r="AJ25" s="711">
        <f>+Deductions!P18</f>
        <v>4.655759999999999</v>
      </c>
      <c r="AK25" s="712"/>
      <c r="AL25" s="712"/>
      <c r="AM25" s="712"/>
      <c r="AN25" s="712"/>
      <c r="AO25" s="713"/>
    </row>
    <row r="26" spans="1:41" ht="12.75" customHeight="1" x14ac:dyDescent="0.2">
      <c r="A26" s="65"/>
      <c r="B26" s="351" t="str">
        <f>+Deductions!A19</f>
        <v>WBT 4S</v>
      </c>
      <c r="C26" s="351"/>
      <c r="D26" s="351"/>
      <c r="E26" s="351"/>
      <c r="F26" s="351"/>
      <c r="G26" s="351"/>
      <c r="H26" s="352"/>
      <c r="I26" s="714">
        <f>+Deductions!D19</f>
        <v>0</v>
      </c>
      <c r="J26" s="715"/>
      <c r="K26" s="715"/>
      <c r="L26" s="715"/>
      <c r="M26" s="716"/>
      <c r="N26" s="714" t="str">
        <f>+Deductions!G19</f>
        <v>EMPTY</v>
      </c>
      <c r="O26" s="715"/>
      <c r="P26" s="715"/>
      <c r="Q26" s="715"/>
      <c r="R26" s="716"/>
      <c r="S26" s="714"/>
      <c r="T26" s="715"/>
      <c r="U26" s="715"/>
      <c r="V26" s="715"/>
      <c r="W26" s="716"/>
      <c r="X26" s="711">
        <f>+Deductions!J19</f>
        <v>4.33</v>
      </c>
      <c r="Y26" s="712"/>
      <c r="Z26" s="712"/>
      <c r="AA26" s="712"/>
      <c r="AB26" s="712"/>
      <c r="AC26" s="713"/>
      <c r="AD26" s="717">
        <f>+Deductions!M19</f>
        <v>1.0209999999999999</v>
      </c>
      <c r="AE26" s="718"/>
      <c r="AF26" s="718"/>
      <c r="AG26" s="718"/>
      <c r="AH26" s="718"/>
      <c r="AI26" s="719"/>
      <c r="AJ26" s="711">
        <f>+Deductions!P19</f>
        <v>4.4209299999999994</v>
      </c>
      <c r="AK26" s="712"/>
      <c r="AL26" s="712"/>
      <c r="AM26" s="712"/>
      <c r="AN26" s="712"/>
      <c r="AO26" s="713"/>
    </row>
    <row r="27" spans="1:41" ht="12.75" customHeight="1" x14ac:dyDescent="0.2">
      <c r="A27" s="65"/>
      <c r="B27" s="351" t="str">
        <f>+Deductions!A20</f>
        <v>WBT 5P</v>
      </c>
      <c r="C27" s="351"/>
      <c r="D27" s="351"/>
      <c r="E27" s="351"/>
      <c r="F27" s="351"/>
      <c r="G27" s="351"/>
      <c r="H27" s="352"/>
      <c r="I27" s="714">
        <f>+Deductions!D20</f>
        <v>0</v>
      </c>
      <c r="J27" s="715"/>
      <c r="K27" s="715"/>
      <c r="L27" s="715"/>
      <c r="M27" s="716"/>
      <c r="N27" s="714" t="str">
        <f>+Deductions!G20</f>
        <v>EMPTY</v>
      </c>
      <c r="O27" s="715"/>
      <c r="P27" s="715"/>
      <c r="Q27" s="715"/>
      <c r="R27" s="716"/>
      <c r="S27" s="714"/>
      <c r="T27" s="715"/>
      <c r="U27" s="715"/>
      <c r="V27" s="715"/>
      <c r="W27" s="716"/>
      <c r="X27" s="711">
        <f>+Deductions!J20</f>
        <v>7.83</v>
      </c>
      <c r="Y27" s="712"/>
      <c r="Z27" s="712"/>
      <c r="AA27" s="712"/>
      <c r="AB27" s="712"/>
      <c r="AC27" s="713"/>
      <c r="AD27" s="717">
        <f>+Deductions!M20</f>
        <v>1.0209999999999999</v>
      </c>
      <c r="AE27" s="718"/>
      <c r="AF27" s="718"/>
      <c r="AG27" s="718"/>
      <c r="AH27" s="718"/>
      <c r="AI27" s="719"/>
      <c r="AJ27" s="711">
        <f>+Deductions!P20</f>
        <v>7.9944299999999995</v>
      </c>
      <c r="AK27" s="712"/>
      <c r="AL27" s="712"/>
      <c r="AM27" s="712"/>
      <c r="AN27" s="712"/>
      <c r="AO27" s="713"/>
    </row>
    <row r="28" spans="1:41" ht="12.75" customHeight="1" x14ac:dyDescent="0.2">
      <c r="A28" s="65"/>
      <c r="B28" s="351" t="str">
        <f>+Deductions!A21</f>
        <v>WBT 5S</v>
      </c>
      <c r="C28" s="351"/>
      <c r="D28" s="351"/>
      <c r="E28" s="351"/>
      <c r="F28" s="351"/>
      <c r="G28" s="351"/>
      <c r="H28" s="352"/>
      <c r="I28" s="714">
        <f>+Deductions!D21</f>
        <v>0</v>
      </c>
      <c r="J28" s="715"/>
      <c r="K28" s="715"/>
      <c r="L28" s="715"/>
      <c r="M28" s="716"/>
      <c r="N28" s="714" t="str">
        <f>+Deductions!G21</f>
        <v>EMPTY</v>
      </c>
      <c r="O28" s="715"/>
      <c r="P28" s="715"/>
      <c r="Q28" s="715"/>
      <c r="R28" s="716"/>
      <c r="S28" s="714"/>
      <c r="T28" s="715"/>
      <c r="U28" s="715"/>
      <c r="V28" s="715"/>
      <c r="W28" s="716"/>
      <c r="X28" s="711">
        <f>+Deductions!J21</f>
        <v>7.01</v>
      </c>
      <c r="Y28" s="712"/>
      <c r="Z28" s="712"/>
      <c r="AA28" s="712"/>
      <c r="AB28" s="712"/>
      <c r="AC28" s="713"/>
      <c r="AD28" s="717">
        <f>+Deductions!M21</f>
        <v>1.0209999999999999</v>
      </c>
      <c r="AE28" s="718"/>
      <c r="AF28" s="718"/>
      <c r="AG28" s="718"/>
      <c r="AH28" s="718"/>
      <c r="AI28" s="719"/>
      <c r="AJ28" s="711">
        <f>+Deductions!P21</f>
        <v>7.1572099999999992</v>
      </c>
      <c r="AK28" s="712"/>
      <c r="AL28" s="712"/>
      <c r="AM28" s="712"/>
      <c r="AN28" s="712"/>
      <c r="AO28" s="713"/>
    </row>
    <row r="29" spans="1:41" ht="12.75" customHeight="1" x14ac:dyDescent="0.2">
      <c r="A29" s="65"/>
      <c r="B29" s="351" t="str">
        <f>+Deductions!A22</f>
        <v>APT</v>
      </c>
      <c r="C29" s="351"/>
      <c r="D29" s="351"/>
      <c r="E29" s="351"/>
      <c r="F29" s="351"/>
      <c r="G29" s="351"/>
      <c r="H29" s="352"/>
      <c r="I29" s="714">
        <f>+Deductions!D22</f>
        <v>0</v>
      </c>
      <c r="J29" s="715"/>
      <c r="K29" s="715"/>
      <c r="L29" s="715"/>
      <c r="M29" s="716"/>
      <c r="N29" s="714">
        <f>+Deductions!G22</f>
        <v>0.01</v>
      </c>
      <c r="O29" s="715"/>
      <c r="P29" s="715"/>
      <c r="Q29" s="715"/>
      <c r="R29" s="716"/>
      <c r="S29" s="714"/>
      <c r="T29" s="715"/>
      <c r="U29" s="715"/>
      <c r="V29" s="715"/>
      <c r="W29" s="716"/>
      <c r="X29" s="711">
        <f>+Deductions!J22</f>
        <v>0.2</v>
      </c>
      <c r="Y29" s="712"/>
      <c r="Z29" s="712"/>
      <c r="AA29" s="712"/>
      <c r="AB29" s="712"/>
      <c r="AC29" s="713"/>
      <c r="AD29" s="717">
        <f>+Deductions!M22</f>
        <v>1.0209999999999999</v>
      </c>
      <c r="AE29" s="718"/>
      <c r="AF29" s="718"/>
      <c r="AG29" s="718"/>
      <c r="AH29" s="718"/>
      <c r="AI29" s="719"/>
      <c r="AJ29" s="711">
        <f>+Deductions!P22</f>
        <v>0.20419999999999999</v>
      </c>
      <c r="AK29" s="712"/>
      <c r="AL29" s="712"/>
      <c r="AM29" s="712"/>
      <c r="AN29" s="712"/>
      <c r="AO29" s="713"/>
    </row>
    <row r="30" spans="1:41" ht="12.75" customHeight="1" x14ac:dyDescent="0.2">
      <c r="A30" s="65"/>
      <c r="B30" s="351" t="str">
        <f>+Deductions!A23</f>
        <v>GRAY WT P</v>
      </c>
      <c r="C30" s="351"/>
      <c r="D30" s="351"/>
      <c r="E30" s="351"/>
      <c r="F30" s="351"/>
      <c r="G30" s="351"/>
      <c r="H30" s="352"/>
      <c r="I30" s="714">
        <f>+Deductions!D23</f>
        <v>0</v>
      </c>
      <c r="J30" s="715"/>
      <c r="K30" s="715"/>
      <c r="L30" s="715"/>
      <c r="M30" s="716"/>
      <c r="N30" s="714">
        <f>+Deductions!G23</f>
        <v>3.3</v>
      </c>
      <c r="O30" s="715"/>
      <c r="P30" s="715"/>
      <c r="Q30" s="715"/>
      <c r="R30" s="716"/>
      <c r="S30" s="714"/>
      <c r="T30" s="715"/>
      <c r="U30" s="715"/>
      <c r="V30" s="715"/>
      <c r="W30" s="716"/>
      <c r="X30" s="711">
        <f>+Deductions!J23</f>
        <v>28.98</v>
      </c>
      <c r="Y30" s="712"/>
      <c r="Z30" s="712"/>
      <c r="AA30" s="712"/>
      <c r="AB30" s="712"/>
      <c r="AC30" s="713"/>
      <c r="AD30" s="717">
        <f>+Deductions!M23</f>
        <v>1</v>
      </c>
      <c r="AE30" s="718"/>
      <c r="AF30" s="718"/>
      <c r="AG30" s="718"/>
      <c r="AH30" s="718"/>
      <c r="AI30" s="719"/>
      <c r="AJ30" s="711">
        <f>+Deductions!P23</f>
        <v>28.98</v>
      </c>
      <c r="AK30" s="712"/>
      <c r="AL30" s="712"/>
      <c r="AM30" s="712"/>
      <c r="AN30" s="712"/>
      <c r="AO30" s="713"/>
    </row>
    <row r="31" spans="1:41" ht="12.75" customHeight="1" x14ac:dyDescent="0.2">
      <c r="A31" s="65"/>
      <c r="B31" s="351" t="str">
        <f>+Deductions!A24</f>
        <v xml:space="preserve">GRAYWT S </v>
      </c>
      <c r="C31" s="351"/>
      <c r="D31" s="351"/>
      <c r="E31" s="351"/>
      <c r="F31" s="351"/>
      <c r="G31" s="351"/>
      <c r="H31" s="352"/>
      <c r="I31" s="714">
        <f>+Deductions!D24</f>
        <v>0</v>
      </c>
      <c r="J31" s="715"/>
      <c r="K31" s="715"/>
      <c r="L31" s="715"/>
      <c r="M31" s="716"/>
      <c r="N31" s="714" t="str">
        <f>+Deductions!G24</f>
        <v>EMPTY</v>
      </c>
      <c r="O31" s="715"/>
      <c r="P31" s="715"/>
      <c r="Q31" s="715"/>
      <c r="R31" s="716"/>
      <c r="S31" s="714"/>
      <c r="T31" s="715"/>
      <c r="U31" s="715"/>
      <c r="V31" s="715"/>
      <c r="W31" s="716"/>
      <c r="X31" s="711">
        <f>+Deductions!J24</f>
        <v>0</v>
      </c>
      <c r="Y31" s="712"/>
      <c r="Z31" s="712"/>
      <c r="AA31" s="712"/>
      <c r="AB31" s="712"/>
      <c r="AC31" s="713"/>
      <c r="AD31" s="717">
        <f>+Deductions!M24</f>
        <v>0</v>
      </c>
      <c r="AE31" s="718"/>
      <c r="AF31" s="718"/>
      <c r="AG31" s="718"/>
      <c r="AH31" s="718"/>
      <c r="AI31" s="719"/>
      <c r="AJ31" s="711">
        <f>+Deductions!P24</f>
        <v>0</v>
      </c>
      <c r="AK31" s="712"/>
      <c r="AL31" s="712"/>
      <c r="AM31" s="712"/>
      <c r="AN31" s="712"/>
      <c r="AO31" s="713"/>
    </row>
    <row r="32" spans="1:41" ht="12.75" customHeight="1" x14ac:dyDescent="0.2">
      <c r="A32" s="65"/>
      <c r="B32" s="351">
        <f>+Deductions!A25</f>
        <v>0</v>
      </c>
      <c r="C32" s="351"/>
      <c r="D32" s="351"/>
      <c r="E32" s="351"/>
      <c r="F32" s="351"/>
      <c r="G32" s="351"/>
      <c r="H32" s="352"/>
      <c r="I32" s="714">
        <f>+Deductions!D25</f>
        <v>0</v>
      </c>
      <c r="J32" s="715"/>
      <c r="K32" s="715"/>
      <c r="L32" s="715"/>
      <c r="M32" s="716"/>
      <c r="N32" s="714">
        <f>+Deductions!G25</f>
        <v>0</v>
      </c>
      <c r="O32" s="715"/>
      <c r="P32" s="715"/>
      <c r="Q32" s="715"/>
      <c r="R32" s="716"/>
      <c r="S32" s="714"/>
      <c r="T32" s="715"/>
      <c r="U32" s="715"/>
      <c r="V32" s="715"/>
      <c r="W32" s="716"/>
      <c r="X32" s="711">
        <f>+Deductions!J25</f>
        <v>0</v>
      </c>
      <c r="Y32" s="712"/>
      <c r="Z32" s="712"/>
      <c r="AA32" s="712"/>
      <c r="AB32" s="712"/>
      <c r="AC32" s="713"/>
      <c r="AD32" s="717">
        <f>+Deductions!M25</f>
        <v>0</v>
      </c>
      <c r="AE32" s="718"/>
      <c r="AF32" s="718"/>
      <c r="AG32" s="718"/>
      <c r="AH32" s="718"/>
      <c r="AI32" s="719"/>
      <c r="AJ32" s="711">
        <f>+Deductions!P25</f>
        <v>0</v>
      </c>
      <c r="AK32" s="712"/>
      <c r="AL32" s="712"/>
      <c r="AM32" s="712"/>
      <c r="AN32" s="712"/>
      <c r="AO32" s="713"/>
    </row>
    <row r="33" spans="1:41" ht="12.75" customHeight="1" x14ac:dyDescent="0.2">
      <c r="A33" s="65"/>
      <c r="B33" s="351">
        <f>+Deductions!A26</f>
        <v>0</v>
      </c>
      <c r="C33" s="351"/>
      <c r="D33" s="351"/>
      <c r="E33" s="351"/>
      <c r="F33" s="351"/>
      <c r="G33" s="351"/>
      <c r="H33" s="352"/>
      <c r="I33" s="714">
        <f>+Deductions!D26</f>
        <v>0</v>
      </c>
      <c r="J33" s="715"/>
      <c r="K33" s="715"/>
      <c r="L33" s="715"/>
      <c r="M33" s="716"/>
      <c r="N33" s="714">
        <f>+Deductions!G26</f>
        <v>0</v>
      </c>
      <c r="O33" s="715"/>
      <c r="P33" s="715"/>
      <c r="Q33" s="715"/>
      <c r="R33" s="716"/>
      <c r="S33" s="714"/>
      <c r="T33" s="715"/>
      <c r="U33" s="715"/>
      <c r="V33" s="715"/>
      <c r="W33" s="716"/>
      <c r="X33" s="711">
        <f>+Deductions!J26</f>
        <v>0</v>
      </c>
      <c r="Y33" s="712"/>
      <c r="Z33" s="712"/>
      <c r="AA33" s="712"/>
      <c r="AB33" s="712"/>
      <c r="AC33" s="713"/>
      <c r="AD33" s="717">
        <f>+Deductions!M26</f>
        <v>0</v>
      </c>
      <c r="AE33" s="718"/>
      <c r="AF33" s="718"/>
      <c r="AG33" s="718"/>
      <c r="AH33" s="718"/>
      <c r="AI33" s="719"/>
      <c r="AJ33" s="711">
        <f>+Deductions!P26</f>
        <v>0</v>
      </c>
      <c r="AK33" s="712"/>
      <c r="AL33" s="712"/>
      <c r="AM33" s="712"/>
      <c r="AN33" s="712"/>
      <c r="AO33" s="713"/>
    </row>
    <row r="34" spans="1:41" ht="12.75" customHeight="1" x14ac:dyDescent="0.2">
      <c r="A34" s="65"/>
      <c r="B34" s="351">
        <f>+Deductions!A27</f>
        <v>0</v>
      </c>
      <c r="C34" s="351"/>
      <c r="D34" s="351"/>
      <c r="E34" s="351"/>
      <c r="F34" s="351"/>
      <c r="G34" s="351"/>
      <c r="H34" s="352"/>
      <c r="I34" s="714">
        <f>+Deductions!D27</f>
        <v>0</v>
      </c>
      <c r="J34" s="715"/>
      <c r="K34" s="715"/>
      <c r="L34" s="715"/>
      <c r="M34" s="716"/>
      <c r="N34" s="714">
        <f>+Deductions!G27</f>
        <v>0</v>
      </c>
      <c r="O34" s="715"/>
      <c r="P34" s="715"/>
      <c r="Q34" s="715"/>
      <c r="R34" s="716"/>
      <c r="S34" s="714"/>
      <c r="T34" s="715"/>
      <c r="U34" s="715"/>
      <c r="V34" s="715"/>
      <c r="W34" s="716"/>
      <c r="X34" s="711">
        <f>+Deductions!J27</f>
        <v>0</v>
      </c>
      <c r="Y34" s="712"/>
      <c r="Z34" s="712"/>
      <c r="AA34" s="712"/>
      <c r="AB34" s="712"/>
      <c r="AC34" s="713"/>
      <c r="AD34" s="717">
        <f>+Deductions!M27</f>
        <v>0</v>
      </c>
      <c r="AE34" s="718"/>
      <c r="AF34" s="718"/>
      <c r="AG34" s="718"/>
      <c r="AH34" s="718"/>
      <c r="AI34" s="719"/>
      <c r="AJ34" s="711">
        <f>+Deductions!P27</f>
        <v>0</v>
      </c>
      <c r="AK34" s="712"/>
      <c r="AL34" s="712"/>
      <c r="AM34" s="712"/>
      <c r="AN34" s="712"/>
      <c r="AO34" s="713"/>
    </row>
    <row r="35" spans="1:41" ht="12.75" customHeight="1" x14ac:dyDescent="0.2">
      <c r="A35" s="65"/>
      <c r="B35" s="351">
        <f>+Deductions!A28</f>
        <v>0</v>
      </c>
      <c r="C35" s="351"/>
      <c r="D35" s="351"/>
      <c r="E35" s="351"/>
      <c r="F35" s="351"/>
      <c r="G35" s="351"/>
      <c r="H35" s="352"/>
      <c r="I35" s="714">
        <f>+Deductions!D28</f>
        <v>0</v>
      </c>
      <c r="J35" s="715"/>
      <c r="K35" s="715"/>
      <c r="L35" s="715"/>
      <c r="M35" s="716"/>
      <c r="N35" s="714">
        <f>+Deductions!G28</f>
        <v>0</v>
      </c>
      <c r="O35" s="715"/>
      <c r="P35" s="715"/>
      <c r="Q35" s="715"/>
      <c r="R35" s="716"/>
      <c r="S35" s="714"/>
      <c r="T35" s="715"/>
      <c r="U35" s="715"/>
      <c r="V35" s="715"/>
      <c r="W35" s="716"/>
      <c r="X35" s="711">
        <f>+Deductions!J28</f>
        <v>0</v>
      </c>
      <c r="Y35" s="712"/>
      <c r="Z35" s="712"/>
      <c r="AA35" s="712"/>
      <c r="AB35" s="712"/>
      <c r="AC35" s="713"/>
      <c r="AD35" s="717">
        <f>+Deductions!M28</f>
        <v>0</v>
      </c>
      <c r="AE35" s="718"/>
      <c r="AF35" s="718"/>
      <c r="AG35" s="718"/>
      <c r="AH35" s="718"/>
      <c r="AI35" s="719"/>
      <c r="AJ35" s="711">
        <f>+Deductions!P28</f>
        <v>0</v>
      </c>
      <c r="AK35" s="712"/>
      <c r="AL35" s="712"/>
      <c r="AM35" s="712"/>
      <c r="AN35" s="712"/>
      <c r="AO35" s="713"/>
    </row>
    <row r="36" spans="1:41" ht="12.75" customHeight="1" x14ac:dyDescent="0.2">
      <c r="A36" s="65"/>
      <c r="B36" s="351">
        <f>+Deductions!A29</f>
        <v>0</v>
      </c>
      <c r="C36" s="351"/>
      <c r="D36" s="351"/>
      <c r="E36" s="351"/>
      <c r="F36" s="351"/>
      <c r="G36" s="351"/>
      <c r="H36" s="352"/>
      <c r="I36" s="714">
        <f>+Deductions!D29</f>
        <v>0</v>
      </c>
      <c r="J36" s="715"/>
      <c r="K36" s="715"/>
      <c r="L36" s="715"/>
      <c r="M36" s="716"/>
      <c r="N36" s="714">
        <f>+Deductions!G29</f>
        <v>0</v>
      </c>
      <c r="O36" s="715"/>
      <c r="P36" s="715"/>
      <c r="Q36" s="715"/>
      <c r="R36" s="716"/>
      <c r="S36" s="714"/>
      <c r="T36" s="715"/>
      <c r="U36" s="715"/>
      <c r="V36" s="715"/>
      <c r="W36" s="716"/>
      <c r="X36" s="711">
        <f>+Deductions!J29</f>
        <v>0</v>
      </c>
      <c r="Y36" s="712"/>
      <c r="Z36" s="712"/>
      <c r="AA36" s="712"/>
      <c r="AB36" s="712"/>
      <c r="AC36" s="713"/>
      <c r="AD36" s="717">
        <f>+Deductions!M29</f>
        <v>0</v>
      </c>
      <c r="AE36" s="718"/>
      <c r="AF36" s="718"/>
      <c r="AG36" s="718"/>
      <c r="AH36" s="718"/>
      <c r="AI36" s="719"/>
      <c r="AJ36" s="711">
        <f>+Deductions!P29</f>
        <v>0</v>
      </c>
      <c r="AK36" s="712"/>
      <c r="AL36" s="712"/>
      <c r="AM36" s="712"/>
      <c r="AN36" s="712"/>
      <c r="AO36" s="713"/>
    </row>
    <row r="37" spans="1:41" ht="12.75" customHeight="1" x14ac:dyDescent="0.2">
      <c r="A37" s="65"/>
      <c r="B37" s="351">
        <f>+Deductions!A30</f>
        <v>0</v>
      </c>
      <c r="C37" s="351"/>
      <c r="D37" s="351"/>
      <c r="E37" s="351"/>
      <c r="F37" s="351"/>
      <c r="G37" s="351"/>
      <c r="H37" s="352"/>
      <c r="I37" s="714">
        <f>+Deductions!D30</f>
        <v>0</v>
      </c>
      <c r="J37" s="715"/>
      <c r="K37" s="715"/>
      <c r="L37" s="715"/>
      <c r="M37" s="716"/>
      <c r="N37" s="714">
        <f>+Deductions!G30</f>
        <v>0</v>
      </c>
      <c r="O37" s="715"/>
      <c r="P37" s="715"/>
      <c r="Q37" s="715"/>
      <c r="R37" s="716"/>
      <c r="S37" s="714"/>
      <c r="T37" s="715"/>
      <c r="U37" s="715"/>
      <c r="V37" s="715"/>
      <c r="W37" s="716"/>
      <c r="X37" s="711">
        <f>+Deductions!J30</f>
        <v>0</v>
      </c>
      <c r="Y37" s="712"/>
      <c r="Z37" s="712"/>
      <c r="AA37" s="712"/>
      <c r="AB37" s="712"/>
      <c r="AC37" s="713"/>
      <c r="AD37" s="717">
        <f>+Deductions!M30</f>
        <v>0</v>
      </c>
      <c r="AE37" s="718"/>
      <c r="AF37" s="718"/>
      <c r="AG37" s="718"/>
      <c r="AH37" s="718"/>
      <c r="AI37" s="719"/>
      <c r="AJ37" s="711">
        <f>+Deductions!P30</f>
        <v>0</v>
      </c>
      <c r="AK37" s="712"/>
      <c r="AL37" s="712"/>
      <c r="AM37" s="712"/>
      <c r="AN37" s="712"/>
      <c r="AO37" s="713"/>
    </row>
    <row r="38" spans="1:41" ht="12.75" customHeight="1" x14ac:dyDescent="0.2">
      <c r="A38" s="65"/>
      <c r="B38" s="351">
        <f>+Deductions!A31</f>
        <v>0</v>
      </c>
      <c r="C38" s="351"/>
      <c r="D38" s="351"/>
      <c r="E38" s="351"/>
      <c r="F38" s="351"/>
      <c r="G38" s="351"/>
      <c r="H38" s="352"/>
      <c r="I38" s="714">
        <f>+Deductions!D31</f>
        <v>0</v>
      </c>
      <c r="J38" s="715"/>
      <c r="K38" s="715"/>
      <c r="L38" s="715"/>
      <c r="M38" s="716"/>
      <c r="N38" s="714">
        <f>+Deductions!G31</f>
        <v>0</v>
      </c>
      <c r="O38" s="715"/>
      <c r="P38" s="715"/>
      <c r="Q38" s="715"/>
      <c r="R38" s="716"/>
      <c r="S38" s="714"/>
      <c r="T38" s="715"/>
      <c r="U38" s="715"/>
      <c r="V38" s="715"/>
      <c r="W38" s="716"/>
      <c r="X38" s="711">
        <f>+Deductions!J31</f>
        <v>0</v>
      </c>
      <c r="Y38" s="712"/>
      <c r="Z38" s="712"/>
      <c r="AA38" s="712"/>
      <c r="AB38" s="712"/>
      <c r="AC38" s="713"/>
      <c r="AD38" s="717">
        <f>+Deductions!M31</f>
        <v>0</v>
      </c>
      <c r="AE38" s="718"/>
      <c r="AF38" s="718"/>
      <c r="AG38" s="718"/>
      <c r="AH38" s="718"/>
      <c r="AI38" s="719"/>
      <c r="AJ38" s="711">
        <f>+Deductions!P31</f>
        <v>0</v>
      </c>
      <c r="AK38" s="712"/>
      <c r="AL38" s="712"/>
      <c r="AM38" s="712"/>
      <c r="AN38" s="712"/>
      <c r="AO38" s="713"/>
    </row>
    <row r="39" spans="1:41" ht="12.75" customHeight="1" x14ac:dyDescent="0.2">
      <c r="A39" s="65"/>
      <c r="B39" s="351">
        <f>+Deductions!A32</f>
        <v>0</v>
      </c>
      <c r="C39" s="351"/>
      <c r="D39" s="351"/>
      <c r="E39" s="351"/>
      <c r="F39" s="351"/>
      <c r="G39" s="351"/>
      <c r="H39" s="352"/>
      <c r="I39" s="714">
        <f>+Deductions!D32</f>
        <v>0</v>
      </c>
      <c r="J39" s="715"/>
      <c r="K39" s="715"/>
      <c r="L39" s="715"/>
      <c r="M39" s="716"/>
      <c r="N39" s="714">
        <f>+Deductions!G32</f>
        <v>0</v>
      </c>
      <c r="O39" s="715"/>
      <c r="P39" s="715"/>
      <c r="Q39" s="715"/>
      <c r="R39" s="716"/>
      <c r="S39" s="714"/>
      <c r="T39" s="715"/>
      <c r="U39" s="715"/>
      <c r="V39" s="715"/>
      <c r="W39" s="716"/>
      <c r="X39" s="711">
        <f>+Deductions!J32</f>
        <v>0</v>
      </c>
      <c r="Y39" s="712"/>
      <c r="Z39" s="712"/>
      <c r="AA39" s="712"/>
      <c r="AB39" s="712"/>
      <c r="AC39" s="713"/>
      <c r="AD39" s="717">
        <f>+Deductions!M32</f>
        <v>0</v>
      </c>
      <c r="AE39" s="718"/>
      <c r="AF39" s="718"/>
      <c r="AG39" s="718"/>
      <c r="AH39" s="718"/>
      <c r="AI39" s="719"/>
      <c r="AJ39" s="711">
        <f>+Deductions!P32</f>
        <v>0</v>
      </c>
      <c r="AK39" s="712"/>
      <c r="AL39" s="712"/>
      <c r="AM39" s="712"/>
      <c r="AN39" s="712"/>
      <c r="AO39" s="713"/>
    </row>
    <row r="40" spans="1:41" ht="12.75" customHeight="1" x14ac:dyDescent="0.2">
      <c r="A40" s="65"/>
      <c r="B40" s="351">
        <f>+Deductions!A33</f>
        <v>0</v>
      </c>
      <c r="C40" s="351"/>
      <c r="D40" s="351"/>
      <c r="E40" s="351"/>
      <c r="F40" s="351"/>
      <c r="G40" s="351"/>
      <c r="H40" s="352"/>
      <c r="I40" s="714">
        <f>+Deductions!D33</f>
        <v>0</v>
      </c>
      <c r="J40" s="715"/>
      <c r="K40" s="715"/>
      <c r="L40" s="715"/>
      <c r="M40" s="716"/>
      <c r="N40" s="714">
        <f>+Deductions!G33</f>
        <v>0</v>
      </c>
      <c r="O40" s="715"/>
      <c r="P40" s="715"/>
      <c r="Q40" s="715"/>
      <c r="R40" s="716"/>
      <c r="S40" s="714"/>
      <c r="T40" s="715"/>
      <c r="U40" s="715"/>
      <c r="V40" s="715"/>
      <c r="W40" s="716"/>
      <c r="X40" s="711">
        <f>+Deductions!J33</f>
        <v>0</v>
      </c>
      <c r="Y40" s="712"/>
      <c r="Z40" s="712"/>
      <c r="AA40" s="712"/>
      <c r="AB40" s="712"/>
      <c r="AC40" s="713"/>
      <c r="AD40" s="717">
        <f>+Deductions!M33</f>
        <v>0</v>
      </c>
      <c r="AE40" s="718"/>
      <c r="AF40" s="718"/>
      <c r="AG40" s="718"/>
      <c r="AH40" s="718"/>
      <c r="AI40" s="719"/>
      <c r="AJ40" s="711">
        <f>+Deductions!P33</f>
        <v>0</v>
      </c>
      <c r="AK40" s="712"/>
      <c r="AL40" s="712"/>
      <c r="AM40" s="712"/>
      <c r="AN40" s="712"/>
      <c r="AO40" s="713"/>
    </row>
    <row r="41" spans="1:41" ht="12.75" customHeight="1" x14ac:dyDescent="0.2">
      <c r="A41" s="65"/>
      <c r="B41" s="351">
        <f>+Deductions!A34</f>
        <v>0</v>
      </c>
      <c r="C41" s="351"/>
      <c r="D41" s="351"/>
      <c r="E41" s="351"/>
      <c r="F41" s="351"/>
      <c r="G41" s="351"/>
      <c r="H41" s="352"/>
      <c r="I41" s="714">
        <f>+Deductions!D34</f>
        <v>0</v>
      </c>
      <c r="J41" s="715"/>
      <c r="K41" s="715"/>
      <c r="L41" s="715"/>
      <c r="M41" s="716"/>
      <c r="N41" s="714">
        <f>+Deductions!G34</f>
        <v>0</v>
      </c>
      <c r="O41" s="715"/>
      <c r="P41" s="715"/>
      <c r="Q41" s="715"/>
      <c r="R41" s="716"/>
      <c r="S41" s="714"/>
      <c r="T41" s="715"/>
      <c r="U41" s="715"/>
      <c r="V41" s="715"/>
      <c r="W41" s="716"/>
      <c r="X41" s="711">
        <f>+Deductions!J34</f>
        <v>0</v>
      </c>
      <c r="Y41" s="712"/>
      <c r="Z41" s="712"/>
      <c r="AA41" s="712"/>
      <c r="AB41" s="712"/>
      <c r="AC41" s="713"/>
      <c r="AD41" s="717">
        <f>+Deductions!M34</f>
        <v>0</v>
      </c>
      <c r="AE41" s="718"/>
      <c r="AF41" s="718"/>
      <c r="AG41" s="718"/>
      <c r="AH41" s="718"/>
      <c r="AI41" s="719"/>
      <c r="AJ41" s="711">
        <f>+Deductions!P34</f>
        <v>0</v>
      </c>
      <c r="AK41" s="712"/>
      <c r="AL41" s="712"/>
      <c r="AM41" s="712"/>
      <c r="AN41" s="712"/>
      <c r="AO41" s="713"/>
    </row>
    <row r="42" spans="1:41" ht="12.75" customHeight="1" x14ac:dyDescent="0.2">
      <c r="A42" s="65"/>
      <c r="B42" s="351">
        <f>+Deductions!A35</f>
        <v>0</v>
      </c>
      <c r="C42" s="351"/>
      <c r="D42" s="351"/>
      <c r="E42" s="351"/>
      <c r="F42" s="351"/>
      <c r="G42" s="351"/>
      <c r="H42" s="352"/>
      <c r="I42" s="714">
        <f>+Deductions!D35</f>
        <v>0</v>
      </c>
      <c r="J42" s="715"/>
      <c r="K42" s="715"/>
      <c r="L42" s="715"/>
      <c r="M42" s="716"/>
      <c r="N42" s="714">
        <f>+Deductions!G35</f>
        <v>0</v>
      </c>
      <c r="O42" s="715"/>
      <c r="P42" s="715"/>
      <c r="Q42" s="715"/>
      <c r="R42" s="716"/>
      <c r="S42" s="714"/>
      <c r="T42" s="715"/>
      <c r="U42" s="715"/>
      <c r="V42" s="715"/>
      <c r="W42" s="716"/>
      <c r="X42" s="711">
        <f>+Deductions!J35</f>
        <v>0</v>
      </c>
      <c r="Y42" s="712"/>
      <c r="Z42" s="712"/>
      <c r="AA42" s="712"/>
      <c r="AB42" s="712"/>
      <c r="AC42" s="713"/>
      <c r="AD42" s="717">
        <f>+Deductions!M35</f>
        <v>0</v>
      </c>
      <c r="AE42" s="718"/>
      <c r="AF42" s="718"/>
      <c r="AG42" s="718"/>
      <c r="AH42" s="718"/>
      <c r="AI42" s="719"/>
      <c r="AJ42" s="711">
        <f>+Deductions!P35</f>
        <v>0</v>
      </c>
      <c r="AK42" s="712"/>
      <c r="AL42" s="712"/>
      <c r="AM42" s="712"/>
      <c r="AN42" s="712"/>
      <c r="AO42" s="713"/>
    </row>
    <row r="43" spans="1:41" ht="12.75" customHeight="1" x14ac:dyDescent="0.2">
      <c r="A43" s="65"/>
      <c r="B43" s="351">
        <f>+Deductions!A36</f>
        <v>0</v>
      </c>
      <c r="C43" s="351"/>
      <c r="D43" s="351"/>
      <c r="E43" s="351"/>
      <c r="F43" s="351"/>
      <c r="G43" s="351"/>
      <c r="H43" s="352"/>
      <c r="I43" s="714">
        <f>+Deductions!D36</f>
        <v>0</v>
      </c>
      <c r="J43" s="715"/>
      <c r="K43" s="715"/>
      <c r="L43" s="715"/>
      <c r="M43" s="716"/>
      <c r="N43" s="714">
        <f>+Deductions!G36</f>
        <v>0</v>
      </c>
      <c r="O43" s="715"/>
      <c r="P43" s="715"/>
      <c r="Q43" s="715"/>
      <c r="R43" s="716"/>
      <c r="S43" s="714"/>
      <c r="T43" s="715"/>
      <c r="U43" s="715"/>
      <c r="V43" s="715"/>
      <c r="W43" s="716"/>
      <c r="X43" s="711">
        <f>+Deductions!J36</f>
        <v>0</v>
      </c>
      <c r="Y43" s="712"/>
      <c r="Z43" s="712"/>
      <c r="AA43" s="712"/>
      <c r="AB43" s="712"/>
      <c r="AC43" s="713"/>
      <c r="AD43" s="717">
        <f>+Deductions!M36</f>
        <v>0</v>
      </c>
      <c r="AE43" s="718"/>
      <c r="AF43" s="718"/>
      <c r="AG43" s="718"/>
      <c r="AH43" s="718"/>
      <c r="AI43" s="719"/>
      <c r="AJ43" s="711">
        <f>+Deductions!P36</f>
        <v>0</v>
      </c>
      <c r="AK43" s="712"/>
      <c r="AL43" s="712"/>
      <c r="AM43" s="712"/>
      <c r="AN43" s="712"/>
      <c r="AO43" s="713"/>
    </row>
    <row r="44" spans="1:41" ht="12.75" customHeight="1" x14ac:dyDescent="0.2">
      <c r="A44" s="66"/>
      <c r="B44" s="357">
        <f>+Deductions!A37</f>
        <v>0</v>
      </c>
      <c r="C44" s="357"/>
      <c r="D44" s="357"/>
      <c r="E44" s="357"/>
      <c r="F44" s="357"/>
      <c r="G44" s="357"/>
      <c r="H44" s="358"/>
      <c r="I44" s="720">
        <f>+Deductions!D37</f>
        <v>0</v>
      </c>
      <c r="J44" s="721"/>
      <c r="K44" s="721"/>
      <c r="L44" s="721"/>
      <c r="M44" s="722"/>
      <c r="N44" s="720">
        <f>+Deductions!G37</f>
        <v>0</v>
      </c>
      <c r="O44" s="721"/>
      <c r="P44" s="721"/>
      <c r="Q44" s="721"/>
      <c r="R44" s="722"/>
      <c r="S44" s="720"/>
      <c r="T44" s="721"/>
      <c r="U44" s="721"/>
      <c r="V44" s="721"/>
      <c r="W44" s="722"/>
      <c r="X44" s="723">
        <f>+Deductions!J37</f>
        <v>0</v>
      </c>
      <c r="Y44" s="724"/>
      <c r="Z44" s="724"/>
      <c r="AA44" s="724"/>
      <c r="AB44" s="724"/>
      <c r="AC44" s="725"/>
      <c r="AD44" s="726">
        <f>+Deductions!M37</f>
        <v>0</v>
      </c>
      <c r="AE44" s="727"/>
      <c r="AF44" s="727"/>
      <c r="AG44" s="727"/>
      <c r="AH44" s="727"/>
      <c r="AI44" s="728"/>
      <c r="AJ44" s="723">
        <f>+Deductions!P37</f>
        <v>0</v>
      </c>
      <c r="AK44" s="724"/>
      <c r="AL44" s="724"/>
      <c r="AM44" s="724"/>
      <c r="AN44" s="724"/>
      <c r="AO44" s="725"/>
    </row>
    <row r="45" spans="1:41" ht="12.75" customHeight="1" x14ac:dyDescent="0.2">
      <c r="A45" s="35"/>
      <c r="B45" s="370" t="s">
        <v>182</v>
      </c>
      <c r="C45" s="370"/>
      <c r="D45" s="370"/>
      <c r="E45" s="370"/>
      <c r="F45" s="370"/>
      <c r="G45" s="370"/>
      <c r="H45" s="370"/>
      <c r="I45" s="370"/>
      <c r="J45" s="370"/>
      <c r="K45" s="370"/>
      <c r="L45" s="370"/>
      <c r="M45" s="370"/>
      <c r="N45" s="370"/>
      <c r="O45" s="370"/>
      <c r="P45" s="370"/>
      <c r="Q45" s="370"/>
      <c r="R45" s="370"/>
      <c r="S45" s="370"/>
      <c r="T45" s="370"/>
      <c r="U45" s="370"/>
      <c r="V45" s="370"/>
      <c r="W45" s="370"/>
      <c r="X45" s="370"/>
      <c r="Y45" s="370"/>
      <c r="Z45" s="370"/>
      <c r="AA45" s="370"/>
      <c r="AB45" s="370"/>
      <c r="AC45" s="370"/>
      <c r="AD45" s="370"/>
      <c r="AE45" s="370"/>
      <c r="AF45" s="370"/>
      <c r="AG45" s="370"/>
      <c r="AH45" s="370"/>
      <c r="AI45" s="370"/>
      <c r="AJ45" s="729">
        <f>+Deductions!P42</f>
        <v>120.40033999999997</v>
      </c>
      <c r="AK45" s="729"/>
      <c r="AL45" s="729"/>
      <c r="AM45" s="729"/>
      <c r="AN45" s="729"/>
      <c r="AO45" s="730"/>
    </row>
    <row r="46" spans="1:41" ht="12.75" customHeight="1" x14ac:dyDescent="0.2">
      <c r="A46" s="23"/>
      <c r="B46" s="24" t="s">
        <v>183</v>
      </c>
      <c r="C46" s="24"/>
      <c r="D46" s="25"/>
      <c r="E46" s="25"/>
      <c r="F46" s="25"/>
      <c r="G46" s="25"/>
      <c r="H46" s="69"/>
      <c r="I46" s="69"/>
      <c r="J46" s="69"/>
      <c r="K46" s="69"/>
      <c r="L46" s="69"/>
      <c r="M46" s="69"/>
      <c r="N46" s="69"/>
      <c r="AD46" s="69"/>
      <c r="AI46" s="70"/>
      <c r="AJ46" s="69"/>
      <c r="AO46" s="71"/>
    </row>
    <row r="47" spans="1:41" ht="5.25" customHeight="1" x14ac:dyDescent="0.2">
      <c r="A47" s="8"/>
      <c r="B47" s="15"/>
      <c r="C47" s="15"/>
      <c r="D47" s="16"/>
      <c r="E47" s="16"/>
      <c r="F47" s="16"/>
      <c r="G47" s="16"/>
      <c r="H47" s="72"/>
      <c r="I47" s="72"/>
      <c r="J47" s="72"/>
      <c r="K47" s="72"/>
      <c r="L47" s="72"/>
      <c r="M47" s="72"/>
      <c r="N47" s="72"/>
      <c r="AD47" s="72"/>
      <c r="AI47" s="73"/>
      <c r="AJ47" s="72"/>
      <c r="AO47" s="74"/>
    </row>
    <row r="48" spans="1:41" ht="12.75" customHeight="1" x14ac:dyDescent="0.2">
      <c r="A48" s="68"/>
      <c r="B48" s="387" t="str">
        <f>+Deductions!A47</f>
        <v>FWT P</v>
      </c>
      <c r="C48" s="387"/>
      <c r="D48" s="387"/>
      <c r="E48" s="387"/>
      <c r="F48" s="387"/>
      <c r="G48" s="387"/>
      <c r="H48" s="388"/>
      <c r="I48" s="697">
        <f>+Deductions!D47</f>
        <v>0</v>
      </c>
      <c r="J48" s="698"/>
      <c r="K48" s="698"/>
      <c r="L48" s="698"/>
      <c r="M48" s="699"/>
      <c r="N48" s="697" t="str">
        <f>+Deductions!G47</f>
        <v>GAUGE</v>
      </c>
      <c r="O48" s="698"/>
      <c r="P48" s="698"/>
      <c r="Q48" s="698"/>
      <c r="R48" s="699"/>
      <c r="S48" s="697"/>
      <c r="T48" s="698"/>
      <c r="U48" s="698"/>
      <c r="V48" s="698"/>
      <c r="W48" s="699"/>
      <c r="X48" s="700">
        <f>+Deductions!J47</f>
        <v>57</v>
      </c>
      <c r="Y48" s="701"/>
      <c r="Z48" s="701"/>
      <c r="AA48" s="701"/>
      <c r="AB48" s="701"/>
      <c r="AC48" s="702"/>
      <c r="AD48" s="703">
        <f>+Deductions!M47</f>
        <v>1</v>
      </c>
      <c r="AE48" s="704"/>
      <c r="AF48" s="704"/>
      <c r="AG48" s="704"/>
      <c r="AH48" s="704"/>
      <c r="AI48" s="705"/>
      <c r="AJ48" s="700">
        <f>+Deductions!P47</f>
        <v>57</v>
      </c>
      <c r="AK48" s="701"/>
      <c r="AL48" s="701"/>
      <c r="AM48" s="701"/>
      <c r="AN48" s="701"/>
      <c r="AO48" s="702"/>
    </row>
    <row r="49" spans="1:48" ht="12.75" customHeight="1" x14ac:dyDescent="0.2">
      <c r="A49" s="65"/>
      <c r="B49" s="351" t="str">
        <f>+Deductions!A48</f>
        <v>DW</v>
      </c>
      <c r="C49" s="351"/>
      <c r="D49" s="351"/>
      <c r="E49" s="351"/>
      <c r="F49" s="351"/>
      <c r="G49" s="351"/>
      <c r="H49" s="352"/>
      <c r="I49" s="714">
        <f>+Deductions!D48</f>
        <v>0</v>
      </c>
      <c r="J49" s="715"/>
      <c r="K49" s="715"/>
      <c r="L49" s="715"/>
      <c r="M49" s="716"/>
      <c r="N49" s="714" t="str">
        <f>+Deductions!G48</f>
        <v>GAUGE</v>
      </c>
      <c r="O49" s="715"/>
      <c r="P49" s="715"/>
      <c r="Q49" s="715"/>
      <c r="R49" s="716"/>
      <c r="S49" s="714"/>
      <c r="T49" s="715"/>
      <c r="U49" s="715"/>
      <c r="V49" s="715"/>
      <c r="W49" s="716"/>
      <c r="X49" s="711">
        <f>+Deductions!J48</f>
        <v>87</v>
      </c>
      <c r="Y49" s="712"/>
      <c r="Z49" s="712"/>
      <c r="AA49" s="712"/>
      <c r="AB49" s="712"/>
      <c r="AC49" s="713"/>
      <c r="AD49" s="717">
        <f>+Deductions!M48</f>
        <v>1</v>
      </c>
      <c r="AE49" s="718"/>
      <c r="AF49" s="718"/>
      <c r="AG49" s="718"/>
      <c r="AH49" s="718"/>
      <c r="AI49" s="719"/>
      <c r="AJ49" s="711">
        <f>+Deductions!P48</f>
        <v>87</v>
      </c>
      <c r="AK49" s="712"/>
      <c r="AL49" s="712"/>
      <c r="AM49" s="712"/>
      <c r="AN49" s="712"/>
      <c r="AO49" s="713"/>
    </row>
    <row r="50" spans="1:48" ht="12.75" customHeight="1" x14ac:dyDescent="0.2">
      <c r="A50" s="65"/>
      <c r="B50" s="351">
        <f>+Deductions!A49</f>
        <v>0</v>
      </c>
      <c r="C50" s="351"/>
      <c r="D50" s="351"/>
      <c r="E50" s="351"/>
      <c r="F50" s="351"/>
      <c r="G50" s="351"/>
      <c r="H50" s="352"/>
      <c r="I50" s="714">
        <f>+Deductions!D49</f>
        <v>0</v>
      </c>
      <c r="J50" s="715"/>
      <c r="K50" s="715"/>
      <c r="L50" s="715"/>
      <c r="M50" s="716"/>
      <c r="N50" s="714">
        <f>+Deductions!G49</f>
        <v>0</v>
      </c>
      <c r="O50" s="715"/>
      <c r="P50" s="715"/>
      <c r="Q50" s="715"/>
      <c r="R50" s="716"/>
      <c r="S50" s="714"/>
      <c r="T50" s="715"/>
      <c r="U50" s="715"/>
      <c r="V50" s="715"/>
      <c r="W50" s="716"/>
      <c r="X50" s="711">
        <f>+Deductions!J49</f>
        <v>0</v>
      </c>
      <c r="Y50" s="712"/>
      <c r="Z50" s="712"/>
      <c r="AA50" s="712"/>
      <c r="AB50" s="712"/>
      <c r="AC50" s="713"/>
      <c r="AD50" s="717">
        <f>+Deductions!M49</f>
        <v>0</v>
      </c>
      <c r="AE50" s="718"/>
      <c r="AF50" s="718"/>
      <c r="AG50" s="718"/>
      <c r="AH50" s="718"/>
      <c r="AI50" s="719"/>
      <c r="AJ50" s="711">
        <f>+Deductions!P49</f>
        <v>0</v>
      </c>
      <c r="AK50" s="712"/>
      <c r="AL50" s="712"/>
      <c r="AM50" s="712"/>
      <c r="AN50" s="712"/>
      <c r="AO50" s="713"/>
    </row>
    <row r="51" spans="1:48" ht="12.75" customHeight="1" x14ac:dyDescent="0.2">
      <c r="A51" s="65"/>
      <c r="B51" s="351">
        <f>+Deductions!A50</f>
        <v>0</v>
      </c>
      <c r="C51" s="351"/>
      <c r="D51" s="351"/>
      <c r="E51" s="351"/>
      <c r="F51" s="351"/>
      <c r="G51" s="351"/>
      <c r="H51" s="352"/>
      <c r="I51" s="714">
        <f>+Deductions!D50</f>
        <v>0</v>
      </c>
      <c r="J51" s="715"/>
      <c r="K51" s="715"/>
      <c r="L51" s="715"/>
      <c r="M51" s="716"/>
      <c r="N51" s="714">
        <f>+Deductions!G50</f>
        <v>0</v>
      </c>
      <c r="O51" s="715"/>
      <c r="P51" s="715"/>
      <c r="Q51" s="715"/>
      <c r="R51" s="716"/>
      <c r="S51" s="714"/>
      <c r="T51" s="715"/>
      <c r="U51" s="715"/>
      <c r="V51" s="715"/>
      <c r="W51" s="716"/>
      <c r="X51" s="711">
        <f>+Deductions!J50</f>
        <v>0</v>
      </c>
      <c r="Y51" s="712"/>
      <c r="Z51" s="712"/>
      <c r="AA51" s="712"/>
      <c r="AB51" s="712"/>
      <c r="AC51" s="713"/>
      <c r="AD51" s="717">
        <f>+Deductions!M50</f>
        <v>0</v>
      </c>
      <c r="AE51" s="718"/>
      <c r="AF51" s="718"/>
      <c r="AG51" s="718"/>
      <c r="AH51" s="718"/>
      <c r="AI51" s="719"/>
      <c r="AJ51" s="711">
        <f>+Deductions!P50</f>
        <v>0</v>
      </c>
      <c r="AK51" s="712"/>
      <c r="AL51" s="712"/>
      <c r="AM51" s="712"/>
      <c r="AN51" s="712"/>
      <c r="AO51" s="713"/>
    </row>
    <row r="52" spans="1:48" ht="12.75" customHeight="1" x14ac:dyDescent="0.2">
      <c r="A52" s="65"/>
      <c r="B52" s="351">
        <f>+Deductions!A51</f>
        <v>0</v>
      </c>
      <c r="C52" s="351"/>
      <c r="D52" s="351"/>
      <c r="E52" s="351"/>
      <c r="F52" s="351"/>
      <c r="G52" s="351"/>
      <c r="H52" s="352"/>
      <c r="I52" s="714">
        <f>+Deductions!D51</f>
        <v>0</v>
      </c>
      <c r="J52" s="715"/>
      <c r="K52" s="715"/>
      <c r="L52" s="715"/>
      <c r="M52" s="716"/>
      <c r="N52" s="714">
        <f>+Deductions!G51</f>
        <v>0</v>
      </c>
      <c r="O52" s="715"/>
      <c r="P52" s="715"/>
      <c r="Q52" s="715"/>
      <c r="R52" s="716"/>
      <c r="S52" s="714"/>
      <c r="T52" s="715"/>
      <c r="U52" s="715"/>
      <c r="V52" s="715"/>
      <c r="W52" s="716"/>
      <c r="X52" s="711">
        <f>+Deductions!J51</f>
        <v>0</v>
      </c>
      <c r="Y52" s="712"/>
      <c r="Z52" s="712"/>
      <c r="AA52" s="712"/>
      <c r="AB52" s="712"/>
      <c r="AC52" s="713"/>
      <c r="AD52" s="717">
        <f>+Deductions!M51</f>
        <v>0</v>
      </c>
      <c r="AE52" s="718"/>
      <c r="AF52" s="718"/>
      <c r="AG52" s="718"/>
      <c r="AH52" s="718"/>
      <c r="AI52" s="719"/>
      <c r="AJ52" s="711">
        <f>+Deductions!P51</f>
        <v>0</v>
      </c>
      <c r="AK52" s="712"/>
      <c r="AL52" s="712"/>
      <c r="AM52" s="712"/>
      <c r="AN52" s="712"/>
      <c r="AO52" s="713"/>
    </row>
    <row r="53" spans="1:48" ht="12.75" customHeight="1" x14ac:dyDescent="0.2">
      <c r="A53" s="66"/>
      <c r="B53" s="357">
        <f>+Deductions!A52</f>
        <v>0</v>
      </c>
      <c r="C53" s="357"/>
      <c r="D53" s="357"/>
      <c r="E53" s="357"/>
      <c r="F53" s="357"/>
      <c r="G53" s="357"/>
      <c r="H53" s="358"/>
      <c r="I53" s="720">
        <f>+Deductions!D52</f>
        <v>0</v>
      </c>
      <c r="J53" s="721"/>
      <c r="K53" s="721"/>
      <c r="L53" s="721"/>
      <c r="M53" s="722"/>
      <c r="N53" s="720">
        <f>+Deductions!G52</f>
        <v>0</v>
      </c>
      <c r="O53" s="721"/>
      <c r="P53" s="721"/>
      <c r="Q53" s="721"/>
      <c r="R53" s="722"/>
      <c r="S53" s="720"/>
      <c r="T53" s="721"/>
      <c r="U53" s="721"/>
      <c r="V53" s="721"/>
      <c r="W53" s="722"/>
      <c r="X53" s="723">
        <f>+Deductions!J52</f>
        <v>0</v>
      </c>
      <c r="Y53" s="724"/>
      <c r="Z53" s="724"/>
      <c r="AA53" s="724"/>
      <c r="AB53" s="724"/>
      <c r="AC53" s="725"/>
      <c r="AD53" s="726">
        <f>+Deductions!M52</f>
        <v>0</v>
      </c>
      <c r="AE53" s="727"/>
      <c r="AF53" s="727"/>
      <c r="AG53" s="727"/>
      <c r="AH53" s="727"/>
      <c r="AI53" s="728"/>
      <c r="AJ53" s="723">
        <f>+Deductions!P52</f>
        <v>0</v>
      </c>
      <c r="AK53" s="724"/>
      <c r="AL53" s="724"/>
      <c r="AM53" s="724"/>
      <c r="AN53" s="724"/>
      <c r="AO53" s="725"/>
    </row>
    <row r="54" spans="1:48" ht="12.75" customHeight="1" x14ac:dyDescent="0.2">
      <c r="A54" s="35"/>
      <c r="B54" s="370" t="s">
        <v>184</v>
      </c>
      <c r="C54" s="370"/>
      <c r="D54" s="370"/>
      <c r="E54" s="370"/>
      <c r="F54" s="370"/>
      <c r="G54" s="370"/>
      <c r="H54" s="370"/>
      <c r="I54" s="370"/>
      <c r="J54" s="370"/>
      <c r="K54" s="370"/>
      <c r="L54" s="370"/>
      <c r="M54" s="370"/>
      <c r="N54" s="370"/>
      <c r="O54" s="370"/>
      <c r="P54" s="370"/>
      <c r="Q54" s="370"/>
      <c r="R54" s="370"/>
      <c r="S54" s="370"/>
      <c r="T54" s="370"/>
      <c r="U54" s="370"/>
      <c r="V54" s="370"/>
      <c r="W54" s="370"/>
      <c r="X54" s="370"/>
      <c r="Y54" s="370"/>
      <c r="Z54" s="370"/>
      <c r="AA54" s="370"/>
      <c r="AB54" s="370"/>
      <c r="AC54" s="370"/>
      <c r="AD54" s="370"/>
      <c r="AE54" s="370"/>
      <c r="AF54" s="370"/>
      <c r="AG54" s="370"/>
      <c r="AH54" s="370"/>
      <c r="AI54" s="370"/>
      <c r="AJ54" s="729">
        <f>+Deductions!P54</f>
        <v>144</v>
      </c>
      <c r="AK54" s="729"/>
      <c r="AL54" s="729"/>
      <c r="AM54" s="729"/>
      <c r="AN54" s="729"/>
      <c r="AO54" s="730">
        <f>SUM(AO48:AO53)</f>
        <v>0</v>
      </c>
    </row>
    <row r="55" spans="1:48" ht="12.75" customHeight="1" x14ac:dyDescent="0.2">
      <c r="A55" s="23"/>
      <c r="B55" s="25"/>
      <c r="C55" s="24"/>
      <c r="D55" s="25"/>
      <c r="E55" s="25"/>
      <c r="F55" s="25"/>
      <c r="G55" s="25"/>
      <c r="H55" s="25"/>
      <c r="I55" s="25"/>
      <c r="J55" s="25"/>
      <c r="K55" s="25"/>
      <c r="L55" s="25"/>
      <c r="M55" s="25"/>
      <c r="N55" s="25"/>
      <c r="P55" s="731"/>
      <c r="Q55" s="731"/>
      <c r="R55" s="731"/>
      <c r="S55" s="731"/>
      <c r="T55" s="731"/>
      <c r="U55" s="731"/>
      <c r="V55" s="731"/>
      <c r="W55" s="731"/>
      <c r="X55" s="731"/>
      <c r="Y55" s="731"/>
      <c r="Z55" s="731"/>
      <c r="AA55" s="731"/>
      <c r="AB55" s="731"/>
      <c r="AC55" s="731"/>
      <c r="AD55" s="731"/>
      <c r="AE55" s="731"/>
      <c r="AF55" s="731"/>
      <c r="AG55" s="731"/>
      <c r="AH55" s="731"/>
      <c r="AI55" s="731"/>
      <c r="AJ55" s="731"/>
      <c r="AK55" s="731"/>
      <c r="AL55" s="731"/>
      <c r="AM55" s="731"/>
      <c r="AN55" s="731"/>
      <c r="AO55" s="732"/>
      <c r="AV55" s="25" t="s">
        <v>185</v>
      </c>
    </row>
    <row r="56" spans="1:48" ht="12.75" customHeight="1" x14ac:dyDescent="0.2">
      <c r="A56" s="8"/>
      <c r="B56" s="15"/>
      <c r="C56" s="75" t="str">
        <f>IF(Deductions!AC4="X", Deductions!AD4," ")</f>
        <v xml:space="preserve"> </v>
      </c>
      <c r="D56" s="16"/>
      <c r="E56" s="16"/>
      <c r="F56" s="16"/>
      <c r="G56" s="16"/>
      <c r="H56" s="16"/>
      <c r="I56" s="16"/>
      <c r="J56" s="16"/>
      <c r="K56" s="16"/>
      <c r="L56" s="16"/>
      <c r="M56" s="16"/>
      <c r="N56" s="16"/>
      <c r="O56" s="76"/>
      <c r="P56" s="733"/>
      <c r="Q56" s="733"/>
      <c r="R56" s="733"/>
      <c r="S56" s="733"/>
      <c r="T56" s="733"/>
      <c r="U56" s="733"/>
      <c r="V56" s="733"/>
      <c r="W56" s="733"/>
      <c r="X56" s="733"/>
      <c r="Y56" s="733"/>
      <c r="Z56" s="733"/>
      <c r="AA56" s="733"/>
      <c r="AB56" s="733"/>
      <c r="AC56" s="733"/>
      <c r="AD56" s="733"/>
      <c r="AE56" s="733"/>
      <c r="AF56" s="733"/>
      <c r="AG56" s="733"/>
      <c r="AH56" s="733"/>
      <c r="AI56" s="733"/>
      <c r="AJ56" s="733"/>
      <c r="AK56" s="733"/>
      <c r="AL56" s="733"/>
      <c r="AM56" s="733"/>
      <c r="AN56" s="733"/>
      <c r="AO56" s="734"/>
    </row>
    <row r="57" spans="1:48" ht="12.75" customHeight="1" x14ac:dyDescent="0.2">
      <c r="A57" s="364"/>
      <c r="B57" s="364"/>
      <c r="C57" s="364"/>
      <c r="D57" s="364"/>
      <c r="E57" s="364"/>
      <c r="F57" s="364"/>
      <c r="G57" s="364"/>
      <c r="H57" s="364"/>
      <c r="I57" s="364"/>
      <c r="J57" s="364"/>
      <c r="K57" s="364"/>
      <c r="L57" s="364"/>
      <c r="M57" s="364"/>
      <c r="N57" s="364"/>
      <c r="O57" s="364"/>
      <c r="P57" s="364"/>
      <c r="Q57" s="364"/>
      <c r="R57" s="364"/>
      <c r="S57" s="364"/>
      <c r="T57" s="364"/>
      <c r="U57" s="364"/>
      <c r="V57" s="364"/>
      <c r="W57" s="364"/>
      <c r="X57" s="364"/>
      <c r="Y57" s="364"/>
      <c r="Z57" s="364"/>
      <c r="AA57" s="364"/>
      <c r="AB57" s="364"/>
      <c r="AC57" s="364"/>
      <c r="AD57" s="364"/>
      <c r="AE57" s="364"/>
      <c r="AF57" s="364"/>
      <c r="AG57" s="364"/>
      <c r="AH57" s="364"/>
      <c r="AI57" s="364"/>
      <c r="AJ57" s="364"/>
      <c r="AK57" s="364"/>
      <c r="AL57" s="364"/>
      <c r="AM57" s="364"/>
      <c r="AN57" s="364"/>
      <c r="AO57" s="364"/>
    </row>
    <row r="58" spans="1:48" ht="25.5" customHeight="1" x14ac:dyDescent="0.2">
      <c r="A58" s="377"/>
      <c r="B58" s="378"/>
      <c r="C58" s="378"/>
      <c r="D58" s="378"/>
      <c r="E58" s="378"/>
      <c r="F58" s="378"/>
      <c r="G58" s="378"/>
      <c r="H58" s="378"/>
      <c r="I58" s="378"/>
      <c r="J58" s="378"/>
      <c r="K58" s="378"/>
      <c r="L58" s="378"/>
      <c r="M58" s="378"/>
      <c r="N58" s="378"/>
      <c r="O58" s="378"/>
      <c r="P58" s="378"/>
      <c r="Q58" s="378"/>
      <c r="R58" s="378"/>
      <c r="S58" s="378"/>
      <c r="T58" s="378"/>
      <c r="U58" s="378"/>
      <c r="V58" s="378"/>
      <c r="W58" s="378"/>
      <c r="X58" s="378"/>
      <c r="Y58" s="378"/>
      <c r="Z58" s="378"/>
      <c r="AA58" s="378"/>
      <c r="AB58" s="378"/>
      <c r="AC58" s="378"/>
      <c r="AD58" s="378"/>
      <c r="AE58" s="378"/>
      <c r="AF58" s="378"/>
      <c r="AG58" s="378"/>
      <c r="AH58" s="378"/>
      <c r="AI58" s="378"/>
      <c r="AJ58" s="378"/>
      <c r="AK58" s="378"/>
      <c r="AL58" s="378"/>
      <c r="AM58" s="378"/>
      <c r="AN58" s="378"/>
      <c r="AO58" s="378"/>
    </row>
  </sheetData>
  <mergeCells count="302">
    <mergeCell ref="AJ53:AO53"/>
    <mergeCell ref="B54:AI54"/>
    <mergeCell ref="AJ54:AO54"/>
    <mergeCell ref="P55:AO56"/>
    <mergeCell ref="A57:AO57"/>
    <mergeCell ref="A58:AO58"/>
    <mergeCell ref="B53:H53"/>
    <mergeCell ref="I53:M53"/>
    <mergeCell ref="N53:R53"/>
    <mergeCell ref="S53:W53"/>
    <mergeCell ref="X53:AC53"/>
    <mergeCell ref="AD53:AI53"/>
    <mergeCell ref="AJ51:AO51"/>
    <mergeCell ref="B52:H52"/>
    <mergeCell ref="I52:M52"/>
    <mergeCell ref="N52:R52"/>
    <mergeCell ref="S52:W52"/>
    <mergeCell ref="X52:AC52"/>
    <mergeCell ref="AD52:AI52"/>
    <mergeCell ref="AJ52:AO52"/>
    <mergeCell ref="B51:H51"/>
    <mergeCell ref="I51:M51"/>
    <mergeCell ref="N51:R51"/>
    <mergeCell ref="S51:W51"/>
    <mergeCell ref="X51:AC51"/>
    <mergeCell ref="AD51:AI51"/>
    <mergeCell ref="AJ49:AO49"/>
    <mergeCell ref="B50:H50"/>
    <mergeCell ref="I50:M50"/>
    <mergeCell ref="N50:R50"/>
    <mergeCell ref="S50:W50"/>
    <mergeCell ref="X50:AC50"/>
    <mergeCell ref="AD50:AI50"/>
    <mergeCell ref="AJ50:AO50"/>
    <mergeCell ref="B49:H49"/>
    <mergeCell ref="I49:M49"/>
    <mergeCell ref="N49:R49"/>
    <mergeCell ref="S49:W49"/>
    <mergeCell ref="X49:AC49"/>
    <mergeCell ref="AD49:AI49"/>
    <mergeCell ref="B45:AI45"/>
    <mergeCell ref="AJ45:AO45"/>
    <mergeCell ref="B48:H48"/>
    <mergeCell ref="I48:M48"/>
    <mergeCell ref="N48:R48"/>
    <mergeCell ref="S48:W48"/>
    <mergeCell ref="X48:AC48"/>
    <mergeCell ref="AD48:AI48"/>
    <mergeCell ref="AJ48:AO48"/>
    <mergeCell ref="AJ43:AO43"/>
    <mergeCell ref="B44:H44"/>
    <mergeCell ref="I44:M44"/>
    <mergeCell ref="N44:R44"/>
    <mergeCell ref="S44:W44"/>
    <mergeCell ref="X44:AC44"/>
    <mergeCell ref="AD44:AI44"/>
    <mergeCell ref="AJ44:AO44"/>
    <mergeCell ref="B43:H43"/>
    <mergeCell ref="I43:M43"/>
    <mergeCell ref="N43:R43"/>
    <mergeCell ref="S43:W43"/>
    <mergeCell ref="X43:AC43"/>
    <mergeCell ref="AD43:AI43"/>
    <mergeCell ref="AJ41:AO41"/>
    <mergeCell ref="B42:H42"/>
    <mergeCell ref="I42:M42"/>
    <mergeCell ref="N42:R42"/>
    <mergeCell ref="S42:W42"/>
    <mergeCell ref="X42:AC42"/>
    <mergeCell ref="AD42:AI42"/>
    <mergeCell ref="AJ42:AO42"/>
    <mergeCell ref="B41:H41"/>
    <mergeCell ref="I41:M41"/>
    <mergeCell ref="N41:R41"/>
    <mergeCell ref="S41:W41"/>
    <mergeCell ref="X41:AC41"/>
    <mergeCell ref="AD41:AI41"/>
    <mergeCell ref="AJ39:AO39"/>
    <mergeCell ref="B40:H40"/>
    <mergeCell ref="I40:M40"/>
    <mergeCell ref="N40:R40"/>
    <mergeCell ref="S40:W40"/>
    <mergeCell ref="X40:AC40"/>
    <mergeCell ref="AD40:AI40"/>
    <mergeCell ref="AJ40:AO40"/>
    <mergeCell ref="B39:H39"/>
    <mergeCell ref="I39:M39"/>
    <mergeCell ref="N39:R39"/>
    <mergeCell ref="S39:W39"/>
    <mergeCell ref="X39:AC39"/>
    <mergeCell ref="AD39:AI39"/>
    <mergeCell ref="AJ37:AO37"/>
    <mergeCell ref="B38:H38"/>
    <mergeCell ref="I38:M38"/>
    <mergeCell ref="N38:R38"/>
    <mergeCell ref="S38:W38"/>
    <mergeCell ref="X38:AC38"/>
    <mergeCell ref="AD38:AI38"/>
    <mergeCell ref="AJ38:AO38"/>
    <mergeCell ref="B37:H37"/>
    <mergeCell ref="I37:M37"/>
    <mergeCell ref="N37:R37"/>
    <mergeCell ref="S37:W37"/>
    <mergeCell ref="X37:AC37"/>
    <mergeCell ref="AD37:AI37"/>
    <mergeCell ref="AJ35:AO35"/>
    <mergeCell ref="B36:H36"/>
    <mergeCell ref="I36:M36"/>
    <mergeCell ref="N36:R36"/>
    <mergeCell ref="S36:W36"/>
    <mergeCell ref="X36:AC36"/>
    <mergeCell ref="AD36:AI36"/>
    <mergeCell ref="AJ36:AO36"/>
    <mergeCell ref="B35:H35"/>
    <mergeCell ref="I35:M35"/>
    <mergeCell ref="N35:R35"/>
    <mergeCell ref="S35:W35"/>
    <mergeCell ref="X35:AC35"/>
    <mergeCell ref="AD35:AI35"/>
    <mergeCell ref="AJ33:AO33"/>
    <mergeCell ref="B34:H34"/>
    <mergeCell ref="I34:M34"/>
    <mergeCell ref="N34:R34"/>
    <mergeCell ref="S34:W34"/>
    <mergeCell ref="X34:AC34"/>
    <mergeCell ref="AD34:AI34"/>
    <mergeCell ref="AJ34:AO34"/>
    <mergeCell ref="B33:H33"/>
    <mergeCell ref="I33:M33"/>
    <mergeCell ref="N33:R33"/>
    <mergeCell ref="S33:W33"/>
    <mergeCell ref="X33:AC33"/>
    <mergeCell ref="AD33:AI33"/>
    <mergeCell ref="AJ31:AO31"/>
    <mergeCell ref="B32:H32"/>
    <mergeCell ref="I32:M32"/>
    <mergeCell ref="N32:R32"/>
    <mergeCell ref="S32:W32"/>
    <mergeCell ref="X32:AC32"/>
    <mergeCell ref="AD32:AI32"/>
    <mergeCell ref="AJ32:AO32"/>
    <mergeCell ref="B31:H31"/>
    <mergeCell ref="I31:M31"/>
    <mergeCell ref="N31:R31"/>
    <mergeCell ref="S31:W31"/>
    <mergeCell ref="X31:AC31"/>
    <mergeCell ref="AD31:AI31"/>
    <mergeCell ref="AJ29:AO29"/>
    <mergeCell ref="B30:H30"/>
    <mergeCell ref="I30:M30"/>
    <mergeCell ref="N30:R30"/>
    <mergeCell ref="S30:W30"/>
    <mergeCell ref="X30:AC30"/>
    <mergeCell ref="AD30:AI30"/>
    <mergeCell ref="AJ30:AO30"/>
    <mergeCell ref="B29:H29"/>
    <mergeCell ref="I29:M29"/>
    <mergeCell ref="N29:R29"/>
    <mergeCell ref="S29:W29"/>
    <mergeCell ref="X29:AC29"/>
    <mergeCell ref="AD29:AI29"/>
    <mergeCell ref="AJ27:AO27"/>
    <mergeCell ref="B28:H28"/>
    <mergeCell ref="I28:M28"/>
    <mergeCell ref="N28:R28"/>
    <mergeCell ref="S28:W28"/>
    <mergeCell ref="X28:AC28"/>
    <mergeCell ref="AD28:AI28"/>
    <mergeCell ref="AJ28:AO28"/>
    <mergeCell ref="B27:H27"/>
    <mergeCell ref="I27:M27"/>
    <mergeCell ref="N27:R27"/>
    <mergeCell ref="S27:W27"/>
    <mergeCell ref="X27:AC27"/>
    <mergeCell ref="AD27:AI27"/>
    <mergeCell ref="AJ25:AO25"/>
    <mergeCell ref="B26:H26"/>
    <mergeCell ref="I26:M26"/>
    <mergeCell ref="N26:R26"/>
    <mergeCell ref="S26:W26"/>
    <mergeCell ref="X26:AC26"/>
    <mergeCell ref="AD26:AI26"/>
    <mergeCell ref="AJ26:AO26"/>
    <mergeCell ref="B25:H25"/>
    <mergeCell ref="I25:M25"/>
    <mergeCell ref="N25:R25"/>
    <mergeCell ref="S25:W25"/>
    <mergeCell ref="X25:AC25"/>
    <mergeCell ref="AD25:AI25"/>
    <mergeCell ref="AJ23:AO23"/>
    <mergeCell ref="B24:H24"/>
    <mergeCell ref="I24:M24"/>
    <mergeCell ref="N24:R24"/>
    <mergeCell ref="S24:W24"/>
    <mergeCell ref="X24:AC24"/>
    <mergeCell ref="AD24:AI24"/>
    <mergeCell ref="AJ24:AO24"/>
    <mergeCell ref="B23:H23"/>
    <mergeCell ref="I23:M23"/>
    <mergeCell ref="N23:R23"/>
    <mergeCell ref="S23:W23"/>
    <mergeCell ref="X23:AC23"/>
    <mergeCell ref="AD23:AI23"/>
    <mergeCell ref="AJ21:AO21"/>
    <mergeCell ref="B22:H22"/>
    <mergeCell ref="I22:M22"/>
    <mergeCell ref="N22:R22"/>
    <mergeCell ref="S22:W22"/>
    <mergeCell ref="X22:AC22"/>
    <mergeCell ref="AD22:AI22"/>
    <mergeCell ref="AJ22:AO22"/>
    <mergeCell ref="B21:H21"/>
    <mergeCell ref="I21:M21"/>
    <mergeCell ref="N21:R21"/>
    <mergeCell ref="S21:W21"/>
    <mergeCell ref="X21:AC21"/>
    <mergeCell ref="AD21:AI21"/>
    <mergeCell ref="AJ19:AO19"/>
    <mergeCell ref="B20:H20"/>
    <mergeCell ref="I20:M20"/>
    <mergeCell ref="N20:R20"/>
    <mergeCell ref="S20:W20"/>
    <mergeCell ref="X20:AC20"/>
    <mergeCell ref="AD20:AI20"/>
    <mergeCell ref="AJ20:AO20"/>
    <mergeCell ref="B19:H19"/>
    <mergeCell ref="I19:M19"/>
    <mergeCell ref="N19:R19"/>
    <mergeCell ref="S19:W19"/>
    <mergeCell ref="X19:AC19"/>
    <mergeCell ref="AD19:AI19"/>
    <mergeCell ref="AJ15:AO15"/>
    <mergeCell ref="B18:H18"/>
    <mergeCell ref="I18:M18"/>
    <mergeCell ref="N18:R18"/>
    <mergeCell ref="S18:W18"/>
    <mergeCell ref="X18:AC18"/>
    <mergeCell ref="AD18:AI18"/>
    <mergeCell ref="AJ18:AO18"/>
    <mergeCell ref="B15:H15"/>
    <mergeCell ref="I15:M15"/>
    <mergeCell ref="N15:R15"/>
    <mergeCell ref="S15:W15"/>
    <mergeCell ref="X15:AC15"/>
    <mergeCell ref="AD15:AI15"/>
    <mergeCell ref="AJ13:AO13"/>
    <mergeCell ref="B14:H14"/>
    <mergeCell ref="I14:M14"/>
    <mergeCell ref="N14:R14"/>
    <mergeCell ref="S14:W14"/>
    <mergeCell ref="X14:AC14"/>
    <mergeCell ref="AD14:AI14"/>
    <mergeCell ref="AJ14:AO14"/>
    <mergeCell ref="B13:H13"/>
    <mergeCell ref="I13:M13"/>
    <mergeCell ref="N13:R13"/>
    <mergeCell ref="S13:W13"/>
    <mergeCell ref="X13:AC13"/>
    <mergeCell ref="AD13:AI13"/>
    <mergeCell ref="AJ11:AO11"/>
    <mergeCell ref="A12:H12"/>
    <mergeCell ref="I12:M12"/>
    <mergeCell ref="N12:R12"/>
    <mergeCell ref="S12:W12"/>
    <mergeCell ref="X12:AC12"/>
    <mergeCell ref="AD12:AI12"/>
    <mergeCell ref="AJ12:AO12"/>
    <mergeCell ref="A11:H11"/>
    <mergeCell ref="I11:M11"/>
    <mergeCell ref="N11:R11"/>
    <mergeCell ref="S11:W11"/>
    <mergeCell ref="X11:AC11"/>
    <mergeCell ref="AD11:AI11"/>
    <mergeCell ref="AD9:AI9"/>
    <mergeCell ref="AJ9:AO9"/>
    <mergeCell ref="A10:J10"/>
    <mergeCell ref="K10:R10"/>
    <mergeCell ref="S10:AA10"/>
    <mergeCell ref="AB10:AI10"/>
    <mergeCell ref="AJ10:AM10"/>
    <mergeCell ref="AN10:AO10"/>
    <mergeCell ref="A9:J9"/>
    <mergeCell ref="K9:N9"/>
    <mergeCell ref="O9:R9"/>
    <mergeCell ref="S9:U9"/>
    <mergeCell ref="V9:AA9"/>
    <mergeCell ref="AB9:AC9"/>
    <mergeCell ref="B5:AO5"/>
    <mergeCell ref="A6:AO6"/>
    <mergeCell ref="B7:Y7"/>
    <mergeCell ref="Z7:AO7"/>
    <mergeCell ref="A8:E8"/>
    <mergeCell ref="F8:AB8"/>
    <mergeCell ref="AC8:AO8"/>
    <mergeCell ref="A1:AO1"/>
    <mergeCell ref="A2:X2"/>
    <mergeCell ref="Y2:AH2"/>
    <mergeCell ref="AI2:AO4"/>
    <mergeCell ref="A3:Y3"/>
    <mergeCell ref="AA3:AH3"/>
    <mergeCell ref="A4:Y4"/>
    <mergeCell ref="AA4:AH4"/>
  </mergeCells>
  <printOptions horizontalCentered="1" verticalCentered="1"/>
  <pageMargins left="0.39370078740157483" right="0.39370078740157483" top="0.23622047244094491" bottom="0.23622047244094491" header="0" footer="0.23622047244094491"/>
  <pageSetup orientation="portrait" horizontalDpi="300" verticalDpi="300" r:id="rId1"/>
  <headerFooter alignWithMargins="0">
    <oddFooter>&amp;RPage 3 of 4</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1A1DA4-A761-4016-8B0D-19D3106DBBA9}">
  <sheetPr>
    <tabColor rgb="FFFF0000"/>
    <pageSetUpPr fitToPage="1"/>
  </sheetPr>
  <dimension ref="A1:AV58"/>
  <sheetViews>
    <sheetView showGridLines="0" showZeros="0" zoomScale="98" zoomScaleNormal="98" workbookViewId="0">
      <selection activeCell="AQ59" sqref="A1:AQ59"/>
    </sheetView>
  </sheetViews>
  <sheetFormatPr baseColWidth="10" defaultRowHeight="12.75" x14ac:dyDescent="0.2"/>
  <cols>
    <col min="1" max="178" width="2.42578125" customWidth="1"/>
    <col min="257" max="434" width="2.42578125" customWidth="1"/>
    <col min="513" max="690" width="2.42578125" customWidth="1"/>
    <col min="769" max="946" width="2.42578125" customWidth="1"/>
    <col min="1025" max="1202" width="2.42578125" customWidth="1"/>
    <col min="1281" max="1458" width="2.42578125" customWidth="1"/>
    <col min="1537" max="1714" width="2.42578125" customWidth="1"/>
    <col min="1793" max="1970" width="2.42578125" customWidth="1"/>
    <col min="2049" max="2226" width="2.42578125" customWidth="1"/>
    <col min="2305" max="2482" width="2.42578125" customWidth="1"/>
    <col min="2561" max="2738" width="2.42578125" customWidth="1"/>
    <col min="2817" max="2994" width="2.42578125" customWidth="1"/>
    <col min="3073" max="3250" width="2.42578125" customWidth="1"/>
    <col min="3329" max="3506" width="2.42578125" customWidth="1"/>
    <col min="3585" max="3762" width="2.42578125" customWidth="1"/>
    <col min="3841" max="4018" width="2.42578125" customWidth="1"/>
    <col min="4097" max="4274" width="2.42578125" customWidth="1"/>
    <col min="4353" max="4530" width="2.42578125" customWidth="1"/>
    <col min="4609" max="4786" width="2.42578125" customWidth="1"/>
    <col min="4865" max="5042" width="2.42578125" customWidth="1"/>
    <col min="5121" max="5298" width="2.42578125" customWidth="1"/>
    <col min="5377" max="5554" width="2.42578125" customWidth="1"/>
    <col min="5633" max="5810" width="2.42578125" customWidth="1"/>
    <col min="5889" max="6066" width="2.42578125" customWidth="1"/>
    <col min="6145" max="6322" width="2.42578125" customWidth="1"/>
    <col min="6401" max="6578" width="2.42578125" customWidth="1"/>
    <col min="6657" max="6834" width="2.42578125" customWidth="1"/>
    <col min="6913" max="7090" width="2.42578125" customWidth="1"/>
    <col min="7169" max="7346" width="2.42578125" customWidth="1"/>
    <col min="7425" max="7602" width="2.42578125" customWidth="1"/>
    <col min="7681" max="7858" width="2.42578125" customWidth="1"/>
    <col min="7937" max="8114" width="2.42578125" customWidth="1"/>
    <col min="8193" max="8370" width="2.42578125" customWidth="1"/>
    <col min="8449" max="8626" width="2.42578125" customWidth="1"/>
    <col min="8705" max="8882" width="2.42578125" customWidth="1"/>
    <col min="8961" max="9138" width="2.42578125" customWidth="1"/>
    <col min="9217" max="9394" width="2.42578125" customWidth="1"/>
    <col min="9473" max="9650" width="2.42578125" customWidth="1"/>
    <col min="9729" max="9906" width="2.42578125" customWidth="1"/>
    <col min="9985" max="10162" width="2.42578125" customWidth="1"/>
    <col min="10241" max="10418" width="2.42578125" customWidth="1"/>
    <col min="10497" max="10674" width="2.42578125" customWidth="1"/>
    <col min="10753" max="10930" width="2.42578125" customWidth="1"/>
    <col min="11009" max="11186" width="2.42578125" customWidth="1"/>
    <col min="11265" max="11442" width="2.42578125" customWidth="1"/>
    <col min="11521" max="11698" width="2.42578125" customWidth="1"/>
    <col min="11777" max="11954" width="2.42578125" customWidth="1"/>
    <col min="12033" max="12210" width="2.42578125" customWidth="1"/>
    <col min="12289" max="12466" width="2.42578125" customWidth="1"/>
    <col min="12545" max="12722" width="2.42578125" customWidth="1"/>
    <col min="12801" max="12978" width="2.42578125" customWidth="1"/>
    <col min="13057" max="13234" width="2.42578125" customWidth="1"/>
    <col min="13313" max="13490" width="2.42578125" customWidth="1"/>
    <col min="13569" max="13746" width="2.42578125" customWidth="1"/>
    <col min="13825" max="14002" width="2.42578125" customWidth="1"/>
    <col min="14081" max="14258" width="2.42578125" customWidth="1"/>
    <col min="14337" max="14514" width="2.42578125" customWidth="1"/>
    <col min="14593" max="14770" width="2.42578125" customWidth="1"/>
    <col min="14849" max="15026" width="2.42578125" customWidth="1"/>
    <col min="15105" max="15282" width="2.42578125" customWidth="1"/>
    <col min="15361" max="15538" width="2.42578125" customWidth="1"/>
    <col min="15617" max="15794" width="2.42578125" customWidth="1"/>
    <col min="15873" max="16050" width="2.42578125" customWidth="1"/>
    <col min="16129" max="16306" width="2.42578125" customWidth="1"/>
  </cols>
  <sheetData>
    <row r="1" spans="1:41" ht="12.75" customHeight="1" x14ac:dyDescent="0.25">
      <c r="A1" s="333" t="s">
        <v>0</v>
      </c>
      <c r="B1" s="333"/>
      <c r="C1" s="333"/>
      <c r="D1" s="333"/>
      <c r="E1" s="333"/>
      <c r="F1" s="333"/>
      <c r="G1" s="333"/>
      <c r="H1" s="333"/>
      <c r="I1" s="333"/>
      <c r="J1" s="333"/>
      <c r="K1" s="333"/>
      <c r="L1" s="333"/>
      <c r="M1" s="333"/>
      <c r="N1" s="333"/>
      <c r="O1" s="333"/>
      <c r="P1" s="333"/>
      <c r="Q1" s="333"/>
      <c r="R1" s="333"/>
      <c r="S1" s="333"/>
      <c r="T1" s="333"/>
      <c r="U1" s="333"/>
      <c r="V1" s="333"/>
      <c r="W1" s="333"/>
      <c r="X1" s="333"/>
      <c r="Y1" s="333"/>
      <c r="Z1" s="333"/>
      <c r="AA1" s="333"/>
      <c r="AB1" s="333"/>
      <c r="AC1" s="333"/>
      <c r="AD1" s="333"/>
      <c r="AE1" s="333"/>
      <c r="AF1" s="333"/>
      <c r="AG1" s="333"/>
      <c r="AH1" s="333"/>
      <c r="AI1" s="333"/>
      <c r="AJ1" s="333"/>
      <c r="AK1" s="333"/>
      <c r="AL1" s="333"/>
      <c r="AM1" s="333"/>
      <c r="AN1" s="333"/>
      <c r="AO1" s="333"/>
    </row>
    <row r="2" spans="1:41" ht="12.75" customHeight="1" x14ac:dyDescent="0.2">
      <c r="A2" s="334"/>
      <c r="B2" s="335"/>
      <c r="C2" s="335"/>
      <c r="D2" s="335"/>
      <c r="E2" s="335"/>
      <c r="F2" s="335"/>
      <c r="G2" s="335"/>
      <c r="H2" s="335"/>
      <c r="I2" s="335"/>
      <c r="J2" s="335"/>
      <c r="K2" s="335"/>
      <c r="L2" s="335"/>
      <c r="M2" s="335"/>
      <c r="N2" s="335"/>
      <c r="O2" s="335"/>
      <c r="P2" s="335"/>
      <c r="Q2" s="335"/>
      <c r="R2" s="335"/>
      <c r="S2" s="335"/>
      <c r="T2" s="335"/>
      <c r="U2" s="335"/>
      <c r="V2" s="335"/>
      <c r="W2" s="335"/>
      <c r="X2" s="335"/>
      <c r="Y2" s="336"/>
      <c r="Z2" s="336"/>
      <c r="AA2" s="336"/>
      <c r="AB2" s="336"/>
      <c r="AC2" s="336"/>
      <c r="AD2" s="336"/>
      <c r="AE2" s="336"/>
      <c r="AF2" s="336"/>
      <c r="AG2" s="336"/>
      <c r="AH2" s="337"/>
      <c r="AI2" s="380" t="s">
        <v>186</v>
      </c>
      <c r="AJ2" s="339"/>
      <c r="AK2" s="339"/>
      <c r="AL2" s="339"/>
      <c r="AM2" s="339"/>
      <c r="AN2" s="339"/>
      <c r="AO2" s="340"/>
    </row>
    <row r="3" spans="1:41" ht="12.75" customHeight="1" x14ac:dyDescent="0.2">
      <c r="A3" s="347" t="s">
        <v>2</v>
      </c>
      <c r="B3" s="348"/>
      <c r="C3" s="348"/>
      <c r="D3" s="348"/>
      <c r="E3" s="348"/>
      <c r="F3" s="348"/>
      <c r="G3" s="348"/>
      <c r="H3" s="348"/>
      <c r="I3" s="348"/>
      <c r="J3" s="348"/>
      <c r="K3" s="348"/>
      <c r="L3" s="348"/>
      <c r="M3" s="348"/>
      <c r="N3" s="348"/>
      <c r="O3" s="348"/>
      <c r="P3" s="348"/>
      <c r="Q3" s="348"/>
      <c r="R3" s="348"/>
      <c r="S3" s="348"/>
      <c r="T3" s="348"/>
      <c r="U3" s="348"/>
      <c r="V3" s="348"/>
      <c r="W3" s="348"/>
      <c r="X3" s="348"/>
      <c r="Y3" s="349"/>
      <c r="Z3" s="2" t="str">
        <f>+A!Z3</f>
        <v>X</v>
      </c>
      <c r="AA3" s="350" t="s">
        <v>3</v>
      </c>
      <c r="AB3" s="351"/>
      <c r="AC3" s="351"/>
      <c r="AD3" s="351"/>
      <c r="AE3" s="351"/>
      <c r="AF3" s="351"/>
      <c r="AG3" s="351"/>
      <c r="AH3" s="352"/>
      <c r="AI3" s="341"/>
      <c r="AJ3" s="342"/>
      <c r="AK3" s="342"/>
      <c r="AL3" s="342"/>
      <c r="AM3" s="342"/>
      <c r="AN3" s="342"/>
      <c r="AO3" s="343"/>
    </row>
    <row r="4" spans="1:41" ht="12.75" customHeight="1" x14ac:dyDescent="0.2">
      <c r="A4" s="353"/>
      <c r="B4" s="354"/>
      <c r="C4" s="354"/>
      <c r="D4" s="354"/>
      <c r="E4" s="354"/>
      <c r="F4" s="354"/>
      <c r="G4" s="354"/>
      <c r="H4" s="354"/>
      <c r="I4" s="354"/>
      <c r="J4" s="354"/>
      <c r="K4" s="354"/>
      <c r="L4" s="354"/>
      <c r="M4" s="354"/>
      <c r="N4" s="354"/>
      <c r="O4" s="354"/>
      <c r="P4" s="354"/>
      <c r="Q4" s="354"/>
      <c r="R4" s="354"/>
      <c r="S4" s="354"/>
      <c r="T4" s="354"/>
      <c r="U4" s="354"/>
      <c r="V4" s="354"/>
      <c r="W4" s="354"/>
      <c r="X4" s="354"/>
      <c r="Y4" s="355"/>
      <c r="Z4" s="2">
        <f>+A!Z4</f>
        <v>0</v>
      </c>
      <c r="AA4" s="356" t="s">
        <v>4</v>
      </c>
      <c r="AB4" s="357"/>
      <c r="AC4" s="357"/>
      <c r="AD4" s="357"/>
      <c r="AE4" s="357"/>
      <c r="AF4" s="357"/>
      <c r="AG4" s="357"/>
      <c r="AH4" s="358"/>
      <c r="AI4" s="344"/>
      <c r="AJ4" s="345"/>
      <c r="AK4" s="345"/>
      <c r="AL4" s="345"/>
      <c r="AM4" s="345"/>
      <c r="AN4" s="345"/>
      <c r="AO4" s="346"/>
    </row>
    <row r="5" spans="1:41" ht="12.75" customHeight="1" x14ac:dyDescent="0.2">
      <c r="A5" s="6"/>
      <c r="B5" s="322" t="s">
        <v>5</v>
      </c>
      <c r="C5" s="322"/>
      <c r="D5" s="322"/>
      <c r="E5" s="322"/>
      <c r="F5" s="322"/>
      <c r="G5" s="322"/>
      <c r="H5" s="322"/>
      <c r="I5" s="322"/>
      <c r="J5" s="322"/>
      <c r="K5" s="322"/>
      <c r="L5" s="322"/>
      <c r="M5" s="322"/>
      <c r="N5" s="322"/>
      <c r="O5" s="322"/>
      <c r="P5" s="322"/>
      <c r="Q5" s="322"/>
      <c r="R5" s="322"/>
      <c r="S5" s="322"/>
      <c r="T5" s="322"/>
      <c r="U5" s="322"/>
      <c r="V5" s="322"/>
      <c r="W5" s="322"/>
      <c r="X5" s="322"/>
      <c r="Y5" s="322"/>
      <c r="Z5" s="322"/>
      <c r="AA5" s="322"/>
      <c r="AB5" s="322"/>
      <c r="AC5" s="322"/>
      <c r="AD5" s="322"/>
      <c r="AE5" s="322"/>
      <c r="AF5" s="322"/>
      <c r="AG5" s="322"/>
      <c r="AH5" s="322"/>
      <c r="AI5" s="322"/>
      <c r="AJ5" s="322"/>
      <c r="AK5" s="322"/>
      <c r="AL5" s="322"/>
      <c r="AM5" s="322"/>
      <c r="AN5" s="322"/>
      <c r="AO5" s="323"/>
    </row>
    <row r="6" spans="1:41" ht="12.75" customHeight="1" x14ac:dyDescent="0.2">
      <c r="A6" s="353" t="str">
        <f>A!B6</f>
        <v>MSL Marine Surveyors And Logistics</v>
      </c>
      <c r="B6" s="354"/>
      <c r="C6" s="354"/>
      <c r="D6" s="354"/>
      <c r="E6" s="354"/>
      <c r="F6" s="354"/>
      <c r="G6" s="354"/>
      <c r="H6" s="354"/>
      <c r="I6" s="354"/>
      <c r="J6" s="354"/>
      <c r="K6" s="354"/>
      <c r="L6" s="354"/>
      <c r="M6" s="354"/>
      <c r="N6" s="354"/>
      <c r="O6" s="354"/>
      <c r="P6" s="354"/>
      <c r="Q6" s="354"/>
      <c r="R6" s="354"/>
      <c r="S6" s="354"/>
      <c r="T6" s="354"/>
      <c r="U6" s="354"/>
      <c r="V6" s="354"/>
      <c r="W6" s="354"/>
      <c r="X6" s="354"/>
      <c r="Y6" s="354"/>
      <c r="Z6" s="354"/>
      <c r="AA6" s="354"/>
      <c r="AB6" s="354"/>
      <c r="AC6" s="354"/>
      <c r="AD6" s="354"/>
      <c r="AE6" s="354"/>
      <c r="AF6" s="354"/>
      <c r="AG6" s="354"/>
      <c r="AH6" s="354"/>
      <c r="AI6" s="354"/>
      <c r="AJ6" s="354"/>
      <c r="AK6" s="354"/>
      <c r="AL6" s="354"/>
      <c r="AM6" s="354"/>
      <c r="AN6" s="354"/>
      <c r="AO6" s="355"/>
    </row>
    <row r="7" spans="1:41" ht="12.75" customHeight="1" x14ac:dyDescent="0.2">
      <c r="A7" s="6"/>
      <c r="B7" s="322" t="s">
        <v>11</v>
      </c>
      <c r="C7" s="322"/>
      <c r="D7" s="322"/>
      <c r="E7" s="322"/>
      <c r="F7" s="322"/>
      <c r="G7" s="322"/>
      <c r="H7" s="322"/>
      <c r="I7" s="322"/>
      <c r="J7" s="322"/>
      <c r="K7" s="322"/>
      <c r="L7" s="322"/>
      <c r="M7" s="322"/>
      <c r="N7" s="322"/>
      <c r="O7" s="322"/>
      <c r="P7" s="322"/>
      <c r="Q7" s="322"/>
      <c r="R7" s="322"/>
      <c r="S7" s="322"/>
      <c r="T7" s="322"/>
      <c r="U7" s="322"/>
      <c r="V7" s="322"/>
      <c r="W7" s="322"/>
      <c r="X7" s="322"/>
      <c r="Y7" s="322"/>
      <c r="Z7" s="322" t="s">
        <v>13</v>
      </c>
      <c r="AA7" s="322"/>
      <c r="AB7" s="322"/>
      <c r="AC7" s="322"/>
      <c r="AD7" s="322"/>
      <c r="AE7" s="322"/>
      <c r="AF7" s="322"/>
      <c r="AG7" s="322"/>
      <c r="AH7" s="322"/>
      <c r="AI7" s="322"/>
      <c r="AJ7" s="322"/>
      <c r="AK7" s="322"/>
      <c r="AL7" s="322"/>
      <c r="AM7" s="322"/>
      <c r="AN7" s="322"/>
      <c r="AO7" s="323"/>
    </row>
    <row r="8" spans="1:41" ht="12.75" customHeight="1" x14ac:dyDescent="0.2">
      <c r="A8" s="353"/>
      <c r="B8" s="354"/>
      <c r="C8" s="354"/>
      <c r="D8" s="354"/>
      <c r="E8" s="354"/>
      <c r="F8" s="379" t="str">
        <f>+A!G12</f>
        <v>MV SANTA CAROLINA</v>
      </c>
      <c r="G8" s="379"/>
      <c r="H8" s="379"/>
      <c r="I8" s="379"/>
      <c r="J8" s="379"/>
      <c r="K8" s="379"/>
      <c r="L8" s="379"/>
      <c r="M8" s="379"/>
      <c r="N8" s="379"/>
      <c r="O8" s="379"/>
      <c r="P8" s="379"/>
      <c r="Q8" s="379"/>
      <c r="R8" s="379"/>
      <c r="S8" s="379"/>
      <c r="T8" s="379"/>
      <c r="U8" s="379"/>
      <c r="V8" s="379"/>
      <c r="W8" s="379"/>
      <c r="X8" s="379"/>
      <c r="Y8" s="379"/>
      <c r="Z8" s="379"/>
      <c r="AA8" s="379"/>
      <c r="AB8" s="379"/>
      <c r="AC8" s="360" t="str">
        <f>+A!AG12</f>
        <v>2207-1407-2026</v>
      </c>
      <c r="AD8" s="360"/>
      <c r="AE8" s="360"/>
      <c r="AF8" s="360"/>
      <c r="AG8" s="360"/>
      <c r="AH8" s="360"/>
      <c r="AI8" s="360"/>
      <c r="AJ8" s="360"/>
      <c r="AK8" s="360"/>
      <c r="AL8" s="360"/>
      <c r="AM8" s="360"/>
      <c r="AN8" s="360"/>
      <c r="AO8" s="361"/>
    </row>
    <row r="9" spans="1:41" ht="12.75" customHeight="1" x14ac:dyDescent="0.2">
      <c r="A9" s="334" t="s">
        <v>187</v>
      </c>
      <c r="B9" s="689"/>
      <c r="C9" s="689"/>
      <c r="D9" s="689"/>
      <c r="E9" s="689"/>
      <c r="F9" s="689"/>
      <c r="G9" s="689"/>
      <c r="H9" s="689"/>
      <c r="I9" s="689"/>
      <c r="J9" s="689"/>
      <c r="K9" s="322" t="s">
        <v>153</v>
      </c>
      <c r="L9" s="322"/>
      <c r="M9" s="322"/>
      <c r="N9" s="322"/>
      <c r="O9" s="335"/>
      <c r="P9" s="335"/>
      <c r="Q9" s="335"/>
      <c r="R9" s="335"/>
      <c r="S9" s="322" t="s">
        <v>154</v>
      </c>
      <c r="T9" s="322"/>
      <c r="U9" s="322"/>
      <c r="V9" s="399"/>
      <c r="W9" s="399"/>
      <c r="X9" s="399"/>
      <c r="Y9" s="399"/>
      <c r="Z9" s="399"/>
      <c r="AA9" s="399"/>
      <c r="AB9" s="322" t="s">
        <v>155</v>
      </c>
      <c r="AC9" s="322"/>
      <c r="AD9" s="399"/>
      <c r="AE9" s="399"/>
      <c r="AF9" s="399"/>
      <c r="AG9" s="399"/>
      <c r="AH9" s="399"/>
      <c r="AI9" s="399"/>
      <c r="AJ9" s="384" t="s">
        <v>156</v>
      </c>
      <c r="AK9" s="384"/>
      <c r="AL9" s="384"/>
      <c r="AM9" s="384"/>
      <c r="AN9" s="384"/>
      <c r="AO9" s="385"/>
    </row>
    <row r="10" spans="1:41" ht="12.75" customHeight="1" x14ac:dyDescent="0.2">
      <c r="A10" s="353"/>
      <c r="B10" s="354"/>
      <c r="C10" s="354"/>
      <c r="D10" s="354"/>
      <c r="E10" s="354"/>
      <c r="F10" s="354"/>
      <c r="G10" s="354"/>
      <c r="H10" s="354"/>
      <c r="I10" s="354"/>
      <c r="J10" s="354"/>
      <c r="K10" s="683">
        <f>Draft!AS3</f>
        <v>0.66666666666666663</v>
      </c>
      <c r="L10" s="684"/>
      <c r="M10" s="684"/>
      <c r="N10" s="684"/>
      <c r="O10" s="684"/>
      <c r="P10" s="684"/>
      <c r="Q10" s="684"/>
      <c r="R10" s="684"/>
      <c r="S10" s="683">
        <f>Draft!AS4</f>
        <v>0.69444444444444442</v>
      </c>
      <c r="T10" s="684"/>
      <c r="U10" s="684"/>
      <c r="V10" s="684"/>
      <c r="W10" s="684"/>
      <c r="X10" s="684"/>
      <c r="Y10" s="684"/>
      <c r="Z10" s="684"/>
      <c r="AA10" s="684"/>
      <c r="AB10" s="685">
        <f>+Draft!AS2</f>
        <v>46221</v>
      </c>
      <c r="AC10" s="685"/>
      <c r="AD10" s="685"/>
      <c r="AE10" s="685"/>
      <c r="AF10" s="685"/>
      <c r="AG10" s="685"/>
      <c r="AH10" s="685"/>
      <c r="AI10" s="685"/>
      <c r="AJ10" s="686">
        <f>+Draft!AD13</f>
        <v>2.5238733456190312</v>
      </c>
      <c r="AK10" s="686"/>
      <c r="AL10" s="686"/>
      <c r="AM10" s="686"/>
      <c r="AN10" s="687" t="s">
        <v>157</v>
      </c>
      <c r="AO10" s="688"/>
    </row>
    <row r="11" spans="1:41" ht="12.75" customHeight="1" x14ac:dyDescent="0.2">
      <c r="A11" s="662"/>
      <c r="B11" s="335"/>
      <c r="C11" s="335"/>
      <c r="D11" s="335"/>
      <c r="E11" s="335"/>
      <c r="F11" s="335"/>
      <c r="G11" s="335"/>
      <c r="H11" s="663"/>
      <c r="I11" s="690"/>
      <c r="J11" s="691"/>
      <c r="K11" s="691"/>
      <c r="L11" s="691"/>
      <c r="M11" s="692"/>
      <c r="N11" s="690"/>
      <c r="O11" s="691"/>
      <c r="P11" s="691"/>
      <c r="Q11" s="691"/>
      <c r="R11" s="692"/>
      <c r="S11" s="690" t="s">
        <v>158</v>
      </c>
      <c r="T11" s="691"/>
      <c r="U11" s="691"/>
      <c r="V11" s="691"/>
      <c r="W11" s="692"/>
      <c r="X11" s="690" t="s">
        <v>159</v>
      </c>
      <c r="Y11" s="691"/>
      <c r="Z11" s="691"/>
      <c r="AA11" s="691"/>
      <c r="AB11" s="691"/>
      <c r="AC11" s="692"/>
      <c r="AD11" s="690"/>
      <c r="AE11" s="691"/>
      <c r="AF11" s="691"/>
      <c r="AG11" s="691"/>
      <c r="AH11" s="691"/>
      <c r="AI11" s="692"/>
      <c r="AJ11" s="690"/>
      <c r="AK11" s="691"/>
      <c r="AL11" s="691"/>
      <c r="AM11" s="691"/>
      <c r="AN11" s="691"/>
      <c r="AO11" s="692"/>
    </row>
    <row r="12" spans="1:41" ht="12.75" customHeight="1" x14ac:dyDescent="0.2">
      <c r="A12" s="586" t="s">
        <v>160</v>
      </c>
      <c r="B12" s="378"/>
      <c r="C12" s="378"/>
      <c r="D12" s="378"/>
      <c r="E12" s="378"/>
      <c r="F12" s="378"/>
      <c r="G12" s="378"/>
      <c r="H12" s="666"/>
      <c r="I12" s="693" t="s">
        <v>161</v>
      </c>
      <c r="J12" s="694"/>
      <c r="K12" s="694"/>
      <c r="L12" s="694"/>
      <c r="M12" s="695"/>
      <c r="N12" s="693" t="s">
        <v>158</v>
      </c>
      <c r="O12" s="694"/>
      <c r="P12" s="694"/>
      <c r="Q12" s="694"/>
      <c r="R12" s="695"/>
      <c r="S12" s="696" t="s">
        <v>162</v>
      </c>
      <c r="T12" s="694"/>
      <c r="U12" s="694"/>
      <c r="V12" s="694"/>
      <c r="W12" s="695"/>
      <c r="X12" s="381" t="s">
        <v>163</v>
      </c>
      <c r="Y12" s="382"/>
      <c r="Z12" s="382"/>
      <c r="AA12" s="382"/>
      <c r="AB12" s="382"/>
      <c r="AC12" s="383"/>
      <c r="AD12" s="381" t="s">
        <v>164</v>
      </c>
      <c r="AE12" s="382"/>
      <c r="AF12" s="382"/>
      <c r="AG12" s="382"/>
      <c r="AH12" s="382"/>
      <c r="AI12" s="383"/>
      <c r="AJ12" s="381" t="s">
        <v>165</v>
      </c>
      <c r="AK12" s="382"/>
      <c r="AL12" s="382"/>
      <c r="AM12" s="382"/>
      <c r="AN12" s="382"/>
      <c r="AO12" s="383"/>
    </row>
    <row r="13" spans="1:41" ht="12.75" customHeight="1" x14ac:dyDescent="0.2">
      <c r="A13" s="65"/>
      <c r="B13" s="389" t="s">
        <v>166</v>
      </c>
      <c r="C13" s="389"/>
      <c r="D13" s="389"/>
      <c r="E13" s="389"/>
      <c r="F13" s="389"/>
      <c r="G13" s="389"/>
      <c r="H13" s="390"/>
      <c r="I13" s="696" t="s">
        <v>167</v>
      </c>
      <c r="J13" s="694"/>
      <c r="K13" s="694"/>
      <c r="L13" s="694"/>
      <c r="M13" s="695"/>
      <c r="N13" s="696" t="s">
        <v>162</v>
      </c>
      <c r="O13" s="694"/>
      <c r="P13" s="694"/>
      <c r="Q13" s="694"/>
      <c r="R13" s="695"/>
      <c r="S13" s="696" t="s">
        <v>168</v>
      </c>
      <c r="T13" s="694"/>
      <c r="U13" s="694"/>
      <c r="V13" s="694"/>
      <c r="W13" s="695"/>
      <c r="X13" s="381" t="s">
        <v>169</v>
      </c>
      <c r="Y13" s="382"/>
      <c r="Z13" s="382"/>
      <c r="AA13" s="382"/>
      <c r="AB13" s="382"/>
      <c r="AC13" s="383"/>
      <c r="AD13" s="381" t="s">
        <v>170</v>
      </c>
      <c r="AE13" s="382"/>
      <c r="AF13" s="382"/>
      <c r="AG13" s="382"/>
      <c r="AH13" s="382"/>
      <c r="AI13" s="383"/>
      <c r="AJ13" s="381" t="s">
        <v>171</v>
      </c>
      <c r="AK13" s="382"/>
      <c r="AL13" s="382"/>
      <c r="AM13" s="382"/>
      <c r="AN13" s="382"/>
      <c r="AO13" s="383"/>
    </row>
    <row r="14" spans="1:41" ht="12.75" customHeight="1" x14ac:dyDescent="0.2">
      <c r="A14" s="65"/>
      <c r="B14" s="389" t="s">
        <v>172</v>
      </c>
      <c r="C14" s="389"/>
      <c r="D14" s="389"/>
      <c r="E14" s="389"/>
      <c r="F14" s="389"/>
      <c r="G14" s="389"/>
      <c r="H14" s="390"/>
      <c r="I14" s="693" t="s">
        <v>173</v>
      </c>
      <c r="J14" s="694"/>
      <c r="K14" s="694"/>
      <c r="L14" s="694"/>
      <c r="M14" s="695"/>
      <c r="N14" s="693" t="s">
        <v>75</v>
      </c>
      <c r="O14" s="694"/>
      <c r="P14" s="694"/>
      <c r="Q14" s="694"/>
      <c r="R14" s="695"/>
      <c r="S14" s="696" t="s">
        <v>174</v>
      </c>
      <c r="T14" s="694"/>
      <c r="U14" s="694"/>
      <c r="V14" s="694"/>
      <c r="W14" s="695"/>
      <c r="X14" s="381" t="s">
        <v>175</v>
      </c>
      <c r="Y14" s="382"/>
      <c r="Z14" s="382"/>
      <c r="AA14" s="382"/>
      <c r="AB14" s="382"/>
      <c r="AC14" s="383"/>
      <c r="AD14" s="381" t="s">
        <v>176</v>
      </c>
      <c r="AE14" s="382"/>
      <c r="AF14" s="382"/>
      <c r="AG14" s="382"/>
      <c r="AH14" s="382"/>
      <c r="AI14" s="383"/>
      <c r="AJ14" s="381" t="s">
        <v>177</v>
      </c>
      <c r="AK14" s="382"/>
      <c r="AL14" s="382"/>
      <c r="AM14" s="382"/>
      <c r="AN14" s="382"/>
      <c r="AO14" s="383"/>
    </row>
    <row r="15" spans="1:41" ht="12.75" customHeight="1" x14ac:dyDescent="0.2">
      <c r="A15" s="66"/>
      <c r="B15" s="706" t="s">
        <v>178</v>
      </c>
      <c r="C15" s="706"/>
      <c r="D15" s="706"/>
      <c r="E15" s="706"/>
      <c r="F15" s="706"/>
      <c r="G15" s="706"/>
      <c r="H15" s="707"/>
      <c r="I15" s="708" t="s">
        <v>75</v>
      </c>
      <c r="J15" s="709"/>
      <c r="K15" s="709"/>
      <c r="L15" s="709"/>
      <c r="M15" s="710"/>
      <c r="N15" s="708"/>
      <c r="O15" s="709"/>
      <c r="P15" s="709"/>
      <c r="Q15" s="709"/>
      <c r="R15" s="710"/>
      <c r="S15" s="708" t="s">
        <v>75</v>
      </c>
      <c r="T15" s="709"/>
      <c r="U15" s="709"/>
      <c r="V15" s="709"/>
      <c r="W15" s="710"/>
      <c r="X15" s="353" t="s">
        <v>179</v>
      </c>
      <c r="Y15" s="354"/>
      <c r="Z15" s="354"/>
      <c r="AA15" s="354"/>
      <c r="AB15" s="354"/>
      <c r="AC15" s="355"/>
      <c r="AD15" s="353" t="s">
        <v>134</v>
      </c>
      <c r="AE15" s="354"/>
      <c r="AF15" s="354"/>
      <c r="AG15" s="354"/>
      <c r="AH15" s="354"/>
      <c r="AI15" s="355"/>
      <c r="AJ15" s="353" t="s">
        <v>180</v>
      </c>
      <c r="AK15" s="354"/>
      <c r="AL15" s="354"/>
      <c r="AM15" s="354"/>
      <c r="AN15" s="354"/>
      <c r="AO15" s="355"/>
    </row>
    <row r="16" spans="1:41" ht="12.75" customHeight="1" x14ac:dyDescent="0.2">
      <c r="A16" s="23"/>
      <c r="B16" s="24" t="s">
        <v>181</v>
      </c>
      <c r="C16" s="24"/>
      <c r="D16" s="25"/>
      <c r="E16" s="25"/>
      <c r="F16" s="25"/>
      <c r="G16" s="25"/>
      <c r="H16" s="25"/>
      <c r="I16" s="67"/>
      <c r="J16" s="67"/>
      <c r="K16" s="67"/>
      <c r="L16" s="67"/>
      <c r="M16" s="67"/>
      <c r="N16" s="67"/>
      <c r="X16" s="25"/>
      <c r="AC16" s="27"/>
      <c r="AD16" s="67"/>
      <c r="AI16" s="67"/>
      <c r="AJ16" s="25"/>
      <c r="AO16" s="27"/>
    </row>
    <row r="17" spans="1:41" ht="12.75" customHeight="1" x14ac:dyDescent="0.2">
      <c r="A17" s="8"/>
      <c r="B17" s="15"/>
      <c r="C17" s="15"/>
      <c r="D17" s="16"/>
      <c r="E17" s="16"/>
      <c r="F17" s="16"/>
      <c r="G17" s="16"/>
      <c r="H17" s="16"/>
      <c r="I17" s="16"/>
      <c r="J17" s="16"/>
      <c r="K17" s="16"/>
      <c r="L17" s="16"/>
      <c r="M17" s="16"/>
      <c r="N17" s="16"/>
      <c r="X17" s="25"/>
      <c r="AC17" s="27"/>
      <c r="AD17" s="25"/>
      <c r="AI17" s="25"/>
      <c r="AJ17" s="25"/>
      <c r="AO17" s="27"/>
    </row>
    <row r="18" spans="1:41" ht="12.75" customHeight="1" x14ac:dyDescent="0.2">
      <c r="A18" s="68"/>
      <c r="B18" s="387" t="str">
        <f>+'D1'!B18:H18</f>
        <v>FPT</v>
      </c>
      <c r="C18" s="387"/>
      <c r="D18" s="387"/>
      <c r="E18" s="387"/>
      <c r="F18" s="387"/>
      <c r="G18" s="387"/>
      <c r="H18" s="388"/>
      <c r="I18" s="735">
        <f>+'D1'!I18:M18</f>
        <v>0</v>
      </c>
      <c r="J18" s="736"/>
      <c r="K18" s="736"/>
      <c r="L18" s="736"/>
      <c r="M18" s="737"/>
      <c r="N18" s="735">
        <f>+Deductions!Z11</f>
        <v>9.8000000000000007</v>
      </c>
      <c r="O18" s="736"/>
      <c r="P18" s="736"/>
      <c r="Q18" s="736"/>
      <c r="R18" s="737"/>
      <c r="S18" s="735"/>
      <c r="T18" s="736"/>
      <c r="U18" s="736"/>
      <c r="V18" s="736"/>
      <c r="W18" s="737"/>
      <c r="X18" s="700">
        <f>+Deductions!AC11</f>
        <v>1156.55</v>
      </c>
      <c r="Y18" s="701"/>
      <c r="Z18" s="701"/>
      <c r="AA18" s="701"/>
      <c r="AB18" s="701"/>
      <c r="AC18" s="702"/>
      <c r="AD18" s="703">
        <f>+Deductions!AF11</f>
        <v>1.0189999999999999</v>
      </c>
      <c r="AE18" s="704"/>
      <c r="AF18" s="704"/>
      <c r="AG18" s="704"/>
      <c r="AH18" s="704"/>
      <c r="AI18" s="705"/>
      <c r="AJ18" s="700">
        <f>+Deductions!AI11</f>
        <v>1178.5244499999999</v>
      </c>
      <c r="AK18" s="701"/>
      <c r="AL18" s="701"/>
      <c r="AM18" s="701"/>
      <c r="AN18" s="701"/>
      <c r="AO18" s="702"/>
    </row>
    <row r="19" spans="1:41" ht="12.75" customHeight="1" x14ac:dyDescent="0.2">
      <c r="A19" s="65"/>
      <c r="B19" s="351" t="str">
        <f>+'D1'!B19:H19</f>
        <v>WBT 1P</v>
      </c>
      <c r="C19" s="351"/>
      <c r="D19" s="351"/>
      <c r="E19" s="351"/>
      <c r="F19" s="351"/>
      <c r="G19" s="351"/>
      <c r="H19" s="352"/>
      <c r="I19" s="738">
        <f>+'D1'!I19:M19</f>
        <v>0</v>
      </c>
      <c r="J19" s="739"/>
      <c r="K19" s="739"/>
      <c r="L19" s="739"/>
      <c r="M19" s="740"/>
      <c r="N19" s="738">
        <f>+Deductions!Z12</f>
        <v>18.57</v>
      </c>
      <c r="O19" s="739"/>
      <c r="P19" s="739"/>
      <c r="Q19" s="739"/>
      <c r="R19" s="740"/>
      <c r="S19" s="738"/>
      <c r="T19" s="739"/>
      <c r="U19" s="739"/>
      <c r="V19" s="739"/>
      <c r="W19" s="740"/>
      <c r="X19" s="711">
        <f>+Deductions!AC12</f>
        <v>1321.27</v>
      </c>
      <c r="Y19" s="712"/>
      <c r="Z19" s="712"/>
      <c r="AA19" s="712"/>
      <c r="AB19" s="712"/>
      <c r="AC19" s="713"/>
      <c r="AD19" s="717">
        <f>+Deductions!AF12</f>
        <v>1.0189999999999999</v>
      </c>
      <c r="AE19" s="718"/>
      <c r="AF19" s="718"/>
      <c r="AG19" s="718"/>
      <c r="AH19" s="718"/>
      <c r="AI19" s="719"/>
      <c r="AJ19" s="711">
        <f>+Deductions!AI12</f>
        <v>1346.3741299999999</v>
      </c>
      <c r="AK19" s="712"/>
      <c r="AL19" s="712"/>
      <c r="AM19" s="712"/>
      <c r="AN19" s="712"/>
      <c r="AO19" s="713"/>
    </row>
    <row r="20" spans="1:41" ht="12.75" customHeight="1" x14ac:dyDescent="0.2">
      <c r="A20" s="65"/>
      <c r="B20" s="351" t="str">
        <f>+'D1'!B20:H20</f>
        <v>WBT 1S</v>
      </c>
      <c r="C20" s="351"/>
      <c r="D20" s="351"/>
      <c r="E20" s="351"/>
      <c r="F20" s="351"/>
      <c r="G20" s="351"/>
      <c r="H20" s="352"/>
      <c r="I20" s="738">
        <f>+'D1'!I20:M20</f>
        <v>0</v>
      </c>
      <c r="J20" s="739"/>
      <c r="K20" s="739"/>
      <c r="L20" s="739"/>
      <c r="M20" s="740"/>
      <c r="N20" s="738">
        <f>+Deductions!Z13</f>
        <v>18.66</v>
      </c>
      <c r="O20" s="739"/>
      <c r="P20" s="739"/>
      <c r="Q20" s="739"/>
      <c r="R20" s="740"/>
      <c r="S20" s="738"/>
      <c r="T20" s="739"/>
      <c r="U20" s="739"/>
      <c r="V20" s="739"/>
      <c r="W20" s="740"/>
      <c r="X20" s="711">
        <f>+Deductions!AC13</f>
        <v>1333.57</v>
      </c>
      <c r="Y20" s="712"/>
      <c r="Z20" s="712"/>
      <c r="AA20" s="712"/>
      <c r="AB20" s="712"/>
      <c r="AC20" s="713"/>
      <c r="AD20" s="717">
        <f>+Deductions!AF13</f>
        <v>1.0189999999999999</v>
      </c>
      <c r="AE20" s="718"/>
      <c r="AF20" s="718"/>
      <c r="AG20" s="718"/>
      <c r="AH20" s="718"/>
      <c r="AI20" s="719"/>
      <c r="AJ20" s="711">
        <f>+Deductions!AI13</f>
        <v>1358.9078299999999</v>
      </c>
      <c r="AK20" s="712"/>
      <c r="AL20" s="712"/>
      <c r="AM20" s="712"/>
      <c r="AN20" s="712"/>
      <c r="AO20" s="713"/>
    </row>
    <row r="21" spans="1:41" ht="12.75" customHeight="1" x14ac:dyDescent="0.2">
      <c r="A21" s="65"/>
      <c r="B21" s="351" t="str">
        <f>+'D1'!B21:H21</f>
        <v>WBT 2P</v>
      </c>
      <c r="C21" s="351"/>
      <c r="D21" s="351"/>
      <c r="E21" s="351"/>
      <c r="F21" s="351"/>
      <c r="G21" s="351"/>
      <c r="H21" s="352"/>
      <c r="I21" s="738">
        <f>+'D1'!I21:M21</f>
        <v>0</v>
      </c>
      <c r="J21" s="739"/>
      <c r="K21" s="739"/>
      <c r="L21" s="739"/>
      <c r="M21" s="740"/>
      <c r="N21" s="738">
        <f>+Deductions!Z14</f>
        <v>18.329999999999998</v>
      </c>
      <c r="O21" s="739"/>
      <c r="P21" s="739"/>
      <c r="Q21" s="739"/>
      <c r="R21" s="740"/>
      <c r="S21" s="738"/>
      <c r="T21" s="739"/>
      <c r="U21" s="739"/>
      <c r="V21" s="739"/>
      <c r="W21" s="740"/>
      <c r="X21" s="711">
        <f>+Deductions!AC14</f>
        <v>1766.19</v>
      </c>
      <c r="Y21" s="712"/>
      <c r="Z21" s="712"/>
      <c r="AA21" s="712"/>
      <c r="AB21" s="712"/>
      <c r="AC21" s="713"/>
      <c r="AD21" s="717">
        <f>+Deductions!AF14</f>
        <v>1.0189999999999999</v>
      </c>
      <c r="AE21" s="718"/>
      <c r="AF21" s="718"/>
      <c r="AG21" s="718"/>
      <c r="AH21" s="718"/>
      <c r="AI21" s="719"/>
      <c r="AJ21" s="711">
        <f>+Deductions!AI14</f>
        <v>1799.7476099999999</v>
      </c>
      <c r="AK21" s="712"/>
      <c r="AL21" s="712"/>
      <c r="AM21" s="712"/>
      <c r="AN21" s="712"/>
      <c r="AO21" s="713"/>
    </row>
    <row r="22" spans="1:41" ht="12.75" customHeight="1" x14ac:dyDescent="0.2">
      <c r="A22" s="65"/>
      <c r="B22" s="351" t="str">
        <f>+'D1'!B22:H22</f>
        <v>WBT 2S</v>
      </c>
      <c r="C22" s="351"/>
      <c r="D22" s="351"/>
      <c r="E22" s="351"/>
      <c r="F22" s="351"/>
      <c r="G22" s="351"/>
      <c r="H22" s="352"/>
      <c r="I22" s="738">
        <f>+'D1'!I22:M22</f>
        <v>0</v>
      </c>
      <c r="J22" s="739"/>
      <c r="K22" s="739"/>
      <c r="L22" s="739"/>
      <c r="M22" s="740"/>
      <c r="N22" s="738">
        <f>+Deductions!Z15</f>
        <v>18.36</v>
      </c>
      <c r="O22" s="739"/>
      <c r="P22" s="739"/>
      <c r="Q22" s="739"/>
      <c r="R22" s="740"/>
      <c r="S22" s="738"/>
      <c r="T22" s="739"/>
      <c r="U22" s="739"/>
      <c r="V22" s="739"/>
      <c r="W22" s="740"/>
      <c r="X22" s="711">
        <f>+Deductions!AC15</f>
        <v>1772.66</v>
      </c>
      <c r="Y22" s="712"/>
      <c r="Z22" s="712"/>
      <c r="AA22" s="712"/>
      <c r="AB22" s="712"/>
      <c r="AC22" s="713"/>
      <c r="AD22" s="717">
        <f>+Deductions!AF15</f>
        <v>1.0189999999999999</v>
      </c>
      <c r="AE22" s="718"/>
      <c r="AF22" s="718"/>
      <c r="AG22" s="718"/>
      <c r="AH22" s="718"/>
      <c r="AI22" s="719"/>
      <c r="AJ22" s="711">
        <f>+Deductions!AI15</f>
        <v>1806.3405399999999</v>
      </c>
      <c r="AK22" s="712"/>
      <c r="AL22" s="712"/>
      <c r="AM22" s="712"/>
      <c r="AN22" s="712"/>
      <c r="AO22" s="713"/>
    </row>
    <row r="23" spans="1:41" ht="12.75" customHeight="1" x14ac:dyDescent="0.2">
      <c r="A23" s="65"/>
      <c r="B23" s="351" t="str">
        <f>+'D1'!B23:H23</f>
        <v>WBT 3P</v>
      </c>
      <c r="C23" s="351"/>
      <c r="D23" s="351"/>
      <c r="E23" s="351"/>
      <c r="F23" s="351"/>
      <c r="G23" s="351"/>
      <c r="H23" s="352"/>
      <c r="I23" s="738">
        <f>+'D1'!I23:M23</f>
        <v>0</v>
      </c>
      <c r="J23" s="739"/>
      <c r="K23" s="739"/>
      <c r="L23" s="739"/>
      <c r="M23" s="740"/>
      <c r="N23" s="738">
        <f>+Deductions!Z16</f>
        <v>18.62</v>
      </c>
      <c r="O23" s="739"/>
      <c r="P23" s="739"/>
      <c r="Q23" s="739"/>
      <c r="R23" s="740"/>
      <c r="S23" s="738"/>
      <c r="T23" s="739"/>
      <c r="U23" s="739"/>
      <c r="V23" s="739"/>
      <c r="W23" s="740"/>
      <c r="X23" s="711">
        <f>+Deductions!AC16</f>
        <v>1739.57</v>
      </c>
      <c r="Y23" s="712"/>
      <c r="Z23" s="712"/>
      <c r="AA23" s="712"/>
      <c r="AB23" s="712"/>
      <c r="AC23" s="713"/>
      <c r="AD23" s="717">
        <f>+Deductions!AF16</f>
        <v>1.0189999999999999</v>
      </c>
      <c r="AE23" s="718"/>
      <c r="AF23" s="718"/>
      <c r="AG23" s="718"/>
      <c r="AH23" s="718"/>
      <c r="AI23" s="719"/>
      <c r="AJ23" s="711">
        <f>+Deductions!AI16</f>
        <v>1772.6218299999998</v>
      </c>
      <c r="AK23" s="712"/>
      <c r="AL23" s="712"/>
      <c r="AM23" s="712"/>
      <c r="AN23" s="712"/>
      <c r="AO23" s="713"/>
    </row>
    <row r="24" spans="1:41" ht="12.75" customHeight="1" x14ac:dyDescent="0.2">
      <c r="A24" s="65"/>
      <c r="B24" s="351" t="str">
        <f>+'D1'!B24:H24</f>
        <v>WBT 3S</v>
      </c>
      <c r="C24" s="351"/>
      <c r="D24" s="351"/>
      <c r="E24" s="351"/>
      <c r="F24" s="351"/>
      <c r="G24" s="351"/>
      <c r="H24" s="352"/>
      <c r="I24" s="738">
        <f>+'D1'!I24:M24</f>
        <v>0</v>
      </c>
      <c r="J24" s="739"/>
      <c r="K24" s="739"/>
      <c r="L24" s="739"/>
      <c r="M24" s="740"/>
      <c r="N24" s="738">
        <f>+Deductions!Z17</f>
        <v>18.5</v>
      </c>
      <c r="O24" s="739"/>
      <c r="P24" s="739"/>
      <c r="Q24" s="739"/>
      <c r="R24" s="740"/>
      <c r="S24" s="738"/>
      <c r="T24" s="739"/>
      <c r="U24" s="739"/>
      <c r="V24" s="739"/>
      <c r="W24" s="740"/>
      <c r="X24" s="711">
        <f>+Deductions!AC17</f>
        <v>1715.19</v>
      </c>
      <c r="Y24" s="712"/>
      <c r="Z24" s="712"/>
      <c r="AA24" s="712"/>
      <c r="AB24" s="712"/>
      <c r="AC24" s="713"/>
      <c r="AD24" s="717">
        <f>+Deductions!AF17</f>
        <v>1.0189999999999999</v>
      </c>
      <c r="AE24" s="718"/>
      <c r="AF24" s="718"/>
      <c r="AG24" s="718"/>
      <c r="AH24" s="718"/>
      <c r="AI24" s="719"/>
      <c r="AJ24" s="711">
        <f>+Deductions!AI17</f>
        <v>1747.7786099999998</v>
      </c>
      <c r="AK24" s="712"/>
      <c r="AL24" s="712"/>
      <c r="AM24" s="712"/>
      <c r="AN24" s="712"/>
      <c r="AO24" s="713"/>
    </row>
    <row r="25" spans="1:41" ht="12.75" customHeight="1" x14ac:dyDescent="0.2">
      <c r="A25" s="65"/>
      <c r="B25" s="351" t="str">
        <f>+'D1'!B25:H25</f>
        <v>WBT 4P</v>
      </c>
      <c r="C25" s="351"/>
      <c r="D25" s="351"/>
      <c r="E25" s="351"/>
      <c r="F25" s="351"/>
      <c r="G25" s="351"/>
      <c r="H25" s="352"/>
      <c r="I25" s="738">
        <f>+'D1'!I25:M25</f>
        <v>0</v>
      </c>
      <c r="J25" s="739"/>
      <c r="K25" s="739"/>
      <c r="L25" s="739"/>
      <c r="M25" s="740"/>
      <c r="N25" s="738">
        <f>+Deductions!Z18</f>
        <v>18.5</v>
      </c>
      <c r="O25" s="739"/>
      <c r="P25" s="739"/>
      <c r="Q25" s="739"/>
      <c r="R25" s="740"/>
      <c r="S25" s="738"/>
      <c r="T25" s="739"/>
      <c r="U25" s="739"/>
      <c r="V25" s="739"/>
      <c r="W25" s="740"/>
      <c r="X25" s="711">
        <f>+Deductions!AC18</f>
        <v>1297.73</v>
      </c>
      <c r="Y25" s="712"/>
      <c r="Z25" s="712"/>
      <c r="AA25" s="712"/>
      <c r="AB25" s="712"/>
      <c r="AC25" s="713"/>
      <c r="AD25" s="717">
        <f>+Deductions!AF18</f>
        <v>1.0189999999999999</v>
      </c>
      <c r="AE25" s="718"/>
      <c r="AF25" s="718"/>
      <c r="AG25" s="718"/>
      <c r="AH25" s="718"/>
      <c r="AI25" s="719"/>
      <c r="AJ25" s="711">
        <f>+Deductions!AI18</f>
        <v>1322.3868699999998</v>
      </c>
      <c r="AK25" s="712"/>
      <c r="AL25" s="712"/>
      <c r="AM25" s="712"/>
      <c r="AN25" s="712"/>
      <c r="AO25" s="713"/>
    </row>
    <row r="26" spans="1:41" ht="12.75" customHeight="1" x14ac:dyDescent="0.2">
      <c r="A26" s="65"/>
      <c r="B26" s="351" t="str">
        <f>+'D1'!B26:H26</f>
        <v>WBT 4S</v>
      </c>
      <c r="C26" s="351"/>
      <c r="D26" s="351"/>
      <c r="E26" s="351"/>
      <c r="F26" s="351"/>
      <c r="G26" s="351"/>
      <c r="H26" s="352"/>
      <c r="I26" s="738">
        <f>+'D1'!I26:M26</f>
        <v>0</v>
      </c>
      <c r="J26" s="739"/>
      <c r="K26" s="739"/>
      <c r="L26" s="739"/>
      <c r="M26" s="740"/>
      <c r="N26" s="738">
        <f>+Deductions!Z19</f>
        <v>18.760000000000002</v>
      </c>
      <c r="O26" s="739"/>
      <c r="P26" s="739"/>
      <c r="Q26" s="739"/>
      <c r="R26" s="740"/>
      <c r="S26" s="738"/>
      <c r="T26" s="739"/>
      <c r="U26" s="739"/>
      <c r="V26" s="739"/>
      <c r="W26" s="740"/>
      <c r="X26" s="711">
        <f>+Deductions!AC19</f>
        <v>1346.46</v>
      </c>
      <c r="Y26" s="712"/>
      <c r="Z26" s="712"/>
      <c r="AA26" s="712"/>
      <c r="AB26" s="712"/>
      <c r="AC26" s="713"/>
      <c r="AD26" s="717">
        <f>+Deductions!AF19</f>
        <v>1.0189999999999999</v>
      </c>
      <c r="AE26" s="718"/>
      <c r="AF26" s="718"/>
      <c r="AG26" s="718"/>
      <c r="AH26" s="718"/>
      <c r="AI26" s="719"/>
      <c r="AJ26" s="711">
        <f>+Deductions!AI19</f>
        <v>1372.0427399999999</v>
      </c>
      <c r="AK26" s="712"/>
      <c r="AL26" s="712"/>
      <c r="AM26" s="712"/>
      <c r="AN26" s="712"/>
      <c r="AO26" s="713"/>
    </row>
    <row r="27" spans="1:41" ht="12.75" customHeight="1" x14ac:dyDescent="0.2">
      <c r="A27" s="65"/>
      <c r="B27" s="351" t="str">
        <f>+'D1'!B27:H27</f>
        <v>WBT 5P</v>
      </c>
      <c r="C27" s="351"/>
      <c r="D27" s="351"/>
      <c r="E27" s="351"/>
      <c r="F27" s="351"/>
      <c r="G27" s="351"/>
      <c r="H27" s="352"/>
      <c r="I27" s="738">
        <f>+'D1'!I27:M27</f>
        <v>0</v>
      </c>
      <c r="J27" s="739"/>
      <c r="K27" s="739"/>
      <c r="L27" s="739"/>
      <c r="M27" s="740"/>
      <c r="N27" s="738">
        <f>+Deductions!Z20</f>
        <v>18.260000000000002</v>
      </c>
      <c r="O27" s="739"/>
      <c r="P27" s="739"/>
      <c r="Q27" s="739"/>
      <c r="R27" s="740"/>
      <c r="S27" s="738"/>
      <c r="T27" s="739"/>
      <c r="U27" s="739"/>
      <c r="V27" s="739"/>
      <c r="W27" s="740"/>
      <c r="X27" s="711">
        <f>+Deductions!AC20</f>
        <v>1001.4</v>
      </c>
      <c r="Y27" s="712"/>
      <c r="Z27" s="712"/>
      <c r="AA27" s="712"/>
      <c r="AB27" s="712"/>
      <c r="AC27" s="713"/>
      <c r="AD27" s="717">
        <f>+Deductions!AF20</f>
        <v>1.0189999999999999</v>
      </c>
      <c r="AE27" s="718"/>
      <c r="AF27" s="718"/>
      <c r="AG27" s="718"/>
      <c r="AH27" s="718"/>
      <c r="AI27" s="719"/>
      <c r="AJ27" s="711">
        <f>+Deductions!AI20</f>
        <v>1020.4265999999999</v>
      </c>
      <c r="AK27" s="712"/>
      <c r="AL27" s="712"/>
      <c r="AM27" s="712"/>
      <c r="AN27" s="712"/>
      <c r="AO27" s="713"/>
    </row>
    <row r="28" spans="1:41" ht="12.75" customHeight="1" x14ac:dyDescent="0.2">
      <c r="A28" s="65"/>
      <c r="B28" s="351" t="str">
        <f>+'D1'!B28:H28</f>
        <v>WBT 5S</v>
      </c>
      <c r="C28" s="351"/>
      <c r="D28" s="351"/>
      <c r="E28" s="351"/>
      <c r="F28" s="351"/>
      <c r="G28" s="351"/>
      <c r="H28" s="352"/>
      <c r="I28" s="738">
        <f>+'D1'!I28:M28</f>
        <v>0</v>
      </c>
      <c r="J28" s="739"/>
      <c r="K28" s="739"/>
      <c r="L28" s="739"/>
      <c r="M28" s="740"/>
      <c r="N28" s="738">
        <f>+Deductions!Z21</f>
        <v>18.54</v>
      </c>
      <c r="O28" s="739"/>
      <c r="P28" s="739"/>
      <c r="Q28" s="739"/>
      <c r="R28" s="740"/>
      <c r="S28" s="738"/>
      <c r="T28" s="739"/>
      <c r="U28" s="739"/>
      <c r="V28" s="739"/>
      <c r="W28" s="740"/>
      <c r="X28" s="711">
        <f>+Deductions!AC21</f>
        <v>1052.3399999999999</v>
      </c>
      <c r="Y28" s="712"/>
      <c r="Z28" s="712"/>
      <c r="AA28" s="712"/>
      <c r="AB28" s="712"/>
      <c r="AC28" s="713"/>
      <c r="AD28" s="717">
        <f>+Deductions!AF21</f>
        <v>1.0189999999999999</v>
      </c>
      <c r="AE28" s="718"/>
      <c r="AF28" s="718"/>
      <c r="AG28" s="718"/>
      <c r="AH28" s="718"/>
      <c r="AI28" s="719"/>
      <c r="AJ28" s="711">
        <f>+Deductions!AI21</f>
        <v>1072.3344599999998</v>
      </c>
      <c r="AK28" s="712"/>
      <c r="AL28" s="712"/>
      <c r="AM28" s="712"/>
      <c r="AN28" s="712"/>
      <c r="AO28" s="713"/>
    </row>
    <row r="29" spans="1:41" ht="12.75" customHeight="1" x14ac:dyDescent="0.2">
      <c r="A29" s="65"/>
      <c r="B29" s="351" t="str">
        <f>+'D1'!B29:H29</f>
        <v>APT</v>
      </c>
      <c r="C29" s="351"/>
      <c r="D29" s="351"/>
      <c r="E29" s="351"/>
      <c r="F29" s="351"/>
      <c r="G29" s="351"/>
      <c r="H29" s="352"/>
      <c r="I29" s="738">
        <f>+'D1'!I29:M29</f>
        <v>0</v>
      </c>
      <c r="J29" s="739"/>
      <c r="K29" s="739"/>
      <c r="L29" s="739"/>
      <c r="M29" s="740"/>
      <c r="N29" s="738">
        <f>+Deductions!Z22</f>
        <v>6.91</v>
      </c>
      <c r="O29" s="739"/>
      <c r="P29" s="739"/>
      <c r="Q29" s="739"/>
      <c r="R29" s="740"/>
      <c r="S29" s="738"/>
      <c r="T29" s="739"/>
      <c r="U29" s="739"/>
      <c r="V29" s="739"/>
      <c r="W29" s="740"/>
      <c r="X29" s="711">
        <f>+Deductions!AC22</f>
        <v>485.98</v>
      </c>
      <c r="Y29" s="712"/>
      <c r="Z29" s="712"/>
      <c r="AA29" s="712"/>
      <c r="AB29" s="712"/>
      <c r="AC29" s="713"/>
      <c r="AD29" s="717">
        <f>+Deductions!AF22</f>
        <v>1.0189999999999999</v>
      </c>
      <c r="AE29" s="718"/>
      <c r="AF29" s="718"/>
      <c r="AG29" s="718"/>
      <c r="AH29" s="718"/>
      <c r="AI29" s="719"/>
      <c r="AJ29" s="711">
        <f>+Deductions!AI22</f>
        <v>495.21361999999999</v>
      </c>
      <c r="AK29" s="712"/>
      <c r="AL29" s="712"/>
      <c r="AM29" s="712"/>
      <c r="AN29" s="712"/>
      <c r="AO29" s="713"/>
    </row>
    <row r="30" spans="1:41" ht="12.75" customHeight="1" x14ac:dyDescent="0.2">
      <c r="A30" s="65"/>
      <c r="B30" s="351" t="str">
        <f>+'D1'!B30:H30</f>
        <v>GRAY WT P</v>
      </c>
      <c r="C30" s="351"/>
      <c r="D30" s="351"/>
      <c r="E30" s="351"/>
      <c r="F30" s="351"/>
      <c r="G30" s="351"/>
      <c r="H30" s="352"/>
      <c r="I30" s="738">
        <f>+'D1'!I30:M30</f>
        <v>0</v>
      </c>
      <c r="J30" s="739"/>
      <c r="K30" s="739"/>
      <c r="L30" s="739"/>
      <c r="M30" s="740"/>
      <c r="N30" s="738">
        <f>+Deductions!Z23</f>
        <v>6.15</v>
      </c>
      <c r="O30" s="739"/>
      <c r="P30" s="739"/>
      <c r="Q30" s="739"/>
      <c r="R30" s="740"/>
      <c r="S30" s="738"/>
      <c r="T30" s="739"/>
      <c r="U30" s="739"/>
      <c r="V30" s="739"/>
      <c r="W30" s="740"/>
      <c r="X30" s="711">
        <f>+Deductions!AC23</f>
        <v>52.95</v>
      </c>
      <c r="Y30" s="712"/>
      <c r="Z30" s="712"/>
      <c r="AA30" s="712"/>
      <c r="AB30" s="712"/>
      <c r="AC30" s="713"/>
      <c r="AD30" s="717">
        <f>+Deductions!AF23</f>
        <v>1.0189999999999999</v>
      </c>
      <c r="AE30" s="718"/>
      <c r="AF30" s="718"/>
      <c r="AG30" s="718"/>
      <c r="AH30" s="718"/>
      <c r="AI30" s="719"/>
      <c r="AJ30" s="711">
        <f>+Deductions!AI23</f>
        <v>53.956049999999998</v>
      </c>
      <c r="AK30" s="712"/>
      <c r="AL30" s="712"/>
      <c r="AM30" s="712"/>
      <c r="AN30" s="712"/>
      <c r="AO30" s="713"/>
    </row>
    <row r="31" spans="1:41" ht="12.75" customHeight="1" x14ac:dyDescent="0.2">
      <c r="A31" s="65"/>
      <c r="B31" s="351" t="str">
        <f>+'D1'!B31:H31</f>
        <v xml:space="preserve">GRAYWT S </v>
      </c>
      <c r="C31" s="351"/>
      <c r="D31" s="351"/>
      <c r="E31" s="351"/>
      <c r="F31" s="351"/>
      <c r="G31" s="351"/>
      <c r="H31" s="352"/>
      <c r="I31" s="738">
        <f>+'D1'!I31:M31</f>
        <v>0</v>
      </c>
      <c r="J31" s="739"/>
      <c r="K31" s="739"/>
      <c r="L31" s="739"/>
      <c r="M31" s="740"/>
      <c r="N31" s="738" t="str">
        <f>+Deductions!Z24</f>
        <v>EMPTY</v>
      </c>
      <c r="O31" s="739"/>
      <c r="P31" s="739"/>
      <c r="Q31" s="739"/>
      <c r="R31" s="740"/>
      <c r="S31" s="738"/>
      <c r="T31" s="739"/>
      <c r="U31" s="739"/>
      <c r="V31" s="739"/>
      <c r="W31" s="740"/>
      <c r="X31" s="711">
        <f>+Deductions!AC24</f>
        <v>0</v>
      </c>
      <c r="Y31" s="712"/>
      <c r="Z31" s="712"/>
      <c r="AA31" s="712"/>
      <c r="AB31" s="712"/>
      <c r="AC31" s="713"/>
      <c r="AD31" s="717">
        <f>+Deductions!AF24</f>
        <v>1.0189999999999999</v>
      </c>
      <c r="AE31" s="718"/>
      <c r="AF31" s="718"/>
      <c r="AG31" s="718"/>
      <c r="AH31" s="718"/>
      <c r="AI31" s="719"/>
      <c r="AJ31" s="711">
        <f>+Deductions!AI24</f>
        <v>0</v>
      </c>
      <c r="AK31" s="712"/>
      <c r="AL31" s="712"/>
      <c r="AM31" s="712"/>
      <c r="AN31" s="712"/>
      <c r="AO31" s="713"/>
    </row>
    <row r="32" spans="1:41" ht="12.75" customHeight="1" x14ac:dyDescent="0.2">
      <c r="A32" s="65"/>
      <c r="B32" s="351">
        <f>+'D1'!B32:H32</f>
        <v>0</v>
      </c>
      <c r="C32" s="351"/>
      <c r="D32" s="351"/>
      <c r="E32" s="351"/>
      <c r="F32" s="351"/>
      <c r="G32" s="351"/>
      <c r="H32" s="352"/>
      <c r="I32" s="738">
        <f>+'D1'!I32:M32</f>
        <v>0</v>
      </c>
      <c r="J32" s="739"/>
      <c r="K32" s="739"/>
      <c r="L32" s="739"/>
      <c r="M32" s="740"/>
      <c r="N32" s="738">
        <f>+Deductions!Z25</f>
        <v>0</v>
      </c>
      <c r="O32" s="739"/>
      <c r="P32" s="739"/>
      <c r="Q32" s="739"/>
      <c r="R32" s="740"/>
      <c r="S32" s="738"/>
      <c r="T32" s="739"/>
      <c r="U32" s="739"/>
      <c r="V32" s="739"/>
      <c r="W32" s="740"/>
      <c r="X32" s="711">
        <f>+Deductions!AC25</f>
        <v>0</v>
      </c>
      <c r="Y32" s="712"/>
      <c r="Z32" s="712"/>
      <c r="AA32" s="712"/>
      <c r="AB32" s="712"/>
      <c r="AC32" s="713"/>
      <c r="AD32" s="717">
        <f>+Deductions!AF25</f>
        <v>0</v>
      </c>
      <c r="AE32" s="718"/>
      <c r="AF32" s="718"/>
      <c r="AG32" s="718"/>
      <c r="AH32" s="718"/>
      <c r="AI32" s="719"/>
      <c r="AJ32" s="711">
        <f>+Deductions!AI25</f>
        <v>0</v>
      </c>
      <c r="AK32" s="712"/>
      <c r="AL32" s="712"/>
      <c r="AM32" s="712"/>
      <c r="AN32" s="712"/>
      <c r="AO32" s="713"/>
    </row>
    <row r="33" spans="1:41" ht="12.75" customHeight="1" x14ac:dyDescent="0.2">
      <c r="A33" s="65"/>
      <c r="B33" s="741">
        <f>+'D1'!B33:H33</f>
        <v>0</v>
      </c>
      <c r="C33" s="741"/>
      <c r="D33" s="741"/>
      <c r="E33" s="741"/>
      <c r="F33" s="741"/>
      <c r="G33" s="741"/>
      <c r="H33" s="742"/>
      <c r="I33" s="738">
        <f>+'D1'!I33:M33</f>
        <v>0</v>
      </c>
      <c r="J33" s="739"/>
      <c r="K33" s="739"/>
      <c r="L33" s="739"/>
      <c r="M33" s="740"/>
      <c r="N33" s="738">
        <f>+Deductions!Z26</f>
        <v>0</v>
      </c>
      <c r="O33" s="739"/>
      <c r="P33" s="739"/>
      <c r="Q33" s="739"/>
      <c r="R33" s="740"/>
      <c r="S33" s="738"/>
      <c r="T33" s="739"/>
      <c r="U33" s="739"/>
      <c r="V33" s="739"/>
      <c r="W33" s="740"/>
      <c r="X33" s="711">
        <f>+Deductions!AC26</f>
        <v>0</v>
      </c>
      <c r="Y33" s="712"/>
      <c r="Z33" s="712"/>
      <c r="AA33" s="712"/>
      <c r="AB33" s="712"/>
      <c r="AC33" s="713"/>
      <c r="AD33" s="717">
        <f>+Deductions!AF26</f>
        <v>0</v>
      </c>
      <c r="AE33" s="718"/>
      <c r="AF33" s="718"/>
      <c r="AG33" s="718"/>
      <c r="AH33" s="718"/>
      <c r="AI33" s="719"/>
      <c r="AJ33" s="711">
        <f>+Deductions!AI26</f>
        <v>0</v>
      </c>
      <c r="AK33" s="712"/>
      <c r="AL33" s="712"/>
      <c r="AM33" s="712"/>
      <c r="AN33" s="712"/>
      <c r="AO33" s="713"/>
    </row>
    <row r="34" spans="1:41" ht="12.75" customHeight="1" x14ac:dyDescent="0.2">
      <c r="A34" s="65"/>
      <c r="B34" s="351">
        <f>+'D1'!B34:H34</f>
        <v>0</v>
      </c>
      <c r="C34" s="351"/>
      <c r="D34" s="351"/>
      <c r="E34" s="351"/>
      <c r="F34" s="351"/>
      <c r="G34" s="351"/>
      <c r="H34" s="352"/>
      <c r="I34" s="738">
        <f>+'D1'!I34:M34</f>
        <v>0</v>
      </c>
      <c r="J34" s="739"/>
      <c r="K34" s="739"/>
      <c r="L34" s="739"/>
      <c r="M34" s="740"/>
      <c r="N34" s="738">
        <f>+Deductions!Z27</f>
        <v>0</v>
      </c>
      <c r="O34" s="739"/>
      <c r="P34" s="739"/>
      <c r="Q34" s="739"/>
      <c r="R34" s="740"/>
      <c r="S34" s="738"/>
      <c r="T34" s="739"/>
      <c r="U34" s="739"/>
      <c r="V34" s="739"/>
      <c r="W34" s="740"/>
      <c r="X34" s="711">
        <f>+Deductions!AC27</f>
        <v>0</v>
      </c>
      <c r="Y34" s="712"/>
      <c r="Z34" s="712"/>
      <c r="AA34" s="712"/>
      <c r="AB34" s="712"/>
      <c r="AC34" s="713"/>
      <c r="AD34" s="717">
        <f>+Deductions!AF27</f>
        <v>0</v>
      </c>
      <c r="AE34" s="718"/>
      <c r="AF34" s="718"/>
      <c r="AG34" s="718"/>
      <c r="AH34" s="718"/>
      <c r="AI34" s="719"/>
      <c r="AJ34" s="711">
        <f>+Deductions!AI27</f>
        <v>0</v>
      </c>
      <c r="AK34" s="712"/>
      <c r="AL34" s="712"/>
      <c r="AM34" s="712"/>
      <c r="AN34" s="712"/>
      <c r="AO34" s="713"/>
    </row>
    <row r="35" spans="1:41" ht="12.75" customHeight="1" x14ac:dyDescent="0.2">
      <c r="A35" s="65"/>
      <c r="B35" s="351">
        <f>+'D1'!B35:H35</f>
        <v>0</v>
      </c>
      <c r="C35" s="351"/>
      <c r="D35" s="351"/>
      <c r="E35" s="351"/>
      <c r="F35" s="351"/>
      <c r="G35" s="351"/>
      <c r="H35" s="352"/>
      <c r="I35" s="738">
        <f>+'D1'!I35:M35</f>
        <v>0</v>
      </c>
      <c r="J35" s="739"/>
      <c r="K35" s="739"/>
      <c r="L35" s="739"/>
      <c r="M35" s="740"/>
      <c r="N35" s="738">
        <f>+Deductions!Z28</f>
        <v>0</v>
      </c>
      <c r="O35" s="739"/>
      <c r="P35" s="739"/>
      <c r="Q35" s="739"/>
      <c r="R35" s="740"/>
      <c r="S35" s="738"/>
      <c r="T35" s="739"/>
      <c r="U35" s="739"/>
      <c r="V35" s="739"/>
      <c r="W35" s="740"/>
      <c r="X35" s="711">
        <f>+Deductions!AC28</f>
        <v>0</v>
      </c>
      <c r="Y35" s="712"/>
      <c r="Z35" s="712"/>
      <c r="AA35" s="712"/>
      <c r="AB35" s="712"/>
      <c r="AC35" s="713"/>
      <c r="AD35" s="717">
        <f>+Deductions!AF28</f>
        <v>0</v>
      </c>
      <c r="AE35" s="718"/>
      <c r="AF35" s="718"/>
      <c r="AG35" s="718"/>
      <c r="AH35" s="718"/>
      <c r="AI35" s="719"/>
      <c r="AJ35" s="711">
        <f>+Deductions!AI28</f>
        <v>0</v>
      </c>
      <c r="AK35" s="712"/>
      <c r="AL35" s="712"/>
      <c r="AM35" s="712"/>
      <c r="AN35" s="712"/>
      <c r="AO35" s="713"/>
    </row>
    <row r="36" spans="1:41" ht="12.75" customHeight="1" x14ac:dyDescent="0.2">
      <c r="A36" s="65"/>
      <c r="B36" s="351">
        <f>+'D1'!B36:H36</f>
        <v>0</v>
      </c>
      <c r="C36" s="351"/>
      <c r="D36" s="351"/>
      <c r="E36" s="351"/>
      <c r="F36" s="351"/>
      <c r="G36" s="351"/>
      <c r="H36" s="352"/>
      <c r="I36" s="738">
        <f>+'D1'!I36:M36</f>
        <v>0</v>
      </c>
      <c r="J36" s="739"/>
      <c r="K36" s="739"/>
      <c r="L36" s="739"/>
      <c r="M36" s="740"/>
      <c r="N36" s="738">
        <f>+Deductions!Z29</f>
        <v>0</v>
      </c>
      <c r="O36" s="739"/>
      <c r="P36" s="739"/>
      <c r="Q36" s="739"/>
      <c r="R36" s="740"/>
      <c r="S36" s="738"/>
      <c r="T36" s="739"/>
      <c r="U36" s="739"/>
      <c r="V36" s="739"/>
      <c r="W36" s="740"/>
      <c r="X36" s="711">
        <f>+Deductions!AC29</f>
        <v>0</v>
      </c>
      <c r="Y36" s="712"/>
      <c r="Z36" s="712"/>
      <c r="AA36" s="712"/>
      <c r="AB36" s="712"/>
      <c r="AC36" s="713"/>
      <c r="AD36" s="717">
        <f>+Deductions!AF29</f>
        <v>0</v>
      </c>
      <c r="AE36" s="718"/>
      <c r="AF36" s="718"/>
      <c r="AG36" s="718"/>
      <c r="AH36" s="718"/>
      <c r="AI36" s="719"/>
      <c r="AJ36" s="711">
        <f>+Deductions!AI29</f>
        <v>0</v>
      </c>
      <c r="AK36" s="712"/>
      <c r="AL36" s="712"/>
      <c r="AM36" s="712"/>
      <c r="AN36" s="712"/>
      <c r="AO36" s="713"/>
    </row>
    <row r="37" spans="1:41" ht="12.75" customHeight="1" x14ac:dyDescent="0.2">
      <c r="A37" s="65"/>
      <c r="B37" s="351">
        <f>+'D1'!B37:H37</f>
        <v>0</v>
      </c>
      <c r="C37" s="351"/>
      <c r="D37" s="351"/>
      <c r="E37" s="351"/>
      <c r="F37" s="351"/>
      <c r="G37" s="351"/>
      <c r="H37" s="352"/>
      <c r="I37" s="738">
        <f>+'D1'!I37:M37</f>
        <v>0</v>
      </c>
      <c r="J37" s="739"/>
      <c r="K37" s="739"/>
      <c r="L37" s="739"/>
      <c r="M37" s="740"/>
      <c r="N37" s="738">
        <f>+Deductions!Z30</f>
        <v>0</v>
      </c>
      <c r="O37" s="739"/>
      <c r="P37" s="739"/>
      <c r="Q37" s="739"/>
      <c r="R37" s="740"/>
      <c r="S37" s="738"/>
      <c r="T37" s="739"/>
      <c r="U37" s="739"/>
      <c r="V37" s="739"/>
      <c r="W37" s="740"/>
      <c r="X37" s="711">
        <f>+Deductions!AC30</f>
        <v>0</v>
      </c>
      <c r="Y37" s="712"/>
      <c r="Z37" s="712"/>
      <c r="AA37" s="712"/>
      <c r="AB37" s="712"/>
      <c r="AC37" s="713"/>
      <c r="AD37" s="717">
        <f>+Deductions!AF30</f>
        <v>0</v>
      </c>
      <c r="AE37" s="718"/>
      <c r="AF37" s="718"/>
      <c r="AG37" s="718"/>
      <c r="AH37" s="718"/>
      <c r="AI37" s="719"/>
      <c r="AJ37" s="711">
        <f>+Deductions!AI30</f>
        <v>0</v>
      </c>
      <c r="AK37" s="712"/>
      <c r="AL37" s="712"/>
      <c r="AM37" s="712"/>
      <c r="AN37" s="712"/>
      <c r="AO37" s="713"/>
    </row>
    <row r="38" spans="1:41" ht="12.75" customHeight="1" x14ac:dyDescent="0.2">
      <c r="A38" s="65"/>
      <c r="B38" s="351">
        <f>+'D1'!B38:H38</f>
        <v>0</v>
      </c>
      <c r="C38" s="351"/>
      <c r="D38" s="351"/>
      <c r="E38" s="351"/>
      <c r="F38" s="351"/>
      <c r="G38" s="351"/>
      <c r="H38" s="352"/>
      <c r="I38" s="738">
        <f>+'D1'!I38:M38</f>
        <v>0</v>
      </c>
      <c r="J38" s="739"/>
      <c r="K38" s="739"/>
      <c r="L38" s="739"/>
      <c r="M38" s="740"/>
      <c r="N38" s="738">
        <f>+Deductions!Z31</f>
        <v>0</v>
      </c>
      <c r="O38" s="739"/>
      <c r="P38" s="739"/>
      <c r="Q38" s="739"/>
      <c r="R38" s="740"/>
      <c r="S38" s="738"/>
      <c r="T38" s="739"/>
      <c r="U38" s="739"/>
      <c r="V38" s="739"/>
      <c r="W38" s="740"/>
      <c r="X38" s="711">
        <f>+Deductions!AC31</f>
        <v>0</v>
      </c>
      <c r="Y38" s="712"/>
      <c r="Z38" s="712"/>
      <c r="AA38" s="712"/>
      <c r="AB38" s="712"/>
      <c r="AC38" s="713"/>
      <c r="AD38" s="717">
        <f>+Deductions!AF31</f>
        <v>0</v>
      </c>
      <c r="AE38" s="718"/>
      <c r="AF38" s="718"/>
      <c r="AG38" s="718"/>
      <c r="AH38" s="718"/>
      <c r="AI38" s="719"/>
      <c r="AJ38" s="711">
        <f>+Deductions!AI31</f>
        <v>0</v>
      </c>
      <c r="AK38" s="712"/>
      <c r="AL38" s="712"/>
      <c r="AM38" s="712"/>
      <c r="AN38" s="712"/>
      <c r="AO38" s="713"/>
    </row>
    <row r="39" spans="1:41" ht="12.75" customHeight="1" x14ac:dyDescent="0.2">
      <c r="A39" s="65"/>
      <c r="B39" s="351">
        <f>+'D1'!B39:H39</f>
        <v>0</v>
      </c>
      <c r="C39" s="351"/>
      <c r="D39" s="351"/>
      <c r="E39" s="351"/>
      <c r="F39" s="351"/>
      <c r="G39" s="351"/>
      <c r="H39" s="352"/>
      <c r="I39" s="738">
        <f>+'D1'!I39:M39</f>
        <v>0</v>
      </c>
      <c r="J39" s="739"/>
      <c r="K39" s="739"/>
      <c r="L39" s="739"/>
      <c r="M39" s="740"/>
      <c r="N39" s="738">
        <f>+Deductions!Z32</f>
        <v>0</v>
      </c>
      <c r="O39" s="739"/>
      <c r="P39" s="739"/>
      <c r="Q39" s="739"/>
      <c r="R39" s="740"/>
      <c r="S39" s="738"/>
      <c r="T39" s="739"/>
      <c r="U39" s="739"/>
      <c r="V39" s="739"/>
      <c r="W39" s="740"/>
      <c r="X39" s="711">
        <f>+Deductions!AC32</f>
        <v>0</v>
      </c>
      <c r="Y39" s="712"/>
      <c r="Z39" s="712"/>
      <c r="AA39" s="712"/>
      <c r="AB39" s="712"/>
      <c r="AC39" s="713"/>
      <c r="AD39" s="717">
        <f>+Deductions!AF32</f>
        <v>0</v>
      </c>
      <c r="AE39" s="718"/>
      <c r="AF39" s="718"/>
      <c r="AG39" s="718"/>
      <c r="AH39" s="718"/>
      <c r="AI39" s="719"/>
      <c r="AJ39" s="711">
        <f>+Deductions!AI32</f>
        <v>0</v>
      </c>
      <c r="AK39" s="712"/>
      <c r="AL39" s="712"/>
      <c r="AM39" s="712"/>
      <c r="AN39" s="712"/>
      <c r="AO39" s="713"/>
    </row>
    <row r="40" spans="1:41" ht="12.75" customHeight="1" x14ac:dyDescent="0.2">
      <c r="A40" s="65"/>
      <c r="B40" s="351">
        <f>+'D1'!B40:H40</f>
        <v>0</v>
      </c>
      <c r="C40" s="351"/>
      <c r="D40" s="351"/>
      <c r="E40" s="351"/>
      <c r="F40" s="351"/>
      <c r="G40" s="351"/>
      <c r="H40" s="352"/>
      <c r="I40" s="738">
        <f>+'D1'!I40:M40</f>
        <v>0</v>
      </c>
      <c r="J40" s="739"/>
      <c r="K40" s="739"/>
      <c r="L40" s="739"/>
      <c r="M40" s="740"/>
      <c r="N40" s="738">
        <f>+Deductions!Z33</f>
        <v>0</v>
      </c>
      <c r="O40" s="739"/>
      <c r="P40" s="739"/>
      <c r="Q40" s="739"/>
      <c r="R40" s="740"/>
      <c r="S40" s="738"/>
      <c r="T40" s="739"/>
      <c r="U40" s="739"/>
      <c r="V40" s="739"/>
      <c r="W40" s="740"/>
      <c r="X40" s="711">
        <f>+Deductions!AC33</f>
        <v>0</v>
      </c>
      <c r="Y40" s="712"/>
      <c r="Z40" s="712"/>
      <c r="AA40" s="712"/>
      <c r="AB40" s="712"/>
      <c r="AC40" s="713"/>
      <c r="AD40" s="717">
        <f>+Deductions!AF33</f>
        <v>0</v>
      </c>
      <c r="AE40" s="718"/>
      <c r="AF40" s="718"/>
      <c r="AG40" s="718"/>
      <c r="AH40" s="718"/>
      <c r="AI40" s="719"/>
      <c r="AJ40" s="711">
        <f>+Deductions!AI33</f>
        <v>0</v>
      </c>
      <c r="AK40" s="712"/>
      <c r="AL40" s="712"/>
      <c r="AM40" s="712"/>
      <c r="AN40" s="712"/>
      <c r="AO40" s="713"/>
    </row>
    <row r="41" spans="1:41" ht="12.75" customHeight="1" x14ac:dyDescent="0.2">
      <c r="A41" s="65"/>
      <c r="B41" s="351">
        <f>+'D1'!B41:H41</f>
        <v>0</v>
      </c>
      <c r="C41" s="351"/>
      <c r="D41" s="351"/>
      <c r="E41" s="351"/>
      <c r="F41" s="351"/>
      <c r="G41" s="351"/>
      <c r="H41" s="352"/>
      <c r="I41" s="738">
        <f>+'D1'!I41:M41</f>
        <v>0</v>
      </c>
      <c r="J41" s="739"/>
      <c r="K41" s="739"/>
      <c r="L41" s="739"/>
      <c r="M41" s="740"/>
      <c r="N41" s="738">
        <f>+Deductions!Z34</f>
        <v>0</v>
      </c>
      <c r="O41" s="739"/>
      <c r="P41" s="739"/>
      <c r="Q41" s="739"/>
      <c r="R41" s="740"/>
      <c r="S41" s="738"/>
      <c r="T41" s="739"/>
      <c r="U41" s="739"/>
      <c r="V41" s="739"/>
      <c r="W41" s="740"/>
      <c r="X41" s="711">
        <f>+Deductions!AC34</f>
        <v>0</v>
      </c>
      <c r="Y41" s="712"/>
      <c r="Z41" s="712"/>
      <c r="AA41" s="712"/>
      <c r="AB41" s="712"/>
      <c r="AC41" s="713"/>
      <c r="AD41" s="717">
        <f>+Deductions!AF34</f>
        <v>0</v>
      </c>
      <c r="AE41" s="718"/>
      <c r="AF41" s="718"/>
      <c r="AG41" s="718"/>
      <c r="AH41" s="718"/>
      <c r="AI41" s="719"/>
      <c r="AJ41" s="711">
        <f>+Deductions!AI34</f>
        <v>0</v>
      </c>
      <c r="AK41" s="712"/>
      <c r="AL41" s="712"/>
      <c r="AM41" s="712"/>
      <c r="AN41" s="712"/>
      <c r="AO41" s="713"/>
    </row>
    <row r="42" spans="1:41" ht="12.75" customHeight="1" x14ac:dyDescent="0.2">
      <c r="A42" s="65"/>
      <c r="B42" s="351">
        <f>+'D1'!B42:H42</f>
        <v>0</v>
      </c>
      <c r="C42" s="351"/>
      <c r="D42" s="351"/>
      <c r="E42" s="351"/>
      <c r="F42" s="351"/>
      <c r="G42" s="351"/>
      <c r="H42" s="352"/>
      <c r="I42" s="738">
        <f>+'D1'!I42:M42</f>
        <v>0</v>
      </c>
      <c r="J42" s="739"/>
      <c r="K42" s="739"/>
      <c r="L42" s="739"/>
      <c r="M42" s="740"/>
      <c r="N42" s="738">
        <f>+Deductions!Z35</f>
        <v>0</v>
      </c>
      <c r="O42" s="739"/>
      <c r="P42" s="739"/>
      <c r="Q42" s="739"/>
      <c r="R42" s="740"/>
      <c r="S42" s="738"/>
      <c r="T42" s="739"/>
      <c r="U42" s="739"/>
      <c r="V42" s="739"/>
      <c r="W42" s="740"/>
      <c r="X42" s="711">
        <f>+Deductions!AC35</f>
        <v>0</v>
      </c>
      <c r="Y42" s="712"/>
      <c r="Z42" s="712"/>
      <c r="AA42" s="712"/>
      <c r="AB42" s="712"/>
      <c r="AC42" s="713"/>
      <c r="AD42" s="717">
        <f>+Deductions!AF35</f>
        <v>0</v>
      </c>
      <c r="AE42" s="718"/>
      <c r="AF42" s="718"/>
      <c r="AG42" s="718"/>
      <c r="AH42" s="718"/>
      <c r="AI42" s="719"/>
      <c r="AJ42" s="711">
        <f>+Deductions!AI35</f>
        <v>0</v>
      </c>
      <c r="AK42" s="712"/>
      <c r="AL42" s="712"/>
      <c r="AM42" s="712"/>
      <c r="AN42" s="712"/>
      <c r="AO42" s="713"/>
    </row>
    <row r="43" spans="1:41" ht="12.75" customHeight="1" x14ac:dyDescent="0.2">
      <c r="A43" s="65"/>
      <c r="B43" s="351">
        <f>+'D1'!B43:H43</f>
        <v>0</v>
      </c>
      <c r="C43" s="351"/>
      <c r="D43" s="351"/>
      <c r="E43" s="351"/>
      <c r="F43" s="351"/>
      <c r="G43" s="351"/>
      <c r="H43" s="352"/>
      <c r="I43" s="738">
        <f>+'D1'!I43:M43</f>
        <v>0</v>
      </c>
      <c r="J43" s="739"/>
      <c r="K43" s="739"/>
      <c r="L43" s="739"/>
      <c r="M43" s="740"/>
      <c r="N43" s="738">
        <f>+Deductions!Z36</f>
        <v>0</v>
      </c>
      <c r="O43" s="739"/>
      <c r="P43" s="739"/>
      <c r="Q43" s="739"/>
      <c r="R43" s="740"/>
      <c r="S43" s="738"/>
      <c r="T43" s="739"/>
      <c r="U43" s="739"/>
      <c r="V43" s="739"/>
      <c r="W43" s="740"/>
      <c r="X43" s="711">
        <f>+Deductions!AC36</f>
        <v>0</v>
      </c>
      <c r="Y43" s="712"/>
      <c r="Z43" s="712"/>
      <c r="AA43" s="712"/>
      <c r="AB43" s="712"/>
      <c r="AC43" s="713"/>
      <c r="AD43" s="717">
        <f>+Deductions!AF36</f>
        <v>0</v>
      </c>
      <c r="AE43" s="718"/>
      <c r="AF43" s="718"/>
      <c r="AG43" s="718"/>
      <c r="AH43" s="718"/>
      <c r="AI43" s="719"/>
      <c r="AJ43" s="711">
        <f>+Deductions!AI36</f>
        <v>0</v>
      </c>
      <c r="AK43" s="712"/>
      <c r="AL43" s="712"/>
      <c r="AM43" s="712"/>
      <c r="AN43" s="712"/>
      <c r="AO43" s="713"/>
    </row>
    <row r="44" spans="1:41" ht="12.75" customHeight="1" x14ac:dyDescent="0.2">
      <c r="A44" s="66"/>
      <c r="B44" s="357">
        <f>+'D1'!B44:H44</f>
        <v>0</v>
      </c>
      <c r="C44" s="357"/>
      <c r="D44" s="357"/>
      <c r="E44" s="357"/>
      <c r="F44" s="357"/>
      <c r="G44" s="357"/>
      <c r="H44" s="358"/>
      <c r="I44" s="743">
        <f>+'D1'!I44:M44</f>
        <v>0</v>
      </c>
      <c r="J44" s="744"/>
      <c r="K44" s="744"/>
      <c r="L44" s="744"/>
      <c r="M44" s="745"/>
      <c r="N44" s="743">
        <f>+Deductions!Z37</f>
        <v>0</v>
      </c>
      <c r="O44" s="744"/>
      <c r="P44" s="744"/>
      <c r="Q44" s="744"/>
      <c r="R44" s="745"/>
      <c r="S44" s="743"/>
      <c r="T44" s="744"/>
      <c r="U44" s="744"/>
      <c r="V44" s="744"/>
      <c r="W44" s="745"/>
      <c r="X44" s="723">
        <f>+Deductions!AC37</f>
        <v>0</v>
      </c>
      <c r="Y44" s="724"/>
      <c r="Z44" s="724"/>
      <c r="AA44" s="724"/>
      <c r="AB44" s="724"/>
      <c r="AC44" s="725"/>
      <c r="AD44" s="726">
        <f>+Deductions!AF37</f>
        <v>0</v>
      </c>
      <c r="AE44" s="727"/>
      <c r="AF44" s="727"/>
      <c r="AG44" s="727"/>
      <c r="AH44" s="727"/>
      <c r="AI44" s="728"/>
      <c r="AJ44" s="723">
        <f>+Deductions!AI37</f>
        <v>0</v>
      </c>
      <c r="AK44" s="724"/>
      <c r="AL44" s="724"/>
      <c r="AM44" s="724"/>
      <c r="AN44" s="724"/>
      <c r="AO44" s="725"/>
    </row>
    <row r="45" spans="1:41" ht="12.75" customHeight="1" x14ac:dyDescent="0.2">
      <c r="A45" s="35"/>
      <c r="B45" s="370" t="s">
        <v>182</v>
      </c>
      <c r="C45" s="370"/>
      <c r="D45" s="370"/>
      <c r="E45" s="370"/>
      <c r="F45" s="370"/>
      <c r="G45" s="370"/>
      <c r="H45" s="370"/>
      <c r="I45" s="370"/>
      <c r="J45" s="370"/>
      <c r="K45" s="370"/>
      <c r="L45" s="370"/>
      <c r="M45" s="370"/>
      <c r="N45" s="370"/>
      <c r="O45" s="370"/>
      <c r="P45" s="370"/>
      <c r="Q45" s="370"/>
      <c r="R45" s="370"/>
      <c r="S45" s="370"/>
      <c r="T45" s="370"/>
      <c r="U45" s="370"/>
      <c r="V45" s="370"/>
      <c r="W45" s="370"/>
      <c r="X45" s="370"/>
      <c r="Y45" s="370"/>
      <c r="Z45" s="370"/>
      <c r="AA45" s="370"/>
      <c r="AB45" s="370"/>
      <c r="AC45" s="370"/>
      <c r="AD45" s="370"/>
      <c r="AE45" s="370"/>
      <c r="AF45" s="370"/>
      <c r="AG45" s="370"/>
      <c r="AH45" s="370"/>
      <c r="AI45" s="370"/>
      <c r="AJ45" s="729">
        <f>+Deductions!AI42</f>
        <v>16346.655339999999</v>
      </c>
      <c r="AK45" s="729"/>
      <c r="AL45" s="729"/>
      <c r="AM45" s="729"/>
      <c r="AN45" s="729"/>
      <c r="AO45" s="730"/>
    </row>
    <row r="46" spans="1:41" ht="12.75" customHeight="1" x14ac:dyDescent="0.2">
      <c r="A46" s="23"/>
      <c r="B46" s="24" t="s">
        <v>183</v>
      </c>
      <c r="C46" s="24"/>
      <c r="D46" s="25"/>
      <c r="E46" s="25"/>
      <c r="F46" s="25"/>
      <c r="G46" s="25"/>
      <c r="H46" s="69"/>
      <c r="I46" s="69"/>
      <c r="J46" s="69"/>
      <c r="K46" s="69"/>
      <c r="L46" s="69"/>
      <c r="M46" s="69"/>
      <c r="N46" s="69"/>
      <c r="AD46" s="69"/>
      <c r="AI46" s="70"/>
      <c r="AJ46" s="69"/>
      <c r="AO46" s="71"/>
    </row>
    <row r="47" spans="1:41" ht="1.5" customHeight="1" x14ac:dyDescent="0.2">
      <c r="A47" s="8"/>
      <c r="B47" s="15"/>
      <c r="C47" s="15"/>
      <c r="D47" s="16"/>
      <c r="E47" s="16"/>
      <c r="F47" s="16"/>
      <c r="G47" s="16"/>
      <c r="H47" s="72"/>
      <c r="I47" s="72"/>
      <c r="J47" s="72"/>
      <c r="K47" s="72"/>
      <c r="L47" s="72"/>
      <c r="M47" s="72"/>
      <c r="N47" s="72"/>
      <c r="AD47" s="72"/>
      <c r="AI47" s="73"/>
      <c r="AJ47" s="72"/>
      <c r="AO47" s="74"/>
    </row>
    <row r="48" spans="1:41" ht="12.75" customHeight="1" x14ac:dyDescent="0.2">
      <c r="A48" s="68"/>
      <c r="B48" s="387" t="str">
        <f>+'D1'!B48:H48</f>
        <v>FWT P</v>
      </c>
      <c r="C48" s="387"/>
      <c r="D48" s="387"/>
      <c r="E48" s="387"/>
      <c r="F48" s="387"/>
      <c r="G48" s="387"/>
      <c r="H48" s="388"/>
      <c r="I48" s="735">
        <f>+'D1'!I48:M48</f>
        <v>0</v>
      </c>
      <c r="J48" s="736"/>
      <c r="K48" s="736"/>
      <c r="L48" s="736"/>
      <c r="M48" s="737"/>
      <c r="N48" s="735" t="str">
        <f>+Deductions!Z47</f>
        <v>GAUGE</v>
      </c>
      <c r="O48" s="736"/>
      <c r="P48" s="736"/>
      <c r="Q48" s="736"/>
      <c r="R48" s="737"/>
      <c r="S48" s="735"/>
      <c r="T48" s="736"/>
      <c r="U48" s="736"/>
      <c r="V48" s="736"/>
      <c r="W48" s="737"/>
      <c r="X48" s="700">
        <f>+Deductions!AC47</f>
        <v>133</v>
      </c>
      <c r="Y48" s="701"/>
      <c r="Z48" s="701"/>
      <c r="AA48" s="701"/>
      <c r="AB48" s="701"/>
      <c r="AC48" s="702"/>
      <c r="AD48" s="703">
        <f>+Deductions!AF47</f>
        <v>1</v>
      </c>
      <c r="AE48" s="704"/>
      <c r="AF48" s="704"/>
      <c r="AG48" s="704"/>
      <c r="AH48" s="704"/>
      <c r="AI48" s="705"/>
      <c r="AJ48" s="700">
        <f>+Deductions!AI47</f>
        <v>133</v>
      </c>
      <c r="AK48" s="701"/>
      <c r="AL48" s="701"/>
      <c r="AM48" s="701"/>
      <c r="AN48" s="701"/>
      <c r="AO48" s="702"/>
    </row>
    <row r="49" spans="1:48" ht="12.75" customHeight="1" x14ac:dyDescent="0.2">
      <c r="A49" s="65"/>
      <c r="B49" s="351" t="str">
        <f>+'D1'!B49:H49</f>
        <v>DW</v>
      </c>
      <c r="C49" s="351"/>
      <c r="D49" s="351"/>
      <c r="E49" s="351"/>
      <c r="F49" s="351"/>
      <c r="G49" s="351"/>
      <c r="H49" s="352"/>
      <c r="I49" s="738">
        <f>+'D1'!I49:M49</f>
        <v>0</v>
      </c>
      <c r="J49" s="739"/>
      <c r="K49" s="739"/>
      <c r="L49" s="739"/>
      <c r="M49" s="740"/>
      <c r="N49" s="738" t="str">
        <f>+Deductions!Z48</f>
        <v>GAUGE</v>
      </c>
      <c r="O49" s="739"/>
      <c r="P49" s="739"/>
      <c r="Q49" s="739"/>
      <c r="R49" s="740"/>
      <c r="S49" s="738"/>
      <c r="T49" s="739"/>
      <c r="U49" s="739"/>
      <c r="V49" s="739"/>
      <c r="W49" s="740"/>
      <c r="X49" s="711">
        <f>+Deductions!AC48</f>
        <v>86</v>
      </c>
      <c r="Y49" s="712"/>
      <c r="Z49" s="712"/>
      <c r="AA49" s="712"/>
      <c r="AB49" s="712"/>
      <c r="AC49" s="713"/>
      <c r="AD49" s="717">
        <f>+Deductions!AF48</f>
        <v>1</v>
      </c>
      <c r="AE49" s="718"/>
      <c r="AF49" s="718"/>
      <c r="AG49" s="718"/>
      <c r="AH49" s="718"/>
      <c r="AI49" s="719"/>
      <c r="AJ49" s="711">
        <f>+Deductions!AI48</f>
        <v>86</v>
      </c>
      <c r="AK49" s="712"/>
      <c r="AL49" s="712"/>
      <c r="AM49" s="712"/>
      <c r="AN49" s="712"/>
      <c r="AO49" s="713"/>
    </row>
    <row r="50" spans="1:48" ht="12.75" customHeight="1" x14ac:dyDescent="0.2">
      <c r="A50" s="65"/>
      <c r="B50" s="351">
        <f>+'D1'!B50:H50</f>
        <v>0</v>
      </c>
      <c r="C50" s="351"/>
      <c r="D50" s="351"/>
      <c r="E50" s="351"/>
      <c r="F50" s="351"/>
      <c r="G50" s="351"/>
      <c r="H50" s="352"/>
      <c r="I50" s="738">
        <f>+'D1'!I50:M50</f>
        <v>0</v>
      </c>
      <c r="J50" s="739"/>
      <c r="K50" s="739"/>
      <c r="L50" s="739"/>
      <c r="M50" s="740"/>
      <c r="N50" s="738">
        <f>+Deductions!Z49</f>
        <v>0</v>
      </c>
      <c r="O50" s="739"/>
      <c r="P50" s="739"/>
      <c r="Q50" s="739"/>
      <c r="R50" s="740"/>
      <c r="S50" s="738"/>
      <c r="T50" s="739"/>
      <c r="U50" s="739"/>
      <c r="V50" s="739"/>
      <c r="W50" s="740"/>
      <c r="X50" s="711">
        <f>+Deductions!AC49</f>
        <v>0</v>
      </c>
      <c r="Y50" s="712"/>
      <c r="Z50" s="712"/>
      <c r="AA50" s="712"/>
      <c r="AB50" s="712"/>
      <c r="AC50" s="713"/>
      <c r="AD50" s="717">
        <f>+Deductions!AF49</f>
        <v>0</v>
      </c>
      <c r="AE50" s="718"/>
      <c r="AF50" s="718"/>
      <c r="AG50" s="718"/>
      <c r="AH50" s="718"/>
      <c r="AI50" s="719"/>
      <c r="AJ50" s="711">
        <f>+Deductions!AI49</f>
        <v>0</v>
      </c>
      <c r="AK50" s="712"/>
      <c r="AL50" s="712"/>
      <c r="AM50" s="712"/>
      <c r="AN50" s="712"/>
      <c r="AO50" s="713"/>
    </row>
    <row r="51" spans="1:48" ht="12.75" customHeight="1" x14ac:dyDescent="0.2">
      <c r="A51" s="65"/>
      <c r="B51" s="351">
        <f>+'D1'!B51:H51</f>
        <v>0</v>
      </c>
      <c r="C51" s="351"/>
      <c r="D51" s="351"/>
      <c r="E51" s="351"/>
      <c r="F51" s="351"/>
      <c r="G51" s="351"/>
      <c r="H51" s="352"/>
      <c r="I51" s="738">
        <f>+'D1'!I51:M51</f>
        <v>0</v>
      </c>
      <c r="J51" s="739"/>
      <c r="K51" s="739"/>
      <c r="L51" s="739"/>
      <c r="M51" s="740"/>
      <c r="N51" s="738">
        <f>+Deductions!Z50</f>
        <v>0</v>
      </c>
      <c r="O51" s="739"/>
      <c r="P51" s="739"/>
      <c r="Q51" s="739"/>
      <c r="R51" s="740"/>
      <c r="S51" s="738"/>
      <c r="T51" s="739"/>
      <c r="U51" s="739"/>
      <c r="V51" s="739"/>
      <c r="W51" s="740"/>
      <c r="X51" s="711">
        <f>+Deductions!AC50</f>
        <v>0</v>
      </c>
      <c r="Y51" s="712"/>
      <c r="Z51" s="712"/>
      <c r="AA51" s="712"/>
      <c r="AB51" s="712"/>
      <c r="AC51" s="713"/>
      <c r="AD51" s="717">
        <f>+Deductions!AF50</f>
        <v>0</v>
      </c>
      <c r="AE51" s="718"/>
      <c r="AF51" s="718"/>
      <c r="AG51" s="718"/>
      <c r="AH51" s="718"/>
      <c r="AI51" s="719"/>
      <c r="AJ51" s="711">
        <f>+Deductions!AI50</f>
        <v>0</v>
      </c>
      <c r="AK51" s="712"/>
      <c r="AL51" s="712"/>
      <c r="AM51" s="712"/>
      <c r="AN51" s="712"/>
      <c r="AO51" s="713"/>
    </row>
    <row r="52" spans="1:48" ht="12.75" customHeight="1" x14ac:dyDescent="0.2">
      <c r="A52" s="65"/>
      <c r="B52" s="351">
        <f>+'D1'!B52:H52</f>
        <v>0</v>
      </c>
      <c r="C52" s="351"/>
      <c r="D52" s="351"/>
      <c r="E52" s="351"/>
      <c r="F52" s="351"/>
      <c r="G52" s="351"/>
      <c r="H52" s="352"/>
      <c r="I52" s="738">
        <f>+'D1'!I52:M52</f>
        <v>0</v>
      </c>
      <c r="J52" s="739"/>
      <c r="K52" s="739"/>
      <c r="L52" s="739"/>
      <c r="M52" s="740"/>
      <c r="N52" s="738">
        <f>+Deductions!Z51</f>
        <v>0</v>
      </c>
      <c r="O52" s="739"/>
      <c r="P52" s="739"/>
      <c r="Q52" s="739"/>
      <c r="R52" s="740"/>
      <c r="S52" s="738"/>
      <c r="T52" s="739"/>
      <c r="U52" s="739"/>
      <c r="V52" s="739"/>
      <c r="W52" s="740"/>
      <c r="X52" s="711">
        <f>+Deductions!AC51</f>
        <v>0</v>
      </c>
      <c r="Y52" s="712"/>
      <c r="Z52" s="712"/>
      <c r="AA52" s="712"/>
      <c r="AB52" s="712"/>
      <c r="AC52" s="713"/>
      <c r="AD52" s="717">
        <f>+Deductions!AF51</f>
        <v>0</v>
      </c>
      <c r="AE52" s="718"/>
      <c r="AF52" s="718"/>
      <c r="AG52" s="718"/>
      <c r="AH52" s="718"/>
      <c r="AI52" s="719"/>
      <c r="AJ52" s="711">
        <f>+Deductions!AI51</f>
        <v>0</v>
      </c>
      <c r="AK52" s="712"/>
      <c r="AL52" s="712"/>
      <c r="AM52" s="712"/>
      <c r="AN52" s="712"/>
      <c r="AO52" s="713"/>
    </row>
    <row r="53" spans="1:48" ht="12.75" customHeight="1" x14ac:dyDescent="0.2">
      <c r="A53" s="66"/>
      <c r="B53" s="357">
        <f>+'D1'!B53:H53</f>
        <v>0</v>
      </c>
      <c r="C53" s="357"/>
      <c r="D53" s="357"/>
      <c r="E53" s="357"/>
      <c r="F53" s="357"/>
      <c r="G53" s="357"/>
      <c r="H53" s="358"/>
      <c r="I53" s="743">
        <f>+'D1'!I53:M53</f>
        <v>0</v>
      </c>
      <c r="J53" s="744"/>
      <c r="K53" s="744"/>
      <c r="L53" s="744"/>
      <c r="M53" s="745"/>
      <c r="N53" s="743">
        <f>+Deductions!Z52</f>
        <v>0</v>
      </c>
      <c r="O53" s="744"/>
      <c r="P53" s="744"/>
      <c r="Q53" s="744"/>
      <c r="R53" s="745"/>
      <c r="S53" s="743"/>
      <c r="T53" s="744"/>
      <c r="U53" s="744"/>
      <c r="V53" s="744"/>
      <c r="W53" s="745"/>
      <c r="X53" s="723">
        <f>+Deductions!AC52</f>
        <v>0</v>
      </c>
      <c r="Y53" s="724"/>
      <c r="Z53" s="724"/>
      <c r="AA53" s="724"/>
      <c r="AB53" s="724"/>
      <c r="AC53" s="725"/>
      <c r="AD53" s="726">
        <f>+Deductions!AF52</f>
        <v>0</v>
      </c>
      <c r="AE53" s="727"/>
      <c r="AF53" s="727"/>
      <c r="AG53" s="727"/>
      <c r="AH53" s="727"/>
      <c r="AI53" s="728"/>
      <c r="AJ53" s="723">
        <f>+Deductions!AI52</f>
        <v>0</v>
      </c>
      <c r="AK53" s="724"/>
      <c r="AL53" s="724"/>
      <c r="AM53" s="724"/>
      <c r="AN53" s="724"/>
      <c r="AO53" s="725"/>
    </row>
    <row r="54" spans="1:48" ht="12.75" customHeight="1" x14ac:dyDescent="0.2">
      <c r="A54" s="35"/>
      <c r="B54" s="370" t="s">
        <v>184</v>
      </c>
      <c r="C54" s="370"/>
      <c r="D54" s="370"/>
      <c r="E54" s="370"/>
      <c r="F54" s="370"/>
      <c r="G54" s="370"/>
      <c r="H54" s="370"/>
      <c r="I54" s="370"/>
      <c r="J54" s="370"/>
      <c r="K54" s="370"/>
      <c r="L54" s="370"/>
      <c r="M54" s="370"/>
      <c r="N54" s="370"/>
      <c r="O54" s="370"/>
      <c r="P54" s="370"/>
      <c r="Q54" s="370"/>
      <c r="R54" s="370"/>
      <c r="S54" s="370"/>
      <c r="T54" s="370"/>
      <c r="U54" s="370"/>
      <c r="V54" s="370"/>
      <c r="W54" s="370"/>
      <c r="X54" s="370"/>
      <c r="Y54" s="370"/>
      <c r="Z54" s="370"/>
      <c r="AA54" s="370"/>
      <c r="AB54" s="370"/>
      <c r="AC54" s="370"/>
      <c r="AD54" s="370"/>
      <c r="AE54" s="370"/>
      <c r="AF54" s="370"/>
      <c r="AG54" s="370"/>
      <c r="AH54" s="370"/>
      <c r="AI54" s="370"/>
      <c r="AJ54" s="729">
        <f>+Deductions!AI54</f>
        <v>219</v>
      </c>
      <c r="AK54" s="729"/>
      <c r="AL54" s="729"/>
      <c r="AM54" s="729"/>
      <c r="AN54" s="729"/>
      <c r="AO54" s="730">
        <f>SUM(AO48:AO53)</f>
        <v>0</v>
      </c>
      <c r="AV54" s="25" t="s">
        <v>185</v>
      </c>
    </row>
    <row r="55" spans="1:48" ht="12.75" customHeight="1" x14ac:dyDescent="0.2">
      <c r="A55" s="23"/>
      <c r="B55" s="25"/>
      <c r="C55" s="24"/>
      <c r="D55" s="25"/>
      <c r="E55" s="25"/>
      <c r="F55" s="25"/>
      <c r="G55" s="25"/>
      <c r="H55" s="25"/>
      <c r="I55" s="25"/>
      <c r="J55" s="25"/>
      <c r="K55" s="25"/>
      <c r="L55" s="25"/>
      <c r="M55" s="25"/>
      <c r="N55" s="25"/>
      <c r="AD55" s="25"/>
      <c r="AI55" s="25"/>
      <c r="AJ55" s="25"/>
      <c r="AO55" s="27"/>
    </row>
    <row r="56" spans="1:48" ht="12.75" customHeight="1" x14ac:dyDescent="0.2">
      <c r="A56" s="8"/>
      <c r="B56" s="15"/>
      <c r="C56" s="75" t="str">
        <f>IF(Deductions!AC4="X", Deductions!AD4," ")</f>
        <v xml:space="preserve"> </v>
      </c>
      <c r="D56" s="16"/>
      <c r="E56" s="16"/>
      <c r="F56" s="16"/>
      <c r="G56" s="16"/>
      <c r="H56" s="16"/>
      <c r="I56" s="16"/>
      <c r="J56" s="16"/>
      <c r="K56" s="16"/>
      <c r="L56" s="16"/>
      <c r="M56" s="16"/>
      <c r="N56" s="16"/>
      <c r="O56" s="17"/>
      <c r="P56" s="76"/>
      <c r="Q56" s="17"/>
      <c r="R56" s="17"/>
      <c r="S56" s="17"/>
      <c r="T56" s="17"/>
      <c r="U56" s="17"/>
      <c r="V56" s="17"/>
      <c r="W56" s="17"/>
      <c r="X56" s="17"/>
      <c r="Y56" s="17"/>
      <c r="Z56" s="17"/>
      <c r="AA56" s="17"/>
      <c r="AB56" s="17"/>
      <c r="AC56" s="17"/>
      <c r="AD56" s="16"/>
      <c r="AE56" s="17"/>
      <c r="AF56" s="17"/>
      <c r="AG56" s="17"/>
      <c r="AH56" s="17"/>
      <c r="AI56" s="16"/>
      <c r="AJ56" s="16"/>
      <c r="AK56" s="17"/>
      <c r="AL56" s="17"/>
      <c r="AM56" s="17"/>
      <c r="AN56" s="17"/>
      <c r="AO56" s="20"/>
    </row>
    <row r="57" spans="1:48" ht="12.75" customHeight="1" x14ac:dyDescent="0.2">
      <c r="A57" s="364"/>
      <c r="B57" s="364"/>
      <c r="C57" s="364"/>
      <c r="D57" s="364"/>
      <c r="E57" s="364"/>
      <c r="F57" s="364"/>
      <c r="G57" s="364"/>
      <c r="H57" s="364"/>
      <c r="I57" s="364"/>
      <c r="J57" s="364"/>
      <c r="K57" s="364"/>
      <c r="L57" s="364"/>
      <c r="M57" s="364"/>
      <c r="N57" s="364"/>
      <c r="O57" s="364"/>
      <c r="P57" s="364"/>
      <c r="Q57" s="364"/>
      <c r="R57" s="364"/>
      <c r="S57" s="364"/>
      <c r="T57" s="364"/>
      <c r="U57" s="364"/>
      <c r="V57" s="364"/>
      <c r="W57" s="364"/>
      <c r="X57" s="364"/>
      <c r="Y57" s="364"/>
      <c r="Z57" s="364"/>
      <c r="AA57" s="364"/>
      <c r="AB57" s="364"/>
      <c r="AC57" s="364"/>
      <c r="AD57" s="364"/>
      <c r="AE57" s="364"/>
      <c r="AF57" s="364"/>
      <c r="AG57" s="364"/>
      <c r="AH57" s="364"/>
      <c r="AI57" s="364"/>
      <c r="AJ57" s="364"/>
      <c r="AK57" s="364"/>
      <c r="AL57" s="364"/>
      <c r="AM57" s="364"/>
      <c r="AN57" s="364"/>
      <c r="AO57" s="364"/>
    </row>
    <row r="58" spans="1:48" ht="24" customHeight="1" x14ac:dyDescent="0.2">
      <c r="A58" s="377"/>
      <c r="B58" s="378"/>
      <c r="C58" s="378"/>
      <c r="D58" s="378"/>
      <c r="E58" s="378"/>
      <c r="F58" s="378"/>
      <c r="G58" s="378"/>
      <c r="H58" s="378"/>
      <c r="I58" s="378"/>
      <c r="J58" s="378"/>
      <c r="K58" s="378"/>
      <c r="L58" s="378"/>
      <c r="M58" s="378"/>
      <c r="N58" s="378"/>
      <c r="O58" s="378"/>
      <c r="P58" s="378"/>
      <c r="Q58" s="378"/>
      <c r="R58" s="378"/>
      <c r="S58" s="378"/>
      <c r="T58" s="378"/>
      <c r="U58" s="378"/>
      <c r="V58" s="378"/>
      <c r="W58" s="378"/>
      <c r="X58" s="378"/>
      <c r="Y58" s="378"/>
      <c r="Z58" s="378"/>
      <c r="AA58" s="378"/>
      <c r="AB58" s="378"/>
      <c r="AC58" s="378"/>
      <c r="AD58" s="378"/>
      <c r="AE58" s="378"/>
      <c r="AF58" s="378"/>
      <c r="AG58" s="378"/>
      <c r="AH58" s="378"/>
      <c r="AI58" s="378"/>
      <c r="AJ58" s="378"/>
      <c r="AK58" s="378"/>
      <c r="AL58" s="378"/>
      <c r="AM58" s="378"/>
      <c r="AN58" s="378"/>
      <c r="AO58" s="378"/>
    </row>
  </sheetData>
  <mergeCells count="301">
    <mergeCell ref="AJ53:AO53"/>
    <mergeCell ref="B54:AI54"/>
    <mergeCell ref="AJ54:AO54"/>
    <mergeCell ref="A57:AO57"/>
    <mergeCell ref="A58:AO58"/>
    <mergeCell ref="B53:H53"/>
    <mergeCell ref="I53:M53"/>
    <mergeCell ref="N53:R53"/>
    <mergeCell ref="S53:W53"/>
    <mergeCell ref="X53:AC53"/>
    <mergeCell ref="AD53:AI53"/>
    <mergeCell ref="AJ51:AO51"/>
    <mergeCell ref="B52:H52"/>
    <mergeCell ref="I52:M52"/>
    <mergeCell ref="N52:R52"/>
    <mergeCell ref="S52:W52"/>
    <mergeCell ref="X52:AC52"/>
    <mergeCell ref="AD52:AI52"/>
    <mergeCell ref="AJ52:AO52"/>
    <mergeCell ref="B51:H51"/>
    <mergeCell ref="I51:M51"/>
    <mergeCell ref="N51:R51"/>
    <mergeCell ref="S51:W51"/>
    <mergeCell ref="X51:AC51"/>
    <mergeCell ref="AD51:AI51"/>
    <mergeCell ref="AJ49:AO49"/>
    <mergeCell ref="B50:H50"/>
    <mergeCell ref="I50:M50"/>
    <mergeCell ref="N50:R50"/>
    <mergeCell ref="S50:W50"/>
    <mergeCell ref="X50:AC50"/>
    <mergeCell ref="AD50:AI50"/>
    <mergeCell ref="AJ50:AO50"/>
    <mergeCell ref="B49:H49"/>
    <mergeCell ref="I49:M49"/>
    <mergeCell ref="N49:R49"/>
    <mergeCell ref="S49:W49"/>
    <mergeCell ref="X49:AC49"/>
    <mergeCell ref="AD49:AI49"/>
    <mergeCell ref="B45:AI45"/>
    <mergeCell ref="AJ45:AO45"/>
    <mergeCell ref="B48:H48"/>
    <mergeCell ref="I48:M48"/>
    <mergeCell ref="N48:R48"/>
    <mergeCell ref="S48:W48"/>
    <mergeCell ref="X48:AC48"/>
    <mergeCell ref="AD48:AI48"/>
    <mergeCell ref="AJ48:AO48"/>
    <mergeCell ref="AJ43:AO43"/>
    <mergeCell ref="B44:H44"/>
    <mergeCell ref="I44:M44"/>
    <mergeCell ref="N44:R44"/>
    <mergeCell ref="S44:W44"/>
    <mergeCell ref="X44:AC44"/>
    <mergeCell ref="AD44:AI44"/>
    <mergeCell ref="AJ44:AO44"/>
    <mergeCell ref="B43:H43"/>
    <mergeCell ref="I43:M43"/>
    <mergeCell ref="N43:R43"/>
    <mergeCell ref="S43:W43"/>
    <mergeCell ref="X43:AC43"/>
    <mergeCell ref="AD43:AI43"/>
    <mergeCell ref="AJ41:AO41"/>
    <mergeCell ref="B42:H42"/>
    <mergeCell ref="I42:M42"/>
    <mergeCell ref="N42:R42"/>
    <mergeCell ref="S42:W42"/>
    <mergeCell ref="X42:AC42"/>
    <mergeCell ref="AD42:AI42"/>
    <mergeCell ref="AJ42:AO42"/>
    <mergeCell ref="B41:H41"/>
    <mergeCell ref="I41:M41"/>
    <mergeCell ref="N41:R41"/>
    <mergeCell ref="S41:W41"/>
    <mergeCell ref="X41:AC41"/>
    <mergeCell ref="AD41:AI41"/>
    <mergeCell ref="AJ39:AO39"/>
    <mergeCell ref="B40:H40"/>
    <mergeCell ref="I40:M40"/>
    <mergeCell ref="N40:R40"/>
    <mergeCell ref="S40:W40"/>
    <mergeCell ref="X40:AC40"/>
    <mergeCell ref="AD40:AI40"/>
    <mergeCell ref="AJ40:AO40"/>
    <mergeCell ref="B39:H39"/>
    <mergeCell ref="I39:M39"/>
    <mergeCell ref="N39:R39"/>
    <mergeCell ref="S39:W39"/>
    <mergeCell ref="X39:AC39"/>
    <mergeCell ref="AD39:AI39"/>
    <mergeCell ref="AJ37:AO37"/>
    <mergeCell ref="B38:H38"/>
    <mergeCell ref="I38:M38"/>
    <mergeCell ref="N38:R38"/>
    <mergeCell ref="S38:W38"/>
    <mergeCell ref="X38:AC38"/>
    <mergeCell ref="AD38:AI38"/>
    <mergeCell ref="AJ38:AO38"/>
    <mergeCell ref="B37:H37"/>
    <mergeCell ref="I37:M37"/>
    <mergeCell ref="N37:R37"/>
    <mergeCell ref="S37:W37"/>
    <mergeCell ref="X37:AC37"/>
    <mergeCell ref="AD37:AI37"/>
    <mergeCell ref="AJ35:AO35"/>
    <mergeCell ref="B36:H36"/>
    <mergeCell ref="I36:M36"/>
    <mergeCell ref="N36:R36"/>
    <mergeCell ref="S36:W36"/>
    <mergeCell ref="X36:AC36"/>
    <mergeCell ref="AD36:AI36"/>
    <mergeCell ref="AJ36:AO36"/>
    <mergeCell ref="B35:H35"/>
    <mergeCell ref="I35:M35"/>
    <mergeCell ref="N35:R35"/>
    <mergeCell ref="S35:W35"/>
    <mergeCell ref="X35:AC35"/>
    <mergeCell ref="AD35:AI35"/>
    <mergeCell ref="AJ33:AO33"/>
    <mergeCell ref="B34:H34"/>
    <mergeCell ref="I34:M34"/>
    <mergeCell ref="N34:R34"/>
    <mergeCell ref="S34:W34"/>
    <mergeCell ref="X34:AC34"/>
    <mergeCell ref="AD34:AI34"/>
    <mergeCell ref="AJ34:AO34"/>
    <mergeCell ref="B33:H33"/>
    <mergeCell ref="I33:M33"/>
    <mergeCell ref="N33:R33"/>
    <mergeCell ref="S33:W33"/>
    <mergeCell ref="X33:AC33"/>
    <mergeCell ref="AD33:AI33"/>
    <mergeCell ref="AJ31:AO31"/>
    <mergeCell ref="B32:H32"/>
    <mergeCell ref="I32:M32"/>
    <mergeCell ref="N32:R32"/>
    <mergeCell ref="S32:W32"/>
    <mergeCell ref="X32:AC32"/>
    <mergeCell ref="AD32:AI32"/>
    <mergeCell ref="AJ32:AO32"/>
    <mergeCell ref="B31:H31"/>
    <mergeCell ref="I31:M31"/>
    <mergeCell ref="N31:R31"/>
    <mergeCell ref="S31:W31"/>
    <mergeCell ref="X31:AC31"/>
    <mergeCell ref="AD31:AI31"/>
    <mergeCell ref="AJ29:AO29"/>
    <mergeCell ref="B30:H30"/>
    <mergeCell ref="I30:M30"/>
    <mergeCell ref="N30:R30"/>
    <mergeCell ref="S30:W30"/>
    <mergeCell ref="X30:AC30"/>
    <mergeCell ref="AD30:AI30"/>
    <mergeCell ref="AJ30:AO30"/>
    <mergeCell ref="B29:H29"/>
    <mergeCell ref="I29:M29"/>
    <mergeCell ref="N29:R29"/>
    <mergeCell ref="S29:W29"/>
    <mergeCell ref="X29:AC29"/>
    <mergeCell ref="AD29:AI29"/>
    <mergeCell ref="AJ27:AO27"/>
    <mergeCell ref="B28:H28"/>
    <mergeCell ref="I28:M28"/>
    <mergeCell ref="N28:R28"/>
    <mergeCell ref="S28:W28"/>
    <mergeCell ref="X28:AC28"/>
    <mergeCell ref="AD28:AI28"/>
    <mergeCell ref="AJ28:AO28"/>
    <mergeCell ref="B27:H27"/>
    <mergeCell ref="I27:M27"/>
    <mergeCell ref="N27:R27"/>
    <mergeCell ref="S27:W27"/>
    <mergeCell ref="X27:AC27"/>
    <mergeCell ref="AD27:AI27"/>
    <mergeCell ref="AJ25:AO25"/>
    <mergeCell ref="B26:H26"/>
    <mergeCell ref="I26:M26"/>
    <mergeCell ref="N26:R26"/>
    <mergeCell ref="S26:W26"/>
    <mergeCell ref="X26:AC26"/>
    <mergeCell ref="AD26:AI26"/>
    <mergeCell ref="AJ26:AO26"/>
    <mergeCell ref="B25:H25"/>
    <mergeCell ref="I25:M25"/>
    <mergeCell ref="N25:R25"/>
    <mergeCell ref="S25:W25"/>
    <mergeCell ref="X25:AC25"/>
    <mergeCell ref="AD25:AI25"/>
    <mergeCell ref="AJ23:AO23"/>
    <mergeCell ref="B24:H24"/>
    <mergeCell ref="I24:M24"/>
    <mergeCell ref="N24:R24"/>
    <mergeCell ref="S24:W24"/>
    <mergeCell ref="X24:AC24"/>
    <mergeCell ref="AD24:AI24"/>
    <mergeCell ref="AJ24:AO24"/>
    <mergeCell ref="B23:H23"/>
    <mergeCell ref="I23:M23"/>
    <mergeCell ref="N23:R23"/>
    <mergeCell ref="S23:W23"/>
    <mergeCell ref="X23:AC23"/>
    <mergeCell ref="AD23:AI23"/>
    <mergeCell ref="AJ21:AO21"/>
    <mergeCell ref="B22:H22"/>
    <mergeCell ref="I22:M22"/>
    <mergeCell ref="N22:R22"/>
    <mergeCell ref="S22:W22"/>
    <mergeCell ref="X22:AC22"/>
    <mergeCell ref="AD22:AI22"/>
    <mergeCell ref="AJ22:AO22"/>
    <mergeCell ref="B21:H21"/>
    <mergeCell ref="I21:M21"/>
    <mergeCell ref="N21:R21"/>
    <mergeCell ref="S21:W21"/>
    <mergeCell ref="X21:AC21"/>
    <mergeCell ref="AD21:AI21"/>
    <mergeCell ref="AJ19:AO19"/>
    <mergeCell ref="B20:H20"/>
    <mergeCell ref="I20:M20"/>
    <mergeCell ref="N20:R20"/>
    <mergeCell ref="S20:W20"/>
    <mergeCell ref="X20:AC20"/>
    <mergeCell ref="AD20:AI20"/>
    <mergeCell ref="AJ20:AO20"/>
    <mergeCell ref="B19:H19"/>
    <mergeCell ref="I19:M19"/>
    <mergeCell ref="N19:R19"/>
    <mergeCell ref="S19:W19"/>
    <mergeCell ref="X19:AC19"/>
    <mergeCell ref="AD19:AI19"/>
    <mergeCell ref="AJ15:AO15"/>
    <mergeCell ref="B18:H18"/>
    <mergeCell ref="I18:M18"/>
    <mergeCell ref="N18:R18"/>
    <mergeCell ref="S18:W18"/>
    <mergeCell ref="X18:AC18"/>
    <mergeCell ref="AD18:AI18"/>
    <mergeCell ref="AJ18:AO18"/>
    <mergeCell ref="B15:H15"/>
    <mergeCell ref="I15:M15"/>
    <mergeCell ref="N15:R15"/>
    <mergeCell ref="S15:W15"/>
    <mergeCell ref="X15:AC15"/>
    <mergeCell ref="AD15:AI15"/>
    <mergeCell ref="AJ13:AO13"/>
    <mergeCell ref="B14:H14"/>
    <mergeCell ref="I14:M14"/>
    <mergeCell ref="N14:R14"/>
    <mergeCell ref="S14:W14"/>
    <mergeCell ref="X14:AC14"/>
    <mergeCell ref="AD14:AI14"/>
    <mergeCell ref="AJ14:AO14"/>
    <mergeCell ref="B13:H13"/>
    <mergeCell ref="I13:M13"/>
    <mergeCell ref="N13:R13"/>
    <mergeCell ref="S13:W13"/>
    <mergeCell ref="X13:AC13"/>
    <mergeCell ref="AD13:AI13"/>
    <mergeCell ref="AJ11:AO11"/>
    <mergeCell ref="A12:H12"/>
    <mergeCell ref="I12:M12"/>
    <mergeCell ref="N12:R12"/>
    <mergeCell ref="S12:W12"/>
    <mergeCell ref="X12:AC12"/>
    <mergeCell ref="AD12:AI12"/>
    <mergeCell ref="AJ12:AO12"/>
    <mergeCell ref="A11:H11"/>
    <mergeCell ref="I11:M11"/>
    <mergeCell ref="N11:R11"/>
    <mergeCell ref="S11:W11"/>
    <mergeCell ref="X11:AC11"/>
    <mergeCell ref="AD11:AI11"/>
    <mergeCell ref="AD9:AI9"/>
    <mergeCell ref="AJ9:AO9"/>
    <mergeCell ref="A10:J10"/>
    <mergeCell ref="K10:R10"/>
    <mergeCell ref="S10:AA10"/>
    <mergeCell ref="AB10:AI10"/>
    <mergeCell ref="AJ10:AM10"/>
    <mergeCell ref="AN10:AO10"/>
    <mergeCell ref="A9:J9"/>
    <mergeCell ref="K9:N9"/>
    <mergeCell ref="O9:R9"/>
    <mergeCell ref="S9:U9"/>
    <mergeCell ref="V9:AA9"/>
    <mergeCell ref="AB9:AC9"/>
    <mergeCell ref="B5:AO5"/>
    <mergeCell ref="A6:AO6"/>
    <mergeCell ref="B7:Y7"/>
    <mergeCell ref="Z7:AO7"/>
    <mergeCell ref="A8:E8"/>
    <mergeCell ref="F8:AB8"/>
    <mergeCell ref="AC8:AO8"/>
    <mergeCell ref="A1:AO1"/>
    <mergeCell ref="A2:X2"/>
    <mergeCell ref="Y2:AH2"/>
    <mergeCell ref="AI2:AO4"/>
    <mergeCell ref="A3:Y3"/>
    <mergeCell ref="AA3:AH3"/>
    <mergeCell ref="A4:Y4"/>
    <mergeCell ref="AA4:AH4"/>
  </mergeCells>
  <printOptions horizontalCentered="1" verticalCentered="1"/>
  <pageMargins left="0.39370078740157483" right="0.39370078740157483" top="0.23622047244094491" bottom="0.23622047244094491" header="0" footer="0.23622047244094491"/>
  <pageSetup orientation="portrait" horizontalDpi="300" verticalDpi="300" r:id="rId1"/>
  <headerFooter alignWithMargins="0">
    <oddFooter>&amp;RPage 4 of 4</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CC4097-DE90-4B2D-8413-FEB8CD638F4C}">
  <dimension ref="A1"/>
  <sheetViews>
    <sheetView workbookViewId="0"/>
  </sheetViews>
  <sheetFormatPr baseColWidth="10" defaultRowHeight="12.75" x14ac:dyDescent="0.2"/>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4C2C50-FD2F-4C87-ACE8-20167F237535}">
  <sheetPr>
    <pageSetUpPr fitToPage="1"/>
  </sheetPr>
  <dimension ref="A1:AO58"/>
  <sheetViews>
    <sheetView showGridLines="0" showZeros="0" topLeftCell="A28" zoomScale="108" workbookViewId="0">
      <selection activeCell="V31" sqref="V31:Y31"/>
    </sheetView>
  </sheetViews>
  <sheetFormatPr baseColWidth="10" defaultRowHeight="12.75" x14ac:dyDescent="0.2"/>
  <cols>
    <col min="1" max="178" width="2.42578125" customWidth="1"/>
    <col min="257" max="434" width="2.42578125" customWidth="1"/>
    <col min="513" max="690" width="2.42578125" customWidth="1"/>
    <col min="769" max="946" width="2.42578125" customWidth="1"/>
    <col min="1025" max="1202" width="2.42578125" customWidth="1"/>
    <col min="1281" max="1458" width="2.42578125" customWidth="1"/>
    <col min="1537" max="1714" width="2.42578125" customWidth="1"/>
    <col min="1793" max="1970" width="2.42578125" customWidth="1"/>
    <col min="2049" max="2226" width="2.42578125" customWidth="1"/>
    <col min="2305" max="2482" width="2.42578125" customWidth="1"/>
    <col min="2561" max="2738" width="2.42578125" customWidth="1"/>
    <col min="2817" max="2994" width="2.42578125" customWidth="1"/>
    <col min="3073" max="3250" width="2.42578125" customWidth="1"/>
    <col min="3329" max="3506" width="2.42578125" customWidth="1"/>
    <col min="3585" max="3762" width="2.42578125" customWidth="1"/>
    <col min="3841" max="4018" width="2.42578125" customWidth="1"/>
    <col min="4097" max="4274" width="2.42578125" customWidth="1"/>
    <col min="4353" max="4530" width="2.42578125" customWidth="1"/>
    <col min="4609" max="4786" width="2.42578125" customWidth="1"/>
    <col min="4865" max="5042" width="2.42578125" customWidth="1"/>
    <col min="5121" max="5298" width="2.42578125" customWidth="1"/>
    <col min="5377" max="5554" width="2.42578125" customWidth="1"/>
    <col min="5633" max="5810" width="2.42578125" customWidth="1"/>
    <col min="5889" max="6066" width="2.42578125" customWidth="1"/>
    <col min="6145" max="6322" width="2.42578125" customWidth="1"/>
    <col min="6401" max="6578" width="2.42578125" customWidth="1"/>
    <col min="6657" max="6834" width="2.42578125" customWidth="1"/>
    <col min="6913" max="7090" width="2.42578125" customWidth="1"/>
    <col min="7169" max="7346" width="2.42578125" customWidth="1"/>
    <col min="7425" max="7602" width="2.42578125" customWidth="1"/>
    <col min="7681" max="7858" width="2.42578125" customWidth="1"/>
    <col min="7937" max="8114" width="2.42578125" customWidth="1"/>
    <col min="8193" max="8370" width="2.42578125" customWidth="1"/>
    <col min="8449" max="8626" width="2.42578125" customWidth="1"/>
    <col min="8705" max="8882" width="2.42578125" customWidth="1"/>
    <col min="8961" max="9138" width="2.42578125" customWidth="1"/>
    <col min="9217" max="9394" width="2.42578125" customWidth="1"/>
    <col min="9473" max="9650" width="2.42578125" customWidth="1"/>
    <col min="9729" max="9906" width="2.42578125" customWidth="1"/>
    <col min="9985" max="10162" width="2.42578125" customWidth="1"/>
    <col min="10241" max="10418" width="2.42578125" customWidth="1"/>
    <col min="10497" max="10674" width="2.42578125" customWidth="1"/>
    <col min="10753" max="10930" width="2.42578125" customWidth="1"/>
    <col min="11009" max="11186" width="2.42578125" customWidth="1"/>
    <col min="11265" max="11442" width="2.42578125" customWidth="1"/>
    <col min="11521" max="11698" width="2.42578125" customWidth="1"/>
    <col min="11777" max="11954" width="2.42578125" customWidth="1"/>
    <col min="12033" max="12210" width="2.42578125" customWidth="1"/>
    <col min="12289" max="12466" width="2.42578125" customWidth="1"/>
    <col min="12545" max="12722" width="2.42578125" customWidth="1"/>
    <col min="12801" max="12978" width="2.42578125" customWidth="1"/>
    <col min="13057" max="13234" width="2.42578125" customWidth="1"/>
    <col min="13313" max="13490" width="2.42578125" customWidth="1"/>
    <col min="13569" max="13746" width="2.42578125" customWidth="1"/>
    <col min="13825" max="14002" width="2.42578125" customWidth="1"/>
    <col min="14081" max="14258" width="2.42578125" customWidth="1"/>
    <col min="14337" max="14514" width="2.42578125" customWidth="1"/>
    <col min="14593" max="14770" width="2.42578125" customWidth="1"/>
    <col min="14849" max="15026" width="2.42578125" customWidth="1"/>
    <col min="15105" max="15282" width="2.42578125" customWidth="1"/>
    <col min="15361" max="15538" width="2.42578125" customWidth="1"/>
    <col min="15617" max="15794" width="2.42578125" customWidth="1"/>
    <col min="15873" max="16050" width="2.42578125" customWidth="1"/>
    <col min="16129" max="16306" width="2.42578125" customWidth="1"/>
  </cols>
  <sheetData>
    <row r="1" spans="1:41" ht="12.75" customHeight="1" x14ac:dyDescent="0.25">
      <c r="A1" s="333" t="s">
        <v>0</v>
      </c>
      <c r="B1" s="333"/>
      <c r="C1" s="333"/>
      <c r="D1" s="333"/>
      <c r="E1" s="333"/>
      <c r="F1" s="333"/>
      <c r="G1" s="333"/>
      <c r="H1" s="333"/>
      <c r="I1" s="333"/>
      <c r="J1" s="333"/>
      <c r="K1" s="333"/>
      <c r="L1" s="333"/>
      <c r="M1" s="333"/>
      <c r="N1" s="333"/>
      <c r="O1" s="333"/>
      <c r="P1" s="333"/>
      <c r="Q1" s="333"/>
      <c r="R1" s="333"/>
      <c r="S1" s="333"/>
      <c r="T1" s="333"/>
      <c r="U1" s="333"/>
      <c r="V1" s="333"/>
      <c r="W1" s="333"/>
      <c r="X1" s="333"/>
      <c r="Y1" s="333"/>
      <c r="Z1" s="333"/>
      <c r="AA1" s="333"/>
      <c r="AB1" s="333"/>
      <c r="AC1" s="333"/>
      <c r="AD1" s="333"/>
      <c r="AE1" s="333"/>
      <c r="AF1" s="333"/>
      <c r="AG1" s="333"/>
      <c r="AH1" s="333"/>
      <c r="AI1" s="333"/>
      <c r="AJ1" s="333"/>
      <c r="AK1" s="333"/>
      <c r="AL1" s="333"/>
      <c r="AM1" s="333"/>
      <c r="AN1" s="333"/>
      <c r="AO1" s="333"/>
    </row>
    <row r="2" spans="1:41" ht="12.75" customHeight="1" x14ac:dyDescent="0.2">
      <c r="A2" s="334"/>
      <c r="B2" s="335"/>
      <c r="C2" s="335"/>
      <c r="D2" s="335"/>
      <c r="E2" s="335"/>
      <c r="F2" s="335"/>
      <c r="G2" s="335"/>
      <c r="H2" s="335"/>
      <c r="I2" s="335"/>
      <c r="J2" s="335"/>
      <c r="K2" s="335"/>
      <c r="L2" s="335"/>
      <c r="M2" s="335"/>
      <c r="N2" s="335"/>
      <c r="O2" s="335"/>
      <c r="P2" s="335"/>
      <c r="Q2" s="335"/>
      <c r="R2" s="335"/>
      <c r="S2" s="335"/>
      <c r="T2" s="335"/>
      <c r="U2" s="335"/>
      <c r="V2" s="335"/>
      <c r="W2" s="335"/>
      <c r="X2" s="335"/>
      <c r="Y2" s="336"/>
      <c r="Z2" s="336"/>
      <c r="AA2" s="336"/>
      <c r="AB2" s="336"/>
      <c r="AC2" s="336"/>
      <c r="AD2" s="336"/>
      <c r="AE2" s="336"/>
      <c r="AF2" s="336"/>
      <c r="AG2" s="336"/>
      <c r="AH2" s="337"/>
      <c r="AI2" s="380" t="s">
        <v>188</v>
      </c>
      <c r="AJ2" s="339"/>
      <c r="AK2" s="339"/>
      <c r="AL2" s="339"/>
      <c r="AM2" s="339"/>
      <c r="AN2" s="339"/>
      <c r="AO2" s="340"/>
    </row>
    <row r="3" spans="1:41" ht="12.75" customHeight="1" x14ac:dyDescent="0.2">
      <c r="A3" s="347" t="s">
        <v>2</v>
      </c>
      <c r="B3" s="348"/>
      <c r="C3" s="348"/>
      <c r="D3" s="348"/>
      <c r="E3" s="348"/>
      <c r="F3" s="348"/>
      <c r="G3" s="348"/>
      <c r="H3" s="348"/>
      <c r="I3" s="348"/>
      <c r="J3" s="348"/>
      <c r="K3" s="348"/>
      <c r="L3" s="348"/>
      <c r="M3" s="348"/>
      <c r="N3" s="348"/>
      <c r="O3" s="348"/>
      <c r="P3" s="348"/>
      <c r="Q3" s="348"/>
      <c r="R3" s="348"/>
      <c r="S3" s="348"/>
      <c r="T3" s="348"/>
      <c r="U3" s="348"/>
      <c r="V3" s="348"/>
      <c r="W3" s="348"/>
      <c r="X3" s="348"/>
      <c r="Y3" s="349"/>
      <c r="Z3" s="2" t="str">
        <f>+A!Z3</f>
        <v>X</v>
      </c>
      <c r="AA3" s="350" t="s">
        <v>3</v>
      </c>
      <c r="AB3" s="351"/>
      <c r="AC3" s="351"/>
      <c r="AD3" s="351"/>
      <c r="AE3" s="351"/>
      <c r="AF3" s="351"/>
      <c r="AG3" s="351"/>
      <c r="AH3" s="352"/>
      <c r="AI3" s="341"/>
      <c r="AJ3" s="342"/>
      <c r="AK3" s="342"/>
      <c r="AL3" s="342"/>
      <c r="AM3" s="342"/>
      <c r="AN3" s="342"/>
      <c r="AO3" s="343"/>
    </row>
    <row r="4" spans="1:41" ht="12.75" customHeight="1" x14ac:dyDescent="0.2">
      <c r="A4" s="353"/>
      <c r="B4" s="354"/>
      <c r="C4" s="354"/>
      <c r="D4" s="354"/>
      <c r="E4" s="354"/>
      <c r="F4" s="354"/>
      <c r="G4" s="354"/>
      <c r="H4" s="354"/>
      <c r="I4" s="354"/>
      <c r="J4" s="354"/>
      <c r="K4" s="354"/>
      <c r="L4" s="354"/>
      <c r="M4" s="354"/>
      <c r="N4" s="354"/>
      <c r="O4" s="354"/>
      <c r="P4" s="354"/>
      <c r="Q4" s="354"/>
      <c r="R4" s="354"/>
      <c r="S4" s="354"/>
      <c r="T4" s="354"/>
      <c r="U4" s="354"/>
      <c r="V4" s="354"/>
      <c r="W4" s="354"/>
      <c r="X4" s="354"/>
      <c r="Y4" s="355"/>
      <c r="Z4" s="2">
        <f>+A!Z4</f>
        <v>0</v>
      </c>
      <c r="AA4" s="356" t="s">
        <v>4</v>
      </c>
      <c r="AB4" s="357"/>
      <c r="AC4" s="357"/>
      <c r="AD4" s="357"/>
      <c r="AE4" s="357"/>
      <c r="AF4" s="357"/>
      <c r="AG4" s="357"/>
      <c r="AH4" s="358"/>
      <c r="AI4" s="344"/>
      <c r="AJ4" s="345"/>
      <c r="AK4" s="345"/>
      <c r="AL4" s="345"/>
      <c r="AM4" s="345"/>
      <c r="AN4" s="345"/>
      <c r="AO4" s="346"/>
    </row>
    <row r="5" spans="1:41" ht="12.75" customHeight="1" x14ac:dyDescent="0.2">
      <c r="A5" s="6"/>
      <c r="B5" s="322" t="s">
        <v>5</v>
      </c>
      <c r="C5" s="322"/>
      <c r="D5" s="322"/>
      <c r="E5" s="322"/>
      <c r="F5" s="322"/>
      <c r="G5" s="322"/>
      <c r="H5" s="322"/>
      <c r="I5" s="322"/>
      <c r="J5" s="322"/>
      <c r="K5" s="322"/>
      <c r="L5" s="322"/>
      <c r="M5" s="322"/>
      <c r="N5" s="322"/>
      <c r="O5" s="322"/>
      <c r="P5" s="322"/>
      <c r="Q5" s="322"/>
      <c r="R5" s="322"/>
      <c r="S5" s="322"/>
      <c r="T5" s="322"/>
      <c r="U5" s="322"/>
      <c r="V5" s="322"/>
      <c r="W5" s="322"/>
      <c r="X5" s="322"/>
      <c r="Y5" s="322"/>
      <c r="Z5" s="322"/>
      <c r="AA5" s="322"/>
      <c r="AB5" s="322"/>
      <c r="AC5" s="322"/>
      <c r="AD5" s="322"/>
      <c r="AE5" s="322"/>
      <c r="AF5" s="322"/>
      <c r="AG5" s="322"/>
      <c r="AH5" s="322"/>
      <c r="AI5" s="322"/>
      <c r="AJ5" s="322"/>
      <c r="AK5" s="322"/>
      <c r="AL5" s="322"/>
      <c r="AM5" s="322"/>
      <c r="AN5" s="322"/>
      <c r="AO5" s="323"/>
    </row>
    <row r="6" spans="1:41" ht="12.75" customHeight="1" x14ac:dyDescent="0.2">
      <c r="A6" s="353" t="str">
        <f>A!B6</f>
        <v>MSL Marine Surveyors And Logistics</v>
      </c>
      <c r="B6" s="354"/>
      <c r="C6" s="354"/>
      <c r="D6" s="354"/>
      <c r="E6" s="354"/>
      <c r="F6" s="354"/>
      <c r="G6" s="354"/>
      <c r="H6" s="354"/>
      <c r="I6" s="354"/>
      <c r="J6" s="354"/>
      <c r="K6" s="354"/>
      <c r="L6" s="354"/>
      <c r="M6" s="354"/>
      <c r="N6" s="354"/>
      <c r="O6" s="354"/>
      <c r="P6" s="354"/>
      <c r="Q6" s="354"/>
      <c r="R6" s="354"/>
      <c r="S6" s="354"/>
      <c r="T6" s="354"/>
      <c r="U6" s="354"/>
      <c r="V6" s="354"/>
      <c r="W6" s="354"/>
      <c r="X6" s="354"/>
      <c r="Y6" s="354"/>
      <c r="Z6" s="354"/>
      <c r="AA6" s="354"/>
      <c r="AB6" s="354"/>
      <c r="AC6" s="354"/>
      <c r="AD6" s="354"/>
      <c r="AE6" s="354"/>
      <c r="AF6" s="354"/>
      <c r="AG6" s="354"/>
      <c r="AH6" s="354"/>
      <c r="AI6" s="354"/>
      <c r="AJ6" s="354"/>
      <c r="AK6" s="354"/>
      <c r="AL6" s="354"/>
      <c r="AM6" s="354"/>
      <c r="AN6" s="354"/>
      <c r="AO6" s="355"/>
    </row>
    <row r="7" spans="1:41" ht="12.75" customHeight="1" x14ac:dyDescent="0.2">
      <c r="A7" s="6"/>
      <c r="B7" s="322" t="s">
        <v>11</v>
      </c>
      <c r="C7" s="322"/>
      <c r="D7" s="322"/>
      <c r="E7" s="322"/>
      <c r="F7" s="322"/>
      <c r="G7" s="322"/>
      <c r="H7" s="322"/>
      <c r="I7" s="322"/>
      <c r="J7" s="322"/>
      <c r="K7" s="322"/>
      <c r="L7" s="322"/>
      <c r="M7" s="322"/>
      <c r="N7" s="322"/>
      <c r="O7" s="322"/>
      <c r="P7" s="322"/>
      <c r="Q7" s="322"/>
      <c r="R7" s="322"/>
      <c r="S7" s="322"/>
      <c r="T7" s="322"/>
      <c r="U7" s="322"/>
      <c r="V7" s="322"/>
      <c r="W7" s="322"/>
      <c r="X7" s="322"/>
      <c r="Y7" s="322"/>
      <c r="Z7" s="322" t="s">
        <v>13</v>
      </c>
      <c r="AA7" s="322"/>
      <c r="AB7" s="322"/>
      <c r="AC7" s="322"/>
      <c r="AD7" s="322"/>
      <c r="AE7" s="322"/>
      <c r="AF7" s="322"/>
      <c r="AG7" s="322"/>
      <c r="AH7" s="322"/>
      <c r="AI7" s="322"/>
      <c r="AJ7" s="322"/>
      <c r="AK7" s="322"/>
      <c r="AL7" s="322"/>
      <c r="AM7" s="322"/>
      <c r="AN7" s="322"/>
      <c r="AO7" s="323"/>
    </row>
    <row r="8" spans="1:41" ht="12.75" customHeight="1" x14ac:dyDescent="0.2">
      <c r="A8" s="353"/>
      <c r="B8" s="354"/>
      <c r="C8" s="354"/>
      <c r="D8" s="354"/>
      <c r="E8" s="354"/>
      <c r="F8" s="379" t="str">
        <f>+A!G12</f>
        <v>MV SANTA CAROLINA</v>
      </c>
      <c r="G8" s="379"/>
      <c r="H8" s="379"/>
      <c r="I8" s="379"/>
      <c r="J8" s="379"/>
      <c r="K8" s="379"/>
      <c r="L8" s="379"/>
      <c r="M8" s="379"/>
      <c r="N8" s="379"/>
      <c r="O8" s="379"/>
      <c r="P8" s="379"/>
      <c r="Q8" s="379"/>
      <c r="R8" s="379"/>
      <c r="S8" s="379"/>
      <c r="T8" s="379"/>
      <c r="U8" s="379"/>
      <c r="V8" s="379"/>
      <c r="W8" s="379"/>
      <c r="X8" s="379"/>
      <c r="Y8" s="379"/>
      <c r="Z8" s="379"/>
      <c r="AA8" s="379"/>
      <c r="AB8" s="379"/>
      <c r="AC8" s="360" t="str">
        <f>+A!AG12</f>
        <v>2207-1407-2026</v>
      </c>
      <c r="AD8" s="360"/>
      <c r="AE8" s="360"/>
      <c r="AF8" s="360"/>
      <c r="AG8" s="360"/>
      <c r="AH8" s="360"/>
      <c r="AI8" s="360"/>
      <c r="AJ8" s="360"/>
      <c r="AK8" s="360"/>
      <c r="AL8" s="360"/>
      <c r="AM8" s="360"/>
      <c r="AN8" s="360"/>
      <c r="AO8" s="361"/>
    </row>
    <row r="9" spans="1:41" ht="12.75" customHeight="1" x14ac:dyDescent="0.2">
      <c r="A9" s="363" t="s">
        <v>189</v>
      </c>
      <c r="B9" s="364"/>
      <c r="C9" s="364"/>
      <c r="D9" s="364"/>
      <c r="E9" s="364"/>
      <c r="F9" s="364"/>
      <c r="G9" s="364"/>
      <c r="H9" s="364"/>
      <c r="I9" s="364"/>
      <c r="J9" s="364"/>
      <c r="K9" s="364"/>
      <c r="L9" s="364"/>
      <c r="M9" s="364"/>
      <c r="N9" s="364"/>
      <c r="O9" s="364"/>
      <c r="P9" s="364"/>
      <c r="Q9" s="364"/>
      <c r="R9" s="364"/>
      <c r="S9" s="364"/>
      <c r="T9" s="364"/>
      <c r="U9" s="364"/>
      <c r="V9" s="364"/>
      <c r="W9" s="364"/>
      <c r="X9" s="364"/>
      <c r="Y9" s="364"/>
      <c r="Z9" s="364"/>
      <c r="AA9" s="364"/>
      <c r="AB9" s="364"/>
      <c r="AC9" s="364"/>
      <c r="AD9" s="364"/>
      <c r="AE9" s="364"/>
      <c r="AF9" s="364"/>
      <c r="AG9" s="364"/>
      <c r="AH9" s="364"/>
      <c r="AI9" s="364"/>
      <c r="AJ9" s="364"/>
      <c r="AK9" s="364"/>
      <c r="AL9" s="364"/>
      <c r="AM9" s="364"/>
      <c r="AN9" s="364"/>
      <c r="AO9" s="365"/>
    </row>
    <row r="10" spans="1:41" ht="12.75" customHeight="1" x14ac:dyDescent="0.2">
      <c r="A10" s="8"/>
      <c r="B10" s="15"/>
      <c r="C10" s="15"/>
      <c r="D10" s="16"/>
      <c r="E10" s="16"/>
      <c r="F10" s="16"/>
      <c r="G10" s="16"/>
      <c r="H10" s="16"/>
      <c r="I10" s="16"/>
      <c r="J10" s="16"/>
      <c r="K10" s="16"/>
      <c r="L10" s="16"/>
      <c r="M10" s="16"/>
      <c r="AH10" s="25"/>
      <c r="AI10" s="25"/>
      <c r="AJ10" s="25"/>
      <c r="AK10" s="25"/>
      <c r="AL10" s="25"/>
      <c r="AM10" s="25"/>
      <c r="AN10" s="25"/>
      <c r="AO10" s="27"/>
    </row>
    <row r="11" spans="1:41" ht="12.75" customHeight="1" x14ac:dyDescent="0.2">
      <c r="A11" s="662" t="s">
        <v>190</v>
      </c>
      <c r="B11" s="335"/>
      <c r="C11" s="335"/>
      <c r="D11" s="335"/>
      <c r="E11" s="663"/>
      <c r="F11" s="77"/>
      <c r="G11" s="78"/>
      <c r="H11" s="78"/>
      <c r="I11" s="79"/>
      <c r="J11" s="746" t="s">
        <v>31</v>
      </c>
      <c r="K11" s="747"/>
      <c r="L11" s="747"/>
      <c r="M11" s="747"/>
      <c r="N11" s="747"/>
      <c r="O11" s="747"/>
      <c r="P11" s="747"/>
      <c r="Q11" s="747"/>
      <c r="R11" s="747"/>
      <c r="S11" s="747"/>
      <c r="T11" s="747"/>
      <c r="U11" s="747"/>
      <c r="V11" s="747"/>
      <c r="W11" s="747"/>
      <c r="X11" s="747"/>
      <c r="Y11" s="748"/>
      <c r="Z11" s="746" t="s">
        <v>32</v>
      </c>
      <c r="AA11" s="747"/>
      <c r="AB11" s="747"/>
      <c r="AC11" s="747"/>
      <c r="AD11" s="747"/>
      <c r="AE11" s="747"/>
      <c r="AF11" s="747"/>
      <c r="AG11" s="747"/>
      <c r="AH11" s="747"/>
      <c r="AI11" s="747"/>
      <c r="AJ11" s="747"/>
      <c r="AK11" s="747"/>
      <c r="AL11" s="747"/>
      <c r="AM11" s="747"/>
      <c r="AN11" s="747"/>
      <c r="AO11" s="748"/>
    </row>
    <row r="12" spans="1:41" ht="12.75" customHeight="1" x14ac:dyDescent="0.2">
      <c r="A12" s="586" t="s">
        <v>191</v>
      </c>
      <c r="B12" s="378"/>
      <c r="C12" s="378"/>
      <c r="D12" s="378"/>
      <c r="E12" s="666"/>
      <c r="F12" s="381" t="s">
        <v>165</v>
      </c>
      <c r="G12" s="382"/>
      <c r="H12" s="382"/>
      <c r="I12" s="383"/>
      <c r="J12" s="662" t="s">
        <v>158</v>
      </c>
      <c r="K12" s="335"/>
      <c r="L12" s="663"/>
      <c r="M12" s="662" t="s">
        <v>192</v>
      </c>
      <c r="N12" s="663"/>
      <c r="O12" s="662" t="s">
        <v>193</v>
      </c>
      <c r="P12" s="335"/>
      <c r="Q12" s="663"/>
      <c r="R12" s="662" t="s">
        <v>193</v>
      </c>
      <c r="S12" s="335"/>
      <c r="T12" s="335"/>
      <c r="U12" s="663"/>
      <c r="V12" s="662" t="s">
        <v>194</v>
      </c>
      <c r="W12" s="335"/>
      <c r="X12" s="335"/>
      <c r="Y12" s="663"/>
      <c r="Z12" s="662" t="s">
        <v>158</v>
      </c>
      <c r="AA12" s="335"/>
      <c r="AB12" s="663"/>
      <c r="AC12" s="662" t="s">
        <v>192</v>
      </c>
      <c r="AD12" s="663"/>
      <c r="AE12" s="662" t="s">
        <v>193</v>
      </c>
      <c r="AF12" s="335"/>
      <c r="AG12" s="663"/>
      <c r="AH12" s="662" t="s">
        <v>193</v>
      </c>
      <c r="AI12" s="335"/>
      <c r="AJ12" s="335"/>
      <c r="AK12" s="663"/>
      <c r="AL12" s="662" t="s">
        <v>194</v>
      </c>
      <c r="AM12" s="335"/>
      <c r="AN12" s="335"/>
      <c r="AO12" s="663"/>
    </row>
    <row r="13" spans="1:41" ht="12.75" customHeight="1" x14ac:dyDescent="0.2">
      <c r="A13" s="586" t="s">
        <v>195</v>
      </c>
      <c r="B13" s="378"/>
      <c r="C13" s="378"/>
      <c r="D13" s="378"/>
      <c r="E13" s="666"/>
      <c r="F13" s="381" t="s">
        <v>196</v>
      </c>
      <c r="G13" s="382"/>
      <c r="H13" s="382"/>
      <c r="I13" s="383"/>
      <c r="J13" s="586" t="s">
        <v>197</v>
      </c>
      <c r="K13" s="378"/>
      <c r="L13" s="666"/>
      <c r="M13" s="65"/>
      <c r="N13" s="27"/>
      <c r="O13" s="586" t="s">
        <v>198</v>
      </c>
      <c r="P13" s="378"/>
      <c r="Q13" s="666"/>
      <c r="R13" s="586" t="s">
        <v>163</v>
      </c>
      <c r="S13" s="378"/>
      <c r="T13" s="378"/>
      <c r="U13" s="666"/>
      <c r="V13" s="586" t="s">
        <v>177</v>
      </c>
      <c r="W13" s="378"/>
      <c r="X13" s="378"/>
      <c r="Y13" s="666"/>
      <c r="Z13" s="586" t="s">
        <v>197</v>
      </c>
      <c r="AA13" s="378"/>
      <c r="AB13" s="666"/>
      <c r="AC13" s="65"/>
      <c r="AD13" s="27"/>
      <c r="AE13" s="586" t="s">
        <v>198</v>
      </c>
      <c r="AF13" s="378"/>
      <c r="AG13" s="666"/>
      <c r="AH13" s="586" t="s">
        <v>163</v>
      </c>
      <c r="AI13" s="378"/>
      <c r="AJ13" s="378"/>
      <c r="AK13" s="666"/>
      <c r="AL13" s="586" t="s">
        <v>177</v>
      </c>
      <c r="AM13" s="378"/>
      <c r="AN13" s="378"/>
      <c r="AO13" s="666"/>
    </row>
    <row r="14" spans="1:41" ht="12.75" customHeight="1" x14ac:dyDescent="0.2">
      <c r="A14" s="670" t="s">
        <v>199</v>
      </c>
      <c r="B14" s="671"/>
      <c r="C14" s="671"/>
      <c r="D14" s="671"/>
      <c r="E14" s="672"/>
      <c r="F14" s="353" t="s">
        <v>200</v>
      </c>
      <c r="G14" s="354"/>
      <c r="H14" s="354"/>
      <c r="I14" s="355"/>
      <c r="J14" s="670" t="s">
        <v>75</v>
      </c>
      <c r="K14" s="671"/>
      <c r="L14" s="672"/>
      <c r="M14" s="670" t="s">
        <v>201</v>
      </c>
      <c r="N14" s="672"/>
      <c r="O14" s="670" t="s">
        <v>134</v>
      </c>
      <c r="P14" s="671"/>
      <c r="Q14" s="672"/>
      <c r="R14" s="670" t="s">
        <v>179</v>
      </c>
      <c r="S14" s="671"/>
      <c r="T14" s="671"/>
      <c r="U14" s="672"/>
      <c r="V14" s="670" t="s">
        <v>202</v>
      </c>
      <c r="W14" s="671"/>
      <c r="X14" s="671"/>
      <c r="Y14" s="672"/>
      <c r="Z14" s="670" t="s">
        <v>75</v>
      </c>
      <c r="AA14" s="671"/>
      <c r="AB14" s="672"/>
      <c r="AC14" s="670" t="s">
        <v>201</v>
      </c>
      <c r="AD14" s="672"/>
      <c r="AE14" s="670" t="s">
        <v>134</v>
      </c>
      <c r="AF14" s="671"/>
      <c r="AG14" s="672"/>
      <c r="AH14" s="670" t="s">
        <v>179</v>
      </c>
      <c r="AI14" s="671"/>
      <c r="AJ14" s="671"/>
      <c r="AK14" s="672"/>
      <c r="AL14" s="670" t="s">
        <v>202</v>
      </c>
      <c r="AM14" s="671"/>
      <c r="AN14" s="671"/>
      <c r="AO14" s="672"/>
    </row>
    <row r="15" spans="1:41" ht="12.75" customHeight="1" x14ac:dyDescent="0.2">
      <c r="A15" s="6"/>
      <c r="B15" s="11" t="s">
        <v>203</v>
      </c>
      <c r="C15" s="11"/>
      <c r="D15" s="12"/>
      <c r="E15" s="12"/>
      <c r="F15" s="12"/>
      <c r="G15" s="12"/>
      <c r="H15" s="12"/>
      <c r="I15" s="12"/>
      <c r="P15" s="25"/>
      <c r="Q15" s="25"/>
      <c r="R15" s="25"/>
      <c r="S15" s="25"/>
      <c r="T15" s="25"/>
      <c r="U15" s="25"/>
      <c r="V15" s="25"/>
      <c r="Y15" s="27"/>
      <c r="AF15" s="25"/>
      <c r="AG15" s="25"/>
      <c r="AH15" s="25"/>
      <c r="AI15" s="25"/>
      <c r="AJ15" s="25"/>
      <c r="AK15" s="25"/>
      <c r="AL15" s="25"/>
      <c r="AO15" s="27"/>
    </row>
    <row r="16" spans="1:41" ht="6" customHeight="1" x14ac:dyDescent="0.2">
      <c r="A16" s="8"/>
      <c r="B16" s="15"/>
      <c r="C16" s="15"/>
      <c r="D16" s="16"/>
      <c r="E16" s="16"/>
      <c r="F16" s="32"/>
      <c r="G16" s="32"/>
      <c r="H16" s="16"/>
      <c r="I16" s="16"/>
      <c r="J16" s="413"/>
      <c r="K16" s="752"/>
      <c r="L16" s="752"/>
      <c r="M16" s="752"/>
      <c r="N16" s="752"/>
      <c r="O16" s="752"/>
      <c r="P16" s="752"/>
      <c r="Q16" s="752"/>
      <c r="R16" s="752"/>
      <c r="S16" s="752"/>
      <c r="T16" s="752"/>
      <c r="U16" s="752"/>
      <c r="V16" s="752"/>
      <c r="W16" s="752"/>
      <c r="X16" s="752"/>
      <c r="Y16" s="753"/>
      <c r="Z16" s="413"/>
      <c r="AA16" s="752"/>
      <c r="AB16" s="752"/>
      <c r="AC16" s="752"/>
      <c r="AD16" s="752"/>
      <c r="AE16" s="752"/>
      <c r="AF16" s="752"/>
      <c r="AG16" s="752"/>
      <c r="AH16" s="752"/>
      <c r="AI16" s="752"/>
      <c r="AJ16" s="752"/>
      <c r="AK16" s="752"/>
      <c r="AL16" s="752"/>
      <c r="AM16" s="752"/>
      <c r="AN16" s="752"/>
      <c r="AO16" s="753"/>
    </row>
    <row r="17" spans="1:41" ht="12.75" customHeight="1" x14ac:dyDescent="0.2">
      <c r="A17" s="757"/>
      <c r="B17" s="322"/>
      <c r="C17" s="322"/>
      <c r="D17" s="322"/>
      <c r="E17" s="323"/>
      <c r="F17" s="754"/>
      <c r="G17" s="755"/>
      <c r="H17" s="755"/>
      <c r="I17" s="756"/>
      <c r="J17" s="758"/>
      <c r="K17" s="759"/>
      <c r="L17" s="760"/>
      <c r="M17" s="398"/>
      <c r="N17" s="400"/>
      <c r="O17" s="398"/>
      <c r="P17" s="399"/>
      <c r="Q17" s="400"/>
      <c r="R17" s="754"/>
      <c r="S17" s="755"/>
      <c r="T17" s="755"/>
      <c r="U17" s="756"/>
      <c r="V17" s="754">
        <f>ROUND(R17*(O17-(0.00063*(M17-15))),2)</f>
        <v>0</v>
      </c>
      <c r="W17" s="755"/>
      <c r="X17" s="755"/>
      <c r="Y17" s="756"/>
      <c r="Z17" s="758"/>
      <c r="AA17" s="759"/>
      <c r="AB17" s="760"/>
      <c r="AC17" s="398"/>
      <c r="AD17" s="400"/>
      <c r="AE17" s="398"/>
      <c r="AF17" s="399"/>
      <c r="AG17" s="400"/>
      <c r="AH17" s="754"/>
      <c r="AI17" s="755"/>
      <c r="AJ17" s="755"/>
      <c r="AK17" s="756"/>
      <c r="AL17" s="754">
        <f>ROUND(AH17*(AE17-(0.00063*(AC17-15))),2)</f>
        <v>0</v>
      </c>
      <c r="AM17" s="755"/>
      <c r="AN17" s="755"/>
      <c r="AO17" s="756"/>
    </row>
    <row r="18" spans="1:41" ht="12.75" customHeight="1" x14ac:dyDescent="0.2">
      <c r="A18" s="764"/>
      <c r="B18" s="765"/>
      <c r="C18" s="765"/>
      <c r="D18" s="765"/>
      <c r="E18" s="766"/>
      <c r="F18" s="749"/>
      <c r="G18" s="750"/>
      <c r="H18" s="750"/>
      <c r="I18" s="751"/>
      <c r="J18" s="761"/>
      <c r="K18" s="762"/>
      <c r="L18" s="763"/>
      <c r="M18" s="286"/>
      <c r="N18" s="287"/>
      <c r="O18" s="286"/>
      <c r="P18" s="272"/>
      <c r="Q18" s="287"/>
      <c r="R18" s="749"/>
      <c r="S18" s="750"/>
      <c r="T18" s="750"/>
      <c r="U18" s="751"/>
      <c r="V18" s="749">
        <f t="shared" ref="V18:V30" si="0">ROUND(R18*(O18-(0.00063*(M18-15))),2)</f>
        <v>0</v>
      </c>
      <c r="W18" s="750"/>
      <c r="X18" s="750"/>
      <c r="Y18" s="751"/>
      <c r="Z18" s="761"/>
      <c r="AA18" s="762"/>
      <c r="AB18" s="763"/>
      <c r="AC18" s="286"/>
      <c r="AD18" s="287"/>
      <c r="AE18" s="286"/>
      <c r="AF18" s="272"/>
      <c r="AG18" s="287"/>
      <c r="AH18" s="749"/>
      <c r="AI18" s="750"/>
      <c r="AJ18" s="750"/>
      <c r="AK18" s="751"/>
      <c r="AL18" s="749">
        <f t="shared" ref="AL18:AL30" si="1">ROUND(AH18*(AE18-(0.00063*(AC18-15))),2)</f>
        <v>0</v>
      </c>
      <c r="AM18" s="750"/>
      <c r="AN18" s="750"/>
      <c r="AO18" s="751"/>
    </row>
    <row r="19" spans="1:41" ht="12.75" customHeight="1" x14ac:dyDescent="0.2">
      <c r="A19" s="764"/>
      <c r="B19" s="765"/>
      <c r="C19" s="765"/>
      <c r="D19" s="765"/>
      <c r="E19" s="766"/>
      <c r="F19" s="749"/>
      <c r="G19" s="750"/>
      <c r="H19" s="750"/>
      <c r="I19" s="751"/>
      <c r="J19" s="761"/>
      <c r="K19" s="762"/>
      <c r="L19" s="763"/>
      <c r="M19" s="286"/>
      <c r="N19" s="287"/>
      <c r="O19" s="286"/>
      <c r="P19" s="272"/>
      <c r="Q19" s="287"/>
      <c r="R19" s="749"/>
      <c r="S19" s="750"/>
      <c r="T19" s="750"/>
      <c r="U19" s="751"/>
      <c r="V19" s="749">
        <f t="shared" si="0"/>
        <v>0</v>
      </c>
      <c r="W19" s="750"/>
      <c r="X19" s="750"/>
      <c r="Y19" s="751"/>
      <c r="Z19" s="761"/>
      <c r="AA19" s="762"/>
      <c r="AB19" s="763"/>
      <c r="AC19" s="286"/>
      <c r="AD19" s="287"/>
      <c r="AE19" s="286"/>
      <c r="AF19" s="272"/>
      <c r="AG19" s="287"/>
      <c r="AH19" s="749"/>
      <c r="AI19" s="750"/>
      <c r="AJ19" s="750"/>
      <c r="AK19" s="751"/>
      <c r="AL19" s="749">
        <f t="shared" si="1"/>
        <v>0</v>
      </c>
      <c r="AM19" s="750"/>
      <c r="AN19" s="750"/>
      <c r="AO19" s="751"/>
    </row>
    <row r="20" spans="1:41" ht="12.75" customHeight="1" x14ac:dyDescent="0.2">
      <c r="A20" s="764"/>
      <c r="B20" s="765"/>
      <c r="C20" s="765"/>
      <c r="D20" s="765"/>
      <c r="E20" s="766"/>
      <c r="F20" s="749"/>
      <c r="G20" s="750"/>
      <c r="H20" s="750"/>
      <c r="I20" s="751"/>
      <c r="J20" s="761"/>
      <c r="K20" s="762"/>
      <c r="L20" s="763"/>
      <c r="M20" s="286"/>
      <c r="N20" s="287"/>
      <c r="O20" s="286"/>
      <c r="P20" s="272"/>
      <c r="Q20" s="287"/>
      <c r="R20" s="749"/>
      <c r="S20" s="750"/>
      <c r="T20" s="750"/>
      <c r="U20" s="751"/>
      <c r="V20" s="749">
        <f t="shared" si="0"/>
        <v>0</v>
      </c>
      <c r="W20" s="750"/>
      <c r="X20" s="750"/>
      <c r="Y20" s="751"/>
      <c r="Z20" s="761"/>
      <c r="AA20" s="762"/>
      <c r="AB20" s="763"/>
      <c r="AC20" s="286"/>
      <c r="AD20" s="287"/>
      <c r="AE20" s="286"/>
      <c r="AF20" s="272"/>
      <c r="AG20" s="287"/>
      <c r="AH20" s="749"/>
      <c r="AI20" s="750"/>
      <c r="AJ20" s="750"/>
      <c r="AK20" s="751"/>
      <c r="AL20" s="749">
        <f t="shared" si="1"/>
        <v>0</v>
      </c>
      <c r="AM20" s="750"/>
      <c r="AN20" s="750"/>
      <c r="AO20" s="751"/>
    </row>
    <row r="21" spans="1:41" ht="12.75" customHeight="1" x14ac:dyDescent="0.2">
      <c r="A21" s="764"/>
      <c r="B21" s="765"/>
      <c r="C21" s="765"/>
      <c r="D21" s="765"/>
      <c r="E21" s="766"/>
      <c r="F21" s="749"/>
      <c r="G21" s="750"/>
      <c r="H21" s="750"/>
      <c r="I21" s="751"/>
      <c r="J21" s="761"/>
      <c r="K21" s="762"/>
      <c r="L21" s="763"/>
      <c r="M21" s="286"/>
      <c r="N21" s="287"/>
      <c r="O21" s="286"/>
      <c r="P21" s="272"/>
      <c r="Q21" s="287"/>
      <c r="R21" s="749"/>
      <c r="S21" s="750"/>
      <c r="T21" s="750"/>
      <c r="U21" s="751"/>
      <c r="V21" s="749">
        <f t="shared" si="0"/>
        <v>0</v>
      </c>
      <c r="W21" s="750"/>
      <c r="X21" s="750"/>
      <c r="Y21" s="751"/>
      <c r="Z21" s="761"/>
      <c r="AA21" s="762"/>
      <c r="AB21" s="763"/>
      <c r="AC21" s="286"/>
      <c r="AD21" s="287"/>
      <c r="AE21" s="286"/>
      <c r="AF21" s="272"/>
      <c r="AG21" s="287"/>
      <c r="AH21" s="749"/>
      <c r="AI21" s="750"/>
      <c r="AJ21" s="750"/>
      <c r="AK21" s="751"/>
      <c r="AL21" s="749">
        <f t="shared" si="1"/>
        <v>0</v>
      </c>
      <c r="AM21" s="750"/>
      <c r="AN21" s="750"/>
      <c r="AO21" s="751"/>
    </row>
    <row r="22" spans="1:41" ht="12.75" customHeight="1" x14ac:dyDescent="0.2">
      <c r="A22" s="764"/>
      <c r="B22" s="765"/>
      <c r="C22" s="765"/>
      <c r="D22" s="765"/>
      <c r="E22" s="766"/>
      <c r="F22" s="749"/>
      <c r="G22" s="750"/>
      <c r="H22" s="750"/>
      <c r="I22" s="751"/>
      <c r="J22" s="761"/>
      <c r="K22" s="762"/>
      <c r="L22" s="763"/>
      <c r="M22" s="286"/>
      <c r="N22" s="287"/>
      <c r="O22" s="286"/>
      <c r="P22" s="272"/>
      <c r="Q22" s="287"/>
      <c r="R22" s="749"/>
      <c r="S22" s="750"/>
      <c r="T22" s="750"/>
      <c r="U22" s="751"/>
      <c r="V22" s="749">
        <f t="shared" si="0"/>
        <v>0</v>
      </c>
      <c r="W22" s="750"/>
      <c r="X22" s="750"/>
      <c r="Y22" s="751"/>
      <c r="Z22" s="761"/>
      <c r="AA22" s="762"/>
      <c r="AB22" s="763"/>
      <c r="AC22" s="286"/>
      <c r="AD22" s="287"/>
      <c r="AE22" s="286"/>
      <c r="AF22" s="272"/>
      <c r="AG22" s="287"/>
      <c r="AH22" s="749"/>
      <c r="AI22" s="750"/>
      <c r="AJ22" s="750"/>
      <c r="AK22" s="751"/>
      <c r="AL22" s="749">
        <f t="shared" si="1"/>
        <v>0</v>
      </c>
      <c r="AM22" s="750"/>
      <c r="AN22" s="750"/>
      <c r="AO22" s="751"/>
    </row>
    <row r="23" spans="1:41" ht="12.75" customHeight="1" x14ac:dyDescent="0.2">
      <c r="A23" s="764"/>
      <c r="B23" s="765"/>
      <c r="C23" s="765"/>
      <c r="D23" s="765"/>
      <c r="E23" s="766"/>
      <c r="F23" s="749"/>
      <c r="G23" s="750"/>
      <c r="H23" s="750"/>
      <c r="I23" s="751"/>
      <c r="J23" s="761"/>
      <c r="K23" s="762"/>
      <c r="L23" s="763"/>
      <c r="M23" s="286"/>
      <c r="N23" s="287"/>
      <c r="O23" s="286"/>
      <c r="P23" s="272"/>
      <c r="Q23" s="287"/>
      <c r="R23" s="749"/>
      <c r="S23" s="750"/>
      <c r="T23" s="750"/>
      <c r="U23" s="751"/>
      <c r="V23" s="749">
        <f t="shared" si="0"/>
        <v>0</v>
      </c>
      <c r="W23" s="750"/>
      <c r="X23" s="750"/>
      <c r="Y23" s="751"/>
      <c r="Z23" s="761"/>
      <c r="AA23" s="762"/>
      <c r="AB23" s="763"/>
      <c r="AC23" s="286"/>
      <c r="AD23" s="287"/>
      <c r="AE23" s="286"/>
      <c r="AF23" s="272"/>
      <c r="AG23" s="287"/>
      <c r="AH23" s="749"/>
      <c r="AI23" s="750"/>
      <c r="AJ23" s="750"/>
      <c r="AK23" s="751"/>
      <c r="AL23" s="749">
        <f t="shared" si="1"/>
        <v>0</v>
      </c>
      <c r="AM23" s="750"/>
      <c r="AN23" s="750"/>
      <c r="AO23" s="751"/>
    </row>
    <row r="24" spans="1:41" ht="12.75" customHeight="1" x14ac:dyDescent="0.2">
      <c r="A24" s="764"/>
      <c r="B24" s="765"/>
      <c r="C24" s="765"/>
      <c r="D24" s="765"/>
      <c r="E24" s="766"/>
      <c r="F24" s="749"/>
      <c r="G24" s="750"/>
      <c r="H24" s="750"/>
      <c r="I24" s="751"/>
      <c r="J24" s="761"/>
      <c r="K24" s="762"/>
      <c r="L24" s="763"/>
      <c r="M24" s="286"/>
      <c r="N24" s="287"/>
      <c r="O24" s="286"/>
      <c r="P24" s="272"/>
      <c r="Q24" s="287"/>
      <c r="R24" s="749"/>
      <c r="S24" s="750"/>
      <c r="T24" s="750"/>
      <c r="U24" s="751"/>
      <c r="V24" s="749">
        <f t="shared" si="0"/>
        <v>0</v>
      </c>
      <c r="W24" s="750"/>
      <c r="X24" s="750"/>
      <c r="Y24" s="751"/>
      <c r="Z24" s="761"/>
      <c r="AA24" s="762"/>
      <c r="AB24" s="763"/>
      <c r="AC24" s="286"/>
      <c r="AD24" s="287"/>
      <c r="AE24" s="286"/>
      <c r="AF24" s="272"/>
      <c r="AG24" s="287"/>
      <c r="AH24" s="749"/>
      <c r="AI24" s="750"/>
      <c r="AJ24" s="750"/>
      <c r="AK24" s="751"/>
      <c r="AL24" s="749">
        <f t="shared" si="1"/>
        <v>0</v>
      </c>
      <c r="AM24" s="750"/>
      <c r="AN24" s="750"/>
      <c r="AO24" s="751"/>
    </row>
    <row r="25" spans="1:41" ht="12.75" customHeight="1" x14ac:dyDescent="0.2">
      <c r="A25" s="764"/>
      <c r="B25" s="765"/>
      <c r="C25" s="765"/>
      <c r="D25" s="765"/>
      <c r="E25" s="766"/>
      <c r="F25" s="749"/>
      <c r="G25" s="750"/>
      <c r="H25" s="750"/>
      <c r="I25" s="751"/>
      <c r="J25" s="761"/>
      <c r="K25" s="762"/>
      <c r="L25" s="763"/>
      <c r="M25" s="286"/>
      <c r="N25" s="287"/>
      <c r="O25" s="286"/>
      <c r="P25" s="272"/>
      <c r="Q25" s="287"/>
      <c r="R25" s="749"/>
      <c r="S25" s="750"/>
      <c r="T25" s="750"/>
      <c r="U25" s="751"/>
      <c r="V25" s="749">
        <f t="shared" si="0"/>
        <v>0</v>
      </c>
      <c r="W25" s="750"/>
      <c r="X25" s="750"/>
      <c r="Y25" s="751"/>
      <c r="Z25" s="761"/>
      <c r="AA25" s="762"/>
      <c r="AB25" s="763"/>
      <c r="AC25" s="286"/>
      <c r="AD25" s="287"/>
      <c r="AE25" s="286"/>
      <c r="AF25" s="272"/>
      <c r="AG25" s="287"/>
      <c r="AH25" s="749"/>
      <c r="AI25" s="750"/>
      <c r="AJ25" s="750"/>
      <c r="AK25" s="751"/>
      <c r="AL25" s="749">
        <f t="shared" si="1"/>
        <v>0</v>
      </c>
      <c r="AM25" s="750"/>
      <c r="AN25" s="750"/>
      <c r="AO25" s="751"/>
    </row>
    <row r="26" spans="1:41" ht="12.75" customHeight="1" x14ac:dyDescent="0.2">
      <c r="A26" s="764"/>
      <c r="B26" s="765"/>
      <c r="C26" s="765"/>
      <c r="D26" s="765"/>
      <c r="E26" s="766"/>
      <c r="F26" s="749"/>
      <c r="G26" s="750"/>
      <c r="H26" s="750"/>
      <c r="I26" s="751"/>
      <c r="J26" s="761"/>
      <c r="K26" s="762"/>
      <c r="L26" s="763"/>
      <c r="M26" s="286"/>
      <c r="N26" s="287"/>
      <c r="O26" s="286"/>
      <c r="P26" s="272"/>
      <c r="Q26" s="287"/>
      <c r="R26" s="749"/>
      <c r="S26" s="750"/>
      <c r="T26" s="750"/>
      <c r="U26" s="751"/>
      <c r="V26" s="749">
        <f t="shared" si="0"/>
        <v>0</v>
      </c>
      <c r="W26" s="750"/>
      <c r="X26" s="750"/>
      <c r="Y26" s="751"/>
      <c r="Z26" s="761"/>
      <c r="AA26" s="762"/>
      <c r="AB26" s="763"/>
      <c r="AC26" s="286"/>
      <c r="AD26" s="287"/>
      <c r="AE26" s="286"/>
      <c r="AF26" s="272"/>
      <c r="AG26" s="287"/>
      <c r="AH26" s="749"/>
      <c r="AI26" s="750"/>
      <c r="AJ26" s="750"/>
      <c r="AK26" s="751"/>
      <c r="AL26" s="749">
        <f t="shared" si="1"/>
        <v>0</v>
      </c>
      <c r="AM26" s="750"/>
      <c r="AN26" s="750"/>
      <c r="AO26" s="751"/>
    </row>
    <row r="27" spans="1:41" ht="12.75" customHeight="1" x14ac:dyDescent="0.2">
      <c r="A27" s="764"/>
      <c r="B27" s="765"/>
      <c r="C27" s="765"/>
      <c r="D27" s="765"/>
      <c r="E27" s="766"/>
      <c r="F27" s="749"/>
      <c r="G27" s="750"/>
      <c r="H27" s="750"/>
      <c r="I27" s="751"/>
      <c r="J27" s="761"/>
      <c r="K27" s="762"/>
      <c r="L27" s="763"/>
      <c r="M27" s="286"/>
      <c r="N27" s="287"/>
      <c r="O27" s="286"/>
      <c r="P27" s="272"/>
      <c r="Q27" s="287"/>
      <c r="R27" s="749"/>
      <c r="S27" s="750"/>
      <c r="T27" s="750"/>
      <c r="U27" s="751"/>
      <c r="V27" s="749">
        <f t="shared" si="0"/>
        <v>0</v>
      </c>
      <c r="W27" s="750"/>
      <c r="X27" s="750"/>
      <c r="Y27" s="751"/>
      <c r="Z27" s="761"/>
      <c r="AA27" s="762"/>
      <c r="AB27" s="763"/>
      <c r="AC27" s="286"/>
      <c r="AD27" s="287"/>
      <c r="AE27" s="286"/>
      <c r="AF27" s="272"/>
      <c r="AG27" s="287"/>
      <c r="AH27" s="749"/>
      <c r="AI27" s="750"/>
      <c r="AJ27" s="750"/>
      <c r="AK27" s="751"/>
      <c r="AL27" s="749">
        <f t="shared" si="1"/>
        <v>0</v>
      </c>
      <c r="AM27" s="750"/>
      <c r="AN27" s="750"/>
      <c r="AO27" s="751"/>
    </row>
    <row r="28" spans="1:41" ht="12.75" customHeight="1" x14ac:dyDescent="0.2">
      <c r="A28" s="764"/>
      <c r="B28" s="765"/>
      <c r="C28" s="765"/>
      <c r="D28" s="765"/>
      <c r="E28" s="766"/>
      <c r="F28" s="749"/>
      <c r="G28" s="750"/>
      <c r="H28" s="750"/>
      <c r="I28" s="751"/>
      <c r="J28" s="761"/>
      <c r="K28" s="762"/>
      <c r="L28" s="763"/>
      <c r="M28" s="286"/>
      <c r="N28" s="287"/>
      <c r="O28" s="286"/>
      <c r="P28" s="272"/>
      <c r="Q28" s="287"/>
      <c r="R28" s="749"/>
      <c r="S28" s="750"/>
      <c r="T28" s="750"/>
      <c r="U28" s="751"/>
      <c r="V28" s="749">
        <f t="shared" si="0"/>
        <v>0</v>
      </c>
      <c r="W28" s="750"/>
      <c r="X28" s="750"/>
      <c r="Y28" s="751"/>
      <c r="Z28" s="761"/>
      <c r="AA28" s="762"/>
      <c r="AB28" s="763"/>
      <c r="AC28" s="286"/>
      <c r="AD28" s="287"/>
      <c r="AE28" s="286"/>
      <c r="AF28" s="272"/>
      <c r="AG28" s="287"/>
      <c r="AH28" s="749"/>
      <c r="AI28" s="750"/>
      <c r="AJ28" s="750"/>
      <c r="AK28" s="751"/>
      <c r="AL28" s="749">
        <f t="shared" si="1"/>
        <v>0</v>
      </c>
      <c r="AM28" s="750"/>
      <c r="AN28" s="750"/>
      <c r="AO28" s="751"/>
    </row>
    <row r="29" spans="1:41" ht="12.75" customHeight="1" x14ac:dyDescent="0.2">
      <c r="A29" s="764"/>
      <c r="B29" s="765"/>
      <c r="C29" s="765"/>
      <c r="D29" s="765"/>
      <c r="E29" s="766"/>
      <c r="F29" s="749"/>
      <c r="G29" s="750"/>
      <c r="H29" s="750"/>
      <c r="I29" s="751"/>
      <c r="J29" s="761"/>
      <c r="K29" s="762"/>
      <c r="L29" s="763"/>
      <c r="M29" s="286"/>
      <c r="N29" s="287"/>
      <c r="O29" s="286"/>
      <c r="P29" s="272"/>
      <c r="Q29" s="287"/>
      <c r="R29" s="749"/>
      <c r="S29" s="750"/>
      <c r="T29" s="750"/>
      <c r="U29" s="751"/>
      <c r="V29" s="749">
        <f t="shared" si="0"/>
        <v>0</v>
      </c>
      <c r="W29" s="750"/>
      <c r="X29" s="750"/>
      <c r="Y29" s="751"/>
      <c r="Z29" s="761"/>
      <c r="AA29" s="762"/>
      <c r="AB29" s="763"/>
      <c r="AC29" s="286"/>
      <c r="AD29" s="287"/>
      <c r="AE29" s="286"/>
      <c r="AF29" s="272"/>
      <c r="AG29" s="287"/>
      <c r="AH29" s="749"/>
      <c r="AI29" s="750"/>
      <c r="AJ29" s="750"/>
      <c r="AK29" s="751"/>
      <c r="AL29" s="749">
        <f t="shared" si="1"/>
        <v>0</v>
      </c>
      <c r="AM29" s="750"/>
      <c r="AN29" s="750"/>
      <c r="AO29" s="751"/>
    </row>
    <row r="30" spans="1:41" ht="12.75" customHeight="1" x14ac:dyDescent="0.2">
      <c r="A30" s="779"/>
      <c r="B30" s="780"/>
      <c r="C30" s="780"/>
      <c r="D30" s="780"/>
      <c r="E30" s="781"/>
      <c r="F30" s="776"/>
      <c r="G30" s="777"/>
      <c r="H30" s="777"/>
      <c r="I30" s="778"/>
      <c r="J30" s="761"/>
      <c r="K30" s="762"/>
      <c r="L30" s="763"/>
      <c r="M30" s="412"/>
      <c r="N30" s="414"/>
      <c r="O30" s="412"/>
      <c r="P30" s="413"/>
      <c r="Q30" s="414"/>
      <c r="R30" s="776"/>
      <c r="S30" s="777"/>
      <c r="T30" s="777"/>
      <c r="U30" s="778"/>
      <c r="V30" s="776">
        <f t="shared" si="0"/>
        <v>0</v>
      </c>
      <c r="W30" s="777"/>
      <c r="X30" s="777"/>
      <c r="Y30" s="778"/>
      <c r="Z30" s="761"/>
      <c r="AA30" s="762"/>
      <c r="AB30" s="763"/>
      <c r="AC30" s="412"/>
      <c r="AD30" s="414"/>
      <c r="AE30" s="412"/>
      <c r="AF30" s="413"/>
      <c r="AG30" s="414"/>
      <c r="AH30" s="776"/>
      <c r="AI30" s="777"/>
      <c r="AJ30" s="777"/>
      <c r="AK30" s="778"/>
      <c r="AL30" s="776">
        <f t="shared" si="1"/>
        <v>0</v>
      </c>
      <c r="AM30" s="777"/>
      <c r="AN30" s="777"/>
      <c r="AO30" s="778"/>
    </row>
    <row r="31" spans="1:41" ht="12.75" customHeight="1" x14ac:dyDescent="0.2">
      <c r="A31" s="767" t="s">
        <v>204</v>
      </c>
      <c r="B31" s="370"/>
      <c r="C31" s="370"/>
      <c r="D31" s="370"/>
      <c r="E31" s="768"/>
      <c r="F31" s="769"/>
      <c r="G31" s="372"/>
      <c r="H31" s="372"/>
      <c r="I31" s="373"/>
      <c r="J31" s="770"/>
      <c r="K31" s="771"/>
      <c r="L31" s="771"/>
      <c r="M31" s="771"/>
      <c r="N31" s="771"/>
      <c r="O31" s="771"/>
      <c r="P31" s="771"/>
      <c r="Q31" s="771"/>
      <c r="R31" s="771"/>
      <c r="S31" s="771"/>
      <c r="T31" s="771"/>
      <c r="U31" s="772"/>
      <c r="V31" s="773">
        <f>IF(Draft!G20=0,SUM(V17:Y30),Draft!G20)</f>
        <v>1496.05</v>
      </c>
      <c r="W31" s="774"/>
      <c r="X31" s="774"/>
      <c r="Y31" s="775"/>
      <c r="Z31" s="770"/>
      <c r="AA31" s="771"/>
      <c r="AB31" s="771"/>
      <c r="AC31" s="771"/>
      <c r="AD31" s="771"/>
      <c r="AE31" s="771"/>
      <c r="AF31" s="771"/>
      <c r="AG31" s="771"/>
      <c r="AH31" s="771"/>
      <c r="AI31" s="771"/>
      <c r="AJ31" s="771"/>
      <c r="AK31" s="772"/>
      <c r="AL31" s="773">
        <f>IF(Draft!AS20=0,SUM(AL17:AO30),Draft!AS20)</f>
        <v>1478.0409999999999</v>
      </c>
      <c r="AM31" s="774"/>
      <c r="AN31" s="774"/>
      <c r="AO31" s="775"/>
    </row>
    <row r="32" spans="1:41" ht="12.75" customHeight="1" x14ac:dyDescent="0.2">
      <c r="A32" s="23"/>
      <c r="B32" s="29" t="s">
        <v>205</v>
      </c>
      <c r="C32" s="24"/>
      <c r="D32" s="25"/>
      <c r="E32" s="25"/>
      <c r="F32" s="25"/>
      <c r="G32" s="25"/>
      <c r="H32" s="25"/>
      <c r="I32" s="25"/>
      <c r="J32" s="25"/>
      <c r="K32" s="25"/>
      <c r="L32" s="25"/>
      <c r="M32" s="25"/>
      <c r="AF32" s="25"/>
      <c r="AG32" s="25"/>
      <c r="AH32" s="25"/>
      <c r="AI32" s="25"/>
      <c r="AJ32" s="25"/>
      <c r="AK32" s="25"/>
      <c r="AL32" s="25"/>
      <c r="AO32" s="27"/>
    </row>
    <row r="33" spans="1:41" ht="12.75" customHeight="1" x14ac:dyDescent="0.2">
      <c r="A33" s="8"/>
      <c r="B33" s="15"/>
      <c r="C33" s="15"/>
      <c r="D33" s="16"/>
      <c r="E33" s="16"/>
      <c r="F33" s="16"/>
      <c r="G33" s="16"/>
      <c r="H33" s="16"/>
      <c r="I33" s="16"/>
      <c r="J33" s="16"/>
      <c r="K33" s="16"/>
      <c r="L33" s="16"/>
      <c r="M33" s="16"/>
      <c r="AF33" s="16"/>
      <c r="AG33" s="16"/>
      <c r="AH33" s="16"/>
      <c r="AI33" s="16"/>
      <c r="AJ33" s="16"/>
      <c r="AK33" s="16"/>
      <c r="AL33" s="16"/>
      <c r="AO33" s="20"/>
    </row>
    <row r="34" spans="1:41" ht="12.75" customHeight="1" x14ac:dyDescent="0.2">
      <c r="A34" s="757"/>
      <c r="B34" s="322"/>
      <c r="C34" s="322"/>
      <c r="D34" s="322"/>
      <c r="E34" s="323"/>
      <c r="F34" s="754"/>
      <c r="G34" s="755"/>
      <c r="H34" s="755"/>
      <c r="I34" s="756"/>
      <c r="J34" s="758"/>
      <c r="K34" s="759"/>
      <c r="L34" s="760"/>
      <c r="M34" s="398"/>
      <c r="N34" s="400"/>
      <c r="O34" s="398"/>
      <c r="P34" s="399"/>
      <c r="Q34" s="400"/>
      <c r="R34" s="754"/>
      <c r="S34" s="755"/>
      <c r="T34" s="755"/>
      <c r="U34" s="756"/>
      <c r="V34" s="754">
        <f t="shared" ref="V34:V39" si="2">ROUND(R34*(O34-(0.00065*(M34-15))),2)</f>
        <v>0</v>
      </c>
      <c r="W34" s="755"/>
      <c r="X34" s="755"/>
      <c r="Y34" s="756"/>
      <c r="Z34" s="758"/>
      <c r="AA34" s="759"/>
      <c r="AB34" s="760"/>
      <c r="AC34" s="398"/>
      <c r="AD34" s="400"/>
      <c r="AE34" s="398"/>
      <c r="AF34" s="399"/>
      <c r="AG34" s="400"/>
      <c r="AH34" s="754"/>
      <c r="AI34" s="755"/>
      <c r="AJ34" s="755"/>
      <c r="AK34" s="756"/>
      <c r="AL34" s="754">
        <f t="shared" ref="AL34:AL39" si="3">ROUND(AH34*(AE34-(0.00065*(AC34-15))),2)</f>
        <v>0</v>
      </c>
      <c r="AM34" s="755"/>
      <c r="AN34" s="755"/>
      <c r="AO34" s="756"/>
    </row>
    <row r="35" spans="1:41" ht="12.75" customHeight="1" x14ac:dyDescent="0.2">
      <c r="A35" s="764"/>
      <c r="B35" s="765"/>
      <c r="C35" s="765"/>
      <c r="D35" s="765"/>
      <c r="E35" s="766"/>
      <c r="F35" s="749"/>
      <c r="G35" s="750"/>
      <c r="H35" s="750"/>
      <c r="I35" s="751"/>
      <c r="J35" s="761"/>
      <c r="K35" s="762"/>
      <c r="L35" s="763"/>
      <c r="M35" s="286"/>
      <c r="N35" s="287"/>
      <c r="O35" s="286"/>
      <c r="P35" s="272"/>
      <c r="Q35" s="287"/>
      <c r="R35" s="749"/>
      <c r="S35" s="750"/>
      <c r="T35" s="750"/>
      <c r="U35" s="751"/>
      <c r="V35" s="749">
        <f t="shared" si="2"/>
        <v>0</v>
      </c>
      <c r="W35" s="750"/>
      <c r="X35" s="750"/>
      <c r="Y35" s="751"/>
      <c r="Z35" s="761"/>
      <c r="AA35" s="762"/>
      <c r="AB35" s="763"/>
      <c r="AC35" s="286"/>
      <c r="AD35" s="287"/>
      <c r="AE35" s="286"/>
      <c r="AF35" s="272"/>
      <c r="AG35" s="287"/>
      <c r="AH35" s="749"/>
      <c r="AI35" s="750"/>
      <c r="AJ35" s="750"/>
      <c r="AK35" s="751"/>
      <c r="AL35" s="749">
        <f t="shared" si="3"/>
        <v>0</v>
      </c>
      <c r="AM35" s="750"/>
      <c r="AN35" s="750"/>
      <c r="AO35" s="751"/>
    </row>
    <row r="36" spans="1:41" ht="12.75" customHeight="1" x14ac:dyDescent="0.2">
      <c r="A36" s="764"/>
      <c r="B36" s="765"/>
      <c r="C36" s="765"/>
      <c r="D36" s="765"/>
      <c r="E36" s="766"/>
      <c r="F36" s="749"/>
      <c r="G36" s="750"/>
      <c r="H36" s="750"/>
      <c r="I36" s="751"/>
      <c r="J36" s="761"/>
      <c r="K36" s="762"/>
      <c r="L36" s="763"/>
      <c r="M36" s="286"/>
      <c r="N36" s="287"/>
      <c r="O36" s="286"/>
      <c r="P36" s="272"/>
      <c r="Q36" s="287"/>
      <c r="R36" s="749"/>
      <c r="S36" s="750"/>
      <c r="T36" s="750"/>
      <c r="U36" s="751"/>
      <c r="V36" s="749">
        <f t="shared" si="2"/>
        <v>0</v>
      </c>
      <c r="W36" s="750"/>
      <c r="X36" s="750"/>
      <c r="Y36" s="751"/>
      <c r="Z36" s="761"/>
      <c r="AA36" s="762"/>
      <c r="AB36" s="763"/>
      <c r="AC36" s="286"/>
      <c r="AD36" s="287"/>
      <c r="AE36" s="286"/>
      <c r="AF36" s="272"/>
      <c r="AG36" s="287"/>
      <c r="AH36" s="749"/>
      <c r="AI36" s="750"/>
      <c r="AJ36" s="750"/>
      <c r="AK36" s="751"/>
      <c r="AL36" s="749">
        <f t="shared" si="3"/>
        <v>0</v>
      </c>
      <c r="AM36" s="750"/>
      <c r="AN36" s="750"/>
      <c r="AO36" s="751"/>
    </row>
    <row r="37" spans="1:41" ht="12.75" customHeight="1" x14ac:dyDescent="0.2">
      <c r="A37" s="764"/>
      <c r="B37" s="765"/>
      <c r="C37" s="765"/>
      <c r="D37" s="765"/>
      <c r="E37" s="766"/>
      <c r="F37" s="749"/>
      <c r="G37" s="750"/>
      <c r="H37" s="750"/>
      <c r="I37" s="751"/>
      <c r="J37" s="761"/>
      <c r="K37" s="762"/>
      <c r="L37" s="763"/>
      <c r="M37" s="286"/>
      <c r="N37" s="287"/>
      <c r="O37" s="286"/>
      <c r="P37" s="272"/>
      <c r="Q37" s="287"/>
      <c r="R37" s="749"/>
      <c r="S37" s="750"/>
      <c r="T37" s="750"/>
      <c r="U37" s="751"/>
      <c r="V37" s="749">
        <f t="shared" si="2"/>
        <v>0</v>
      </c>
      <c r="W37" s="750"/>
      <c r="X37" s="750"/>
      <c r="Y37" s="751"/>
      <c r="Z37" s="761"/>
      <c r="AA37" s="762"/>
      <c r="AB37" s="763"/>
      <c r="AC37" s="286"/>
      <c r="AD37" s="287"/>
      <c r="AE37" s="286"/>
      <c r="AF37" s="272"/>
      <c r="AG37" s="287"/>
      <c r="AH37" s="749"/>
      <c r="AI37" s="750"/>
      <c r="AJ37" s="750"/>
      <c r="AK37" s="751"/>
      <c r="AL37" s="749">
        <f t="shared" si="3"/>
        <v>0</v>
      </c>
      <c r="AM37" s="750"/>
      <c r="AN37" s="750"/>
      <c r="AO37" s="751"/>
    </row>
    <row r="38" spans="1:41" ht="12.75" customHeight="1" x14ac:dyDescent="0.2">
      <c r="A38" s="764"/>
      <c r="B38" s="765"/>
      <c r="C38" s="765"/>
      <c r="D38" s="765"/>
      <c r="E38" s="766"/>
      <c r="F38" s="749"/>
      <c r="G38" s="750"/>
      <c r="H38" s="750"/>
      <c r="I38" s="751"/>
      <c r="J38" s="761"/>
      <c r="K38" s="762"/>
      <c r="L38" s="763"/>
      <c r="M38" s="286"/>
      <c r="N38" s="287"/>
      <c r="O38" s="286"/>
      <c r="P38" s="272"/>
      <c r="Q38" s="287"/>
      <c r="R38" s="749"/>
      <c r="S38" s="750"/>
      <c r="T38" s="750"/>
      <c r="U38" s="751"/>
      <c r="V38" s="749">
        <f t="shared" si="2"/>
        <v>0</v>
      </c>
      <c r="W38" s="750"/>
      <c r="X38" s="750"/>
      <c r="Y38" s="751"/>
      <c r="Z38" s="761"/>
      <c r="AA38" s="762"/>
      <c r="AB38" s="763"/>
      <c r="AC38" s="286"/>
      <c r="AD38" s="287"/>
      <c r="AE38" s="286"/>
      <c r="AF38" s="272"/>
      <c r="AG38" s="287"/>
      <c r="AH38" s="749"/>
      <c r="AI38" s="750"/>
      <c r="AJ38" s="750"/>
      <c r="AK38" s="751"/>
      <c r="AL38" s="749">
        <f t="shared" si="3"/>
        <v>0</v>
      </c>
      <c r="AM38" s="750"/>
      <c r="AN38" s="750"/>
      <c r="AO38" s="751"/>
    </row>
    <row r="39" spans="1:41" ht="12.75" customHeight="1" x14ac:dyDescent="0.2">
      <c r="A39" s="779"/>
      <c r="B39" s="780"/>
      <c r="C39" s="780"/>
      <c r="D39" s="780"/>
      <c r="E39" s="781"/>
      <c r="F39" s="749"/>
      <c r="G39" s="750"/>
      <c r="H39" s="750"/>
      <c r="I39" s="751"/>
      <c r="J39" s="761"/>
      <c r="K39" s="762"/>
      <c r="L39" s="763"/>
      <c r="M39" s="286"/>
      <c r="N39" s="287"/>
      <c r="O39" s="286"/>
      <c r="P39" s="272"/>
      <c r="Q39" s="287"/>
      <c r="R39" s="749"/>
      <c r="S39" s="750"/>
      <c r="T39" s="750"/>
      <c r="U39" s="751"/>
      <c r="V39" s="776">
        <f t="shared" si="2"/>
        <v>0</v>
      </c>
      <c r="W39" s="777"/>
      <c r="X39" s="777"/>
      <c r="Y39" s="778"/>
      <c r="Z39" s="761"/>
      <c r="AA39" s="762"/>
      <c r="AB39" s="763"/>
      <c r="AC39" s="286"/>
      <c r="AD39" s="287"/>
      <c r="AE39" s="286"/>
      <c r="AF39" s="272"/>
      <c r="AG39" s="287"/>
      <c r="AH39" s="749"/>
      <c r="AI39" s="750"/>
      <c r="AJ39" s="750"/>
      <c r="AK39" s="751"/>
      <c r="AL39" s="776">
        <f t="shared" si="3"/>
        <v>0</v>
      </c>
      <c r="AM39" s="777"/>
      <c r="AN39" s="777"/>
      <c r="AO39" s="778"/>
    </row>
    <row r="40" spans="1:41" ht="12.75" customHeight="1" x14ac:dyDescent="0.2">
      <c r="A40" s="767" t="s">
        <v>206</v>
      </c>
      <c r="B40" s="370"/>
      <c r="C40" s="370"/>
      <c r="D40" s="370"/>
      <c r="E40" s="768"/>
      <c r="F40" s="769"/>
      <c r="G40" s="372"/>
      <c r="H40" s="372"/>
      <c r="I40" s="373"/>
      <c r="J40" s="770"/>
      <c r="K40" s="771"/>
      <c r="L40" s="771"/>
      <c r="M40" s="771"/>
      <c r="N40" s="771"/>
      <c r="O40" s="771"/>
      <c r="P40" s="771"/>
      <c r="Q40" s="771"/>
      <c r="R40" s="771"/>
      <c r="S40" s="771"/>
      <c r="T40" s="771"/>
      <c r="U40" s="772"/>
      <c r="V40" s="773">
        <f>IF(Draft!G21=0,SUM(V34:Y39),Draft!G21)</f>
        <v>156.43</v>
      </c>
      <c r="W40" s="774"/>
      <c r="X40" s="774"/>
      <c r="Y40" s="775"/>
      <c r="Z40" s="770"/>
      <c r="AA40" s="771"/>
      <c r="AB40" s="771"/>
      <c r="AC40" s="771"/>
      <c r="AD40" s="771"/>
      <c r="AE40" s="771"/>
      <c r="AF40" s="771"/>
      <c r="AG40" s="771"/>
      <c r="AH40" s="771"/>
      <c r="AI40" s="771"/>
      <c r="AJ40" s="771"/>
      <c r="AK40" s="772"/>
      <c r="AL40" s="773">
        <f>IF(Draft!AS21=0,SUM(AL34:AO39),Draft!AS21)</f>
        <v>156.03</v>
      </c>
      <c r="AM40" s="774"/>
      <c r="AN40" s="774"/>
      <c r="AO40" s="775"/>
    </row>
    <row r="41" spans="1:41" ht="8.25" customHeight="1" x14ac:dyDescent="0.2">
      <c r="A41" s="363"/>
      <c r="B41" s="364"/>
      <c r="C41" s="364"/>
      <c r="D41" s="364"/>
      <c r="E41" s="364"/>
      <c r="F41" s="364"/>
      <c r="G41" s="364"/>
      <c r="H41" s="364"/>
      <c r="I41" s="364"/>
      <c r="J41" s="364"/>
      <c r="K41" s="364"/>
      <c r="L41" s="364"/>
      <c r="M41" s="364"/>
      <c r="N41" s="364"/>
      <c r="O41" s="364"/>
      <c r="P41" s="364"/>
      <c r="Q41" s="364"/>
      <c r="R41" s="364"/>
      <c r="S41" s="364"/>
      <c r="T41" s="364"/>
      <c r="U41" s="364"/>
      <c r="V41" s="364"/>
      <c r="W41" s="364"/>
      <c r="X41" s="364"/>
      <c r="Y41" s="364"/>
      <c r="Z41" s="364"/>
      <c r="AA41" s="364"/>
      <c r="AB41" s="364"/>
      <c r="AC41" s="364"/>
      <c r="AD41" s="364"/>
      <c r="AE41" s="364"/>
      <c r="AF41" s="364"/>
      <c r="AG41" s="364"/>
      <c r="AH41" s="364"/>
      <c r="AI41" s="364"/>
      <c r="AJ41" s="364"/>
      <c r="AK41" s="364"/>
      <c r="AL41" s="364"/>
      <c r="AM41" s="364"/>
      <c r="AN41" s="364"/>
      <c r="AO41" s="365"/>
    </row>
    <row r="42" spans="1:41" ht="12" customHeight="1" x14ac:dyDescent="0.2">
      <c r="A42" s="353" t="s">
        <v>207</v>
      </c>
      <c r="B42" s="354"/>
      <c r="C42" s="354"/>
      <c r="D42" s="354"/>
      <c r="E42" s="354"/>
      <c r="F42" s="354"/>
      <c r="G42" s="354"/>
      <c r="H42" s="354"/>
      <c r="I42" s="354"/>
      <c r="J42" s="354"/>
      <c r="K42" s="354"/>
      <c r="L42" s="354"/>
      <c r="M42" s="354"/>
      <c r="N42" s="354"/>
      <c r="O42" s="354"/>
      <c r="P42" s="354"/>
      <c r="Q42" s="354"/>
      <c r="R42" s="354"/>
      <c r="S42" s="354"/>
      <c r="T42" s="354"/>
      <c r="U42" s="354"/>
      <c r="V42" s="354"/>
      <c r="W42" s="354"/>
      <c r="X42" s="354"/>
      <c r="Y42" s="354"/>
      <c r="Z42" s="354"/>
      <c r="AA42" s="354"/>
      <c r="AB42" s="354"/>
      <c r="AC42" s="354"/>
      <c r="AD42" s="354"/>
      <c r="AE42" s="354"/>
      <c r="AF42" s="354"/>
      <c r="AG42" s="354"/>
      <c r="AH42" s="354"/>
      <c r="AI42" s="354"/>
      <c r="AJ42" s="354"/>
      <c r="AK42" s="354"/>
      <c r="AL42" s="354"/>
      <c r="AM42" s="354"/>
      <c r="AN42" s="354"/>
      <c r="AO42" s="355"/>
    </row>
    <row r="43" spans="1:41" ht="12.75" customHeight="1" x14ac:dyDescent="0.2">
      <c r="A43" s="6"/>
      <c r="B43" s="11"/>
      <c r="C43" s="13"/>
      <c r="D43" s="13"/>
      <c r="E43" s="13"/>
      <c r="F43" s="13"/>
      <c r="G43" s="13"/>
      <c r="H43" s="13"/>
      <c r="I43" s="13"/>
      <c r="J43" s="11"/>
      <c r="K43" s="12"/>
      <c r="L43" s="12"/>
      <c r="M43" s="12"/>
      <c r="N43" s="335" t="s">
        <v>31</v>
      </c>
      <c r="O43" s="335"/>
      <c r="P43" s="335"/>
      <c r="Q43" s="335"/>
      <c r="R43" s="335"/>
      <c r="S43" s="335"/>
      <c r="T43" s="335"/>
      <c r="U43" s="335"/>
      <c r="V43" s="335"/>
      <c r="W43" s="335"/>
      <c r="X43" s="335"/>
      <c r="Y43" s="335"/>
      <c r="Z43" s="335" t="s">
        <v>32</v>
      </c>
      <c r="AA43" s="335"/>
      <c r="AB43" s="335"/>
      <c r="AC43" s="335"/>
      <c r="AD43" s="335"/>
      <c r="AE43" s="335"/>
      <c r="AF43" s="335"/>
      <c r="AG43" s="335"/>
      <c r="AH43" s="335"/>
      <c r="AI43" s="335"/>
      <c r="AJ43" s="335"/>
      <c r="AK43" s="335"/>
      <c r="AL43" s="13"/>
      <c r="AM43" s="12"/>
      <c r="AN43" s="12"/>
      <c r="AO43" s="14"/>
    </row>
    <row r="44" spans="1:41" ht="12.75" customHeight="1" x14ac:dyDescent="0.2">
      <c r="A44" s="23"/>
      <c r="B44" s="24"/>
      <c r="J44" s="24"/>
      <c r="K44" s="25"/>
      <c r="L44" s="25"/>
      <c r="M44" s="25"/>
      <c r="N44" s="378" t="s">
        <v>76</v>
      </c>
      <c r="O44" s="378"/>
      <c r="P44" s="378"/>
      <c r="Q44" s="378"/>
      <c r="R44" s="378"/>
      <c r="S44" s="378"/>
      <c r="T44" s="378"/>
      <c r="U44" s="378"/>
      <c r="V44" s="378"/>
      <c r="W44" s="378"/>
      <c r="X44" s="378"/>
      <c r="Y44" s="378"/>
      <c r="Z44" s="378" t="s">
        <v>76</v>
      </c>
      <c r="AA44" s="378"/>
      <c r="AB44" s="378"/>
      <c r="AC44" s="378"/>
      <c r="AD44" s="378"/>
      <c r="AE44" s="378"/>
      <c r="AF44" s="378"/>
      <c r="AG44" s="378"/>
      <c r="AH44" s="378"/>
      <c r="AI44" s="378"/>
      <c r="AJ44" s="378"/>
      <c r="AK44" s="378"/>
      <c r="AM44" s="25"/>
      <c r="AN44" s="25"/>
      <c r="AO44" s="27"/>
    </row>
    <row r="45" spans="1:41" ht="12.75" customHeight="1" x14ac:dyDescent="0.2">
      <c r="A45" s="407" t="s">
        <v>208</v>
      </c>
      <c r="B45" s="408"/>
      <c r="C45" s="408"/>
      <c r="D45" s="408"/>
      <c r="E45" s="408"/>
      <c r="F45" s="408"/>
      <c r="G45" s="408"/>
      <c r="H45" s="408"/>
      <c r="I45" s="408"/>
      <c r="J45" s="408"/>
      <c r="K45" s="408"/>
      <c r="L45" s="408"/>
      <c r="M45" s="408"/>
      <c r="N45" s="782"/>
      <c r="O45" s="783">
        <f>+Draft!G18</f>
        <v>120.41</v>
      </c>
      <c r="P45" s="784"/>
      <c r="Q45" s="784"/>
      <c r="R45" s="784"/>
      <c r="S45" s="784"/>
      <c r="T45" s="784"/>
      <c r="U45" s="784"/>
      <c r="V45" s="784"/>
      <c r="W45" s="784"/>
      <c r="X45" s="82"/>
      <c r="Y45" s="286"/>
      <c r="Z45" s="287"/>
      <c r="AA45" s="783">
        <f>+Draft!AS18</f>
        <v>16346.655339999999</v>
      </c>
      <c r="AB45" s="784"/>
      <c r="AC45" s="784"/>
      <c r="AD45" s="784"/>
      <c r="AE45" s="784"/>
      <c r="AF45" s="784"/>
      <c r="AG45" s="784"/>
      <c r="AH45" s="784"/>
      <c r="AI45" s="784"/>
      <c r="AJ45" s="82"/>
      <c r="AK45" s="286"/>
      <c r="AL45" s="272"/>
      <c r="AM45" s="272"/>
      <c r="AN45" s="272"/>
      <c r="AO45" s="287"/>
    </row>
    <row r="46" spans="1:41" ht="12.75" customHeight="1" x14ac:dyDescent="0.2">
      <c r="A46" s="407" t="s">
        <v>209</v>
      </c>
      <c r="B46" s="408"/>
      <c r="C46" s="408"/>
      <c r="D46" s="408"/>
      <c r="E46" s="408"/>
      <c r="F46" s="408"/>
      <c r="G46" s="408"/>
      <c r="H46" s="408"/>
      <c r="I46" s="408"/>
      <c r="J46" s="408"/>
      <c r="K46" s="408"/>
      <c r="L46" s="408"/>
      <c r="M46" s="408"/>
      <c r="N46" s="782"/>
      <c r="O46" s="783">
        <f>+Draft!G19</f>
        <v>144</v>
      </c>
      <c r="P46" s="784"/>
      <c r="Q46" s="784"/>
      <c r="R46" s="784"/>
      <c r="S46" s="784"/>
      <c r="T46" s="784"/>
      <c r="U46" s="784"/>
      <c r="V46" s="784"/>
      <c r="W46" s="784"/>
      <c r="X46" s="82"/>
      <c r="Y46" s="286"/>
      <c r="Z46" s="287"/>
      <c r="AA46" s="783">
        <f>+Draft!AS19</f>
        <v>219</v>
      </c>
      <c r="AB46" s="784"/>
      <c r="AC46" s="784"/>
      <c r="AD46" s="784"/>
      <c r="AE46" s="784"/>
      <c r="AF46" s="784"/>
      <c r="AG46" s="784"/>
      <c r="AH46" s="784"/>
      <c r="AI46" s="784"/>
      <c r="AJ46" s="82"/>
      <c r="AK46" s="286"/>
      <c r="AL46" s="272"/>
      <c r="AM46" s="272"/>
      <c r="AN46" s="272"/>
      <c r="AO46" s="287"/>
    </row>
    <row r="47" spans="1:41" ht="12.75" customHeight="1" x14ac:dyDescent="0.2">
      <c r="A47" s="407" t="s">
        <v>210</v>
      </c>
      <c r="B47" s="408"/>
      <c r="C47" s="408"/>
      <c r="D47" s="408"/>
      <c r="E47" s="408"/>
      <c r="F47" s="408"/>
      <c r="G47" s="408"/>
      <c r="H47" s="408"/>
      <c r="I47" s="408"/>
      <c r="J47" s="408"/>
      <c r="K47" s="408"/>
      <c r="L47" s="408"/>
      <c r="M47" s="408"/>
      <c r="N47" s="782"/>
      <c r="O47" s="783">
        <f>+Draft!G20</f>
        <v>1496.05</v>
      </c>
      <c r="P47" s="784"/>
      <c r="Q47" s="784"/>
      <c r="R47" s="784"/>
      <c r="S47" s="784"/>
      <c r="T47" s="784"/>
      <c r="U47" s="784"/>
      <c r="V47" s="784"/>
      <c r="W47" s="784"/>
      <c r="X47" s="82"/>
      <c r="Y47" s="286"/>
      <c r="Z47" s="287"/>
      <c r="AA47" s="783">
        <f>+Draft!AS20</f>
        <v>1478.0409999999999</v>
      </c>
      <c r="AB47" s="784"/>
      <c r="AC47" s="784"/>
      <c r="AD47" s="784"/>
      <c r="AE47" s="784"/>
      <c r="AF47" s="784"/>
      <c r="AG47" s="784"/>
      <c r="AH47" s="784"/>
      <c r="AI47" s="784"/>
      <c r="AJ47" s="82"/>
      <c r="AK47" s="286"/>
      <c r="AL47" s="272"/>
      <c r="AM47" s="272"/>
      <c r="AN47" s="272"/>
      <c r="AO47" s="287"/>
    </row>
    <row r="48" spans="1:41" ht="12.75" customHeight="1" x14ac:dyDescent="0.2">
      <c r="A48" s="407" t="s">
        <v>211</v>
      </c>
      <c r="B48" s="408"/>
      <c r="C48" s="408"/>
      <c r="D48" s="408"/>
      <c r="E48" s="408"/>
      <c r="F48" s="408"/>
      <c r="G48" s="408"/>
      <c r="H48" s="408"/>
      <c r="I48" s="408"/>
      <c r="J48" s="408"/>
      <c r="K48" s="408"/>
      <c r="L48" s="408"/>
      <c r="M48" s="408"/>
      <c r="N48" s="782"/>
      <c r="O48" s="783">
        <f>+Draft!G21</f>
        <v>156.43</v>
      </c>
      <c r="P48" s="784"/>
      <c r="Q48" s="784"/>
      <c r="R48" s="784"/>
      <c r="S48" s="784"/>
      <c r="T48" s="784"/>
      <c r="U48" s="784"/>
      <c r="V48" s="784"/>
      <c r="W48" s="784"/>
      <c r="X48" s="82"/>
      <c r="Y48" s="286"/>
      <c r="Z48" s="287"/>
      <c r="AA48" s="783">
        <f>+Draft!AS21</f>
        <v>156.03</v>
      </c>
      <c r="AB48" s="784"/>
      <c r="AC48" s="784"/>
      <c r="AD48" s="784"/>
      <c r="AE48" s="784"/>
      <c r="AF48" s="784"/>
      <c r="AG48" s="784"/>
      <c r="AH48" s="784"/>
      <c r="AI48" s="784"/>
      <c r="AJ48" s="82"/>
      <c r="AK48" s="286"/>
      <c r="AL48" s="272"/>
      <c r="AM48" s="272"/>
      <c r="AN48" s="272"/>
      <c r="AO48" s="287"/>
    </row>
    <row r="49" spans="1:41" ht="12.75" customHeight="1" x14ac:dyDescent="0.2">
      <c r="A49" s="407" t="s">
        <v>212</v>
      </c>
      <c r="B49" s="408"/>
      <c r="C49" s="408"/>
      <c r="D49" s="408"/>
      <c r="E49" s="408"/>
      <c r="F49" s="408"/>
      <c r="G49" s="408"/>
      <c r="H49" s="408"/>
      <c r="I49" s="408"/>
      <c r="J49" s="408"/>
      <c r="K49" s="408"/>
      <c r="L49" s="408"/>
      <c r="M49" s="408"/>
      <c r="N49" s="782"/>
      <c r="O49" s="783">
        <f>+Draft!G22</f>
        <v>0</v>
      </c>
      <c r="P49" s="784"/>
      <c r="Q49" s="784"/>
      <c r="R49" s="784"/>
      <c r="S49" s="784"/>
      <c r="T49" s="784"/>
      <c r="U49" s="784"/>
      <c r="V49" s="784"/>
      <c r="W49" s="784"/>
      <c r="X49" s="82"/>
      <c r="Y49" s="286"/>
      <c r="Z49" s="287"/>
      <c r="AA49" s="783">
        <f>+Draft!AS22</f>
        <v>0</v>
      </c>
      <c r="AB49" s="784"/>
      <c r="AC49" s="784"/>
      <c r="AD49" s="784"/>
      <c r="AE49" s="784"/>
      <c r="AF49" s="784"/>
      <c r="AG49" s="784"/>
      <c r="AH49" s="784"/>
      <c r="AI49" s="784"/>
      <c r="AJ49" s="82"/>
      <c r="AK49" s="286"/>
      <c r="AL49" s="272"/>
      <c r="AM49" s="272"/>
      <c r="AN49" s="272"/>
      <c r="AO49" s="287"/>
    </row>
    <row r="50" spans="1:41" ht="12.75" customHeight="1" x14ac:dyDescent="0.2">
      <c r="A50" s="407" t="s">
        <v>213</v>
      </c>
      <c r="B50" s="408"/>
      <c r="C50" s="408"/>
      <c r="D50" s="408"/>
      <c r="E50" s="408"/>
      <c r="F50" s="408"/>
      <c r="G50" s="408"/>
      <c r="H50" s="408"/>
      <c r="I50" s="408"/>
      <c r="J50" s="408"/>
      <c r="K50" s="408"/>
      <c r="L50" s="408"/>
      <c r="M50" s="408"/>
      <c r="N50" s="782"/>
      <c r="O50" s="783">
        <f>+Draft!G23</f>
        <v>0</v>
      </c>
      <c r="P50" s="784"/>
      <c r="Q50" s="784"/>
      <c r="R50" s="784"/>
      <c r="S50" s="784"/>
      <c r="T50" s="784"/>
      <c r="U50" s="784"/>
      <c r="V50" s="784"/>
      <c r="W50" s="784"/>
      <c r="X50" s="82"/>
      <c r="Y50" s="286"/>
      <c r="Z50" s="287"/>
      <c r="AA50" s="783">
        <f>+Draft!AS23</f>
        <v>0</v>
      </c>
      <c r="AB50" s="784"/>
      <c r="AC50" s="784"/>
      <c r="AD50" s="784"/>
      <c r="AE50" s="784"/>
      <c r="AF50" s="784"/>
      <c r="AG50" s="784"/>
      <c r="AH50" s="784"/>
      <c r="AI50" s="784"/>
      <c r="AJ50" s="82"/>
      <c r="AK50" s="286"/>
      <c r="AL50" s="272"/>
      <c r="AM50" s="272"/>
      <c r="AN50" s="272"/>
      <c r="AO50" s="287"/>
    </row>
    <row r="51" spans="1:41" ht="12.75" customHeight="1" x14ac:dyDescent="0.2">
      <c r="A51" s="407" t="s">
        <v>214</v>
      </c>
      <c r="B51" s="408"/>
      <c r="C51" s="408"/>
      <c r="D51" s="408"/>
      <c r="E51" s="408"/>
      <c r="F51" s="408"/>
      <c r="G51" s="408"/>
      <c r="H51" s="408"/>
      <c r="I51" s="408"/>
      <c r="J51" s="408"/>
      <c r="K51" s="408"/>
      <c r="L51" s="408"/>
      <c r="M51" s="408"/>
      <c r="N51" s="782"/>
      <c r="O51" s="783">
        <f>+Draft!G24</f>
        <v>0</v>
      </c>
      <c r="P51" s="784"/>
      <c r="Q51" s="784"/>
      <c r="R51" s="784"/>
      <c r="S51" s="784"/>
      <c r="T51" s="784"/>
      <c r="U51" s="784"/>
      <c r="V51" s="784"/>
      <c r="W51" s="784"/>
      <c r="X51" s="82"/>
      <c r="Y51" s="286"/>
      <c r="Z51" s="287"/>
      <c r="AA51" s="783">
        <f>+Draft!AS24</f>
        <v>0</v>
      </c>
      <c r="AB51" s="784"/>
      <c r="AC51" s="784"/>
      <c r="AD51" s="784"/>
      <c r="AE51" s="784"/>
      <c r="AF51" s="784"/>
      <c r="AG51" s="784"/>
      <c r="AH51" s="784"/>
      <c r="AI51" s="784"/>
      <c r="AJ51" s="82"/>
      <c r="AK51" s="286"/>
      <c r="AL51" s="272"/>
      <c r="AM51" s="272"/>
      <c r="AN51" s="272"/>
      <c r="AO51" s="287"/>
    </row>
    <row r="52" spans="1:41" ht="12.75" customHeight="1" x14ac:dyDescent="0.2">
      <c r="A52" s="407" t="s">
        <v>215</v>
      </c>
      <c r="B52" s="408"/>
      <c r="C52" s="408"/>
      <c r="D52" s="408"/>
      <c r="E52" s="408"/>
      <c r="F52" s="408"/>
      <c r="G52" s="408"/>
      <c r="H52" s="408"/>
      <c r="I52" s="408"/>
      <c r="J52" s="408"/>
      <c r="K52" s="408"/>
      <c r="L52" s="408"/>
      <c r="M52" s="408"/>
      <c r="N52" s="782"/>
      <c r="O52" s="783">
        <f>+Draft!G25</f>
        <v>0</v>
      </c>
      <c r="P52" s="784"/>
      <c r="Q52" s="784"/>
      <c r="R52" s="784"/>
      <c r="S52" s="784"/>
      <c r="T52" s="784"/>
      <c r="U52" s="784"/>
      <c r="V52" s="784"/>
      <c r="W52" s="784"/>
      <c r="X52" s="82"/>
      <c r="Y52" s="286"/>
      <c r="Z52" s="287"/>
      <c r="AA52" s="783">
        <f>+Draft!AS25</f>
        <v>0</v>
      </c>
      <c r="AB52" s="784"/>
      <c r="AC52" s="784"/>
      <c r="AD52" s="784"/>
      <c r="AE52" s="784"/>
      <c r="AF52" s="784"/>
      <c r="AG52" s="784"/>
      <c r="AH52" s="784"/>
      <c r="AI52" s="784"/>
      <c r="AJ52" s="82"/>
      <c r="AK52" s="286"/>
      <c r="AL52" s="272"/>
      <c r="AM52" s="272"/>
      <c r="AN52" s="272"/>
      <c r="AO52" s="287"/>
    </row>
    <row r="53" spans="1:41" ht="12.75" customHeight="1" x14ac:dyDescent="0.2">
      <c r="A53" s="407" t="s">
        <v>216</v>
      </c>
      <c r="B53" s="408"/>
      <c r="C53" s="408"/>
      <c r="D53" s="408"/>
      <c r="E53" s="408"/>
      <c r="F53" s="408"/>
      <c r="G53" s="408"/>
      <c r="H53" s="408"/>
      <c r="I53" s="408"/>
      <c r="J53" s="408"/>
      <c r="K53" s="408"/>
      <c r="L53" s="408"/>
      <c r="M53" s="408"/>
      <c r="N53" s="782"/>
      <c r="O53" s="783"/>
      <c r="P53" s="784"/>
      <c r="Q53" s="784"/>
      <c r="R53" s="784"/>
      <c r="S53" s="784"/>
      <c r="T53" s="784"/>
      <c r="U53" s="784"/>
      <c r="V53" s="784"/>
      <c r="W53" s="784"/>
      <c r="X53" s="82"/>
      <c r="Y53" s="286"/>
      <c r="Z53" s="287"/>
      <c r="AA53" s="783"/>
      <c r="AB53" s="784"/>
      <c r="AC53" s="784"/>
      <c r="AD53" s="784"/>
      <c r="AE53" s="784"/>
      <c r="AF53" s="784"/>
      <c r="AG53" s="784"/>
      <c r="AH53" s="784"/>
      <c r="AI53" s="784"/>
      <c r="AJ53" s="82"/>
      <c r="AK53" s="286"/>
      <c r="AL53" s="272"/>
      <c r="AM53" s="272"/>
      <c r="AN53" s="272"/>
      <c r="AO53" s="287"/>
    </row>
    <row r="54" spans="1:41" ht="12.75" customHeight="1" x14ac:dyDescent="0.2">
      <c r="A54" s="23"/>
      <c r="B54" s="382"/>
      <c r="C54" s="382"/>
      <c r="D54" s="382"/>
      <c r="E54" s="382"/>
      <c r="F54" s="382"/>
      <c r="G54" s="382"/>
      <c r="H54" s="382"/>
      <c r="I54" s="382"/>
      <c r="J54" s="382"/>
      <c r="K54" s="382"/>
      <c r="L54" s="382"/>
      <c r="M54" s="382"/>
      <c r="N54" s="382"/>
      <c r="O54" s="382"/>
      <c r="P54" s="382"/>
      <c r="Q54" s="382"/>
      <c r="R54" s="382"/>
      <c r="S54" s="382"/>
      <c r="T54" s="382"/>
      <c r="U54" s="382"/>
      <c r="V54" s="382"/>
      <c r="W54" s="382"/>
      <c r="X54" s="382"/>
      <c r="Y54" s="382"/>
      <c r="Z54" s="382"/>
      <c r="AA54" s="382"/>
      <c r="AB54" s="382"/>
      <c r="AC54" s="382"/>
      <c r="AD54" s="382"/>
      <c r="AE54" s="382"/>
      <c r="AF54" s="382"/>
      <c r="AG54" s="382"/>
      <c r="AH54" s="382"/>
      <c r="AI54" s="382"/>
      <c r="AJ54" s="382"/>
      <c r="AK54" s="382"/>
      <c r="AL54" s="382"/>
      <c r="AM54" s="382"/>
      <c r="AN54" s="382"/>
      <c r="AO54" s="383"/>
    </row>
    <row r="55" spans="1:41" ht="12.75" customHeight="1" x14ac:dyDescent="0.2">
      <c r="A55" s="407" t="s">
        <v>217</v>
      </c>
      <c r="B55" s="408"/>
      <c r="C55" s="408"/>
      <c r="D55" s="408"/>
      <c r="E55" s="408"/>
      <c r="F55" s="408"/>
      <c r="G55" s="408"/>
      <c r="H55" s="408"/>
      <c r="I55" s="408"/>
      <c r="J55" s="408"/>
      <c r="K55" s="408"/>
      <c r="L55" s="408"/>
      <c r="M55" s="408"/>
      <c r="N55" s="782"/>
      <c r="O55" s="783">
        <f>+Draft!G26</f>
        <v>1916.89</v>
      </c>
      <c r="P55" s="784"/>
      <c r="Q55" s="784"/>
      <c r="R55" s="784"/>
      <c r="S55" s="784"/>
      <c r="T55" s="784"/>
      <c r="U55" s="784"/>
      <c r="V55" s="784"/>
      <c r="W55" s="784"/>
      <c r="X55" s="82"/>
      <c r="Y55" s="286"/>
      <c r="Z55" s="287"/>
      <c r="AA55" s="783">
        <f>+Draft!AS26</f>
        <v>18199.726339999997</v>
      </c>
      <c r="AB55" s="784"/>
      <c r="AC55" s="784"/>
      <c r="AD55" s="784"/>
      <c r="AE55" s="784"/>
      <c r="AF55" s="784"/>
      <c r="AG55" s="784"/>
      <c r="AH55" s="784"/>
      <c r="AI55" s="784"/>
      <c r="AJ55" s="82"/>
      <c r="AK55" s="286"/>
      <c r="AL55" s="272"/>
      <c r="AM55" s="272"/>
      <c r="AN55" s="272"/>
      <c r="AO55" s="287"/>
    </row>
    <row r="56" spans="1:41" ht="12.75" customHeight="1" x14ac:dyDescent="0.2">
      <c r="A56" s="353"/>
      <c r="B56" s="354"/>
      <c r="C56" s="354"/>
      <c r="D56" s="354"/>
      <c r="E56" s="354"/>
      <c r="F56" s="354"/>
      <c r="G56" s="354"/>
      <c r="H56" s="354"/>
      <c r="I56" s="354"/>
      <c r="J56" s="354"/>
      <c r="K56" s="354"/>
      <c r="L56" s="354"/>
      <c r="M56" s="354"/>
      <c r="N56" s="354"/>
      <c r="O56" s="354"/>
      <c r="P56" s="354"/>
      <c r="Q56" s="354"/>
      <c r="R56" s="354"/>
      <c r="S56" s="354"/>
      <c r="T56" s="354"/>
      <c r="U56" s="354"/>
      <c r="V56" s="354"/>
      <c r="W56" s="354"/>
      <c r="X56" s="354"/>
      <c r="Y56" s="354"/>
      <c r="Z56" s="354"/>
      <c r="AA56" s="354"/>
      <c r="AB56" s="354"/>
      <c r="AC56" s="354"/>
      <c r="AD56" s="354"/>
      <c r="AE56" s="354"/>
      <c r="AF56" s="354"/>
      <c r="AG56" s="354"/>
      <c r="AH56" s="354"/>
      <c r="AI56" s="354"/>
      <c r="AJ56" s="354"/>
      <c r="AK56" s="354"/>
      <c r="AL56" s="354"/>
      <c r="AM56" s="354"/>
      <c r="AN56" s="354"/>
      <c r="AO56" s="355"/>
    </row>
    <row r="57" spans="1:41" ht="12.75" customHeight="1" x14ac:dyDescent="0.2">
      <c r="A57" s="364"/>
      <c r="B57" s="364"/>
      <c r="C57" s="364"/>
      <c r="D57" s="364"/>
      <c r="E57" s="364"/>
      <c r="F57" s="364"/>
      <c r="G57" s="364"/>
      <c r="H57" s="364"/>
      <c r="I57" s="364"/>
      <c r="J57" s="364"/>
      <c r="K57" s="364"/>
      <c r="L57" s="364"/>
      <c r="M57" s="364"/>
      <c r="N57" s="364"/>
      <c r="O57" s="364"/>
      <c r="P57" s="364"/>
      <c r="Q57" s="364"/>
      <c r="R57" s="364"/>
      <c r="S57" s="364"/>
      <c r="T57" s="364"/>
      <c r="U57" s="364"/>
      <c r="V57" s="364"/>
      <c r="W57" s="364"/>
      <c r="X57" s="364"/>
      <c r="Y57" s="364"/>
      <c r="Z57" s="364"/>
      <c r="AA57" s="364"/>
      <c r="AB57" s="364"/>
      <c r="AC57" s="364"/>
      <c r="AD57" s="364"/>
      <c r="AE57" s="364"/>
      <c r="AF57" s="364"/>
      <c r="AG57" s="364"/>
      <c r="AH57" s="364"/>
      <c r="AI57" s="364"/>
      <c r="AJ57" s="364"/>
      <c r="AK57" s="364"/>
      <c r="AL57" s="364"/>
      <c r="AM57" s="364"/>
      <c r="AN57" s="364"/>
      <c r="AO57" s="364"/>
    </row>
    <row r="58" spans="1:41" ht="25.5" customHeight="1" x14ac:dyDescent="0.2">
      <c r="A58" s="377"/>
      <c r="B58" s="378"/>
      <c r="C58" s="378"/>
      <c r="D58" s="378"/>
      <c r="E58" s="378"/>
      <c r="F58" s="378"/>
      <c r="G58" s="378"/>
      <c r="H58" s="378"/>
      <c r="I58" s="378"/>
      <c r="J58" s="378"/>
      <c r="K58" s="378"/>
      <c r="L58" s="378"/>
      <c r="M58" s="378"/>
      <c r="N58" s="378"/>
      <c r="O58" s="378"/>
      <c r="P58" s="378"/>
      <c r="Q58" s="378"/>
      <c r="R58" s="378"/>
      <c r="S58" s="378"/>
      <c r="T58" s="378"/>
      <c r="U58" s="378"/>
      <c r="V58" s="378"/>
      <c r="W58" s="378"/>
      <c r="X58" s="378"/>
      <c r="Y58" s="378"/>
      <c r="Z58" s="378"/>
      <c r="AA58" s="378"/>
      <c r="AB58" s="378"/>
      <c r="AC58" s="378"/>
      <c r="AD58" s="378"/>
      <c r="AE58" s="378"/>
      <c r="AF58" s="378"/>
      <c r="AG58" s="378"/>
      <c r="AH58" s="378"/>
      <c r="AI58" s="378"/>
      <c r="AJ58" s="378"/>
      <c r="AK58" s="378"/>
      <c r="AL58" s="378"/>
      <c r="AM58" s="378"/>
      <c r="AN58" s="378"/>
      <c r="AO58" s="378"/>
    </row>
  </sheetData>
  <mergeCells count="367">
    <mergeCell ref="A57:AO57"/>
    <mergeCell ref="A58:AO58"/>
    <mergeCell ref="A55:N55"/>
    <mergeCell ref="O55:W55"/>
    <mergeCell ref="Y55:Z55"/>
    <mergeCell ref="AA55:AI55"/>
    <mergeCell ref="AK55:AO55"/>
    <mergeCell ref="A56:AO56"/>
    <mergeCell ref="A53:N53"/>
    <mergeCell ref="O53:W53"/>
    <mergeCell ref="Y53:Z53"/>
    <mergeCell ref="AA53:AI53"/>
    <mergeCell ref="AK53:AO53"/>
    <mergeCell ref="B54:AO54"/>
    <mergeCell ref="A51:N51"/>
    <mergeCell ref="O51:W51"/>
    <mergeCell ref="Y51:Z51"/>
    <mergeCell ref="AA51:AI51"/>
    <mergeCell ref="AK51:AO51"/>
    <mergeCell ref="A52:N52"/>
    <mergeCell ref="O52:W52"/>
    <mergeCell ref="Y52:Z52"/>
    <mergeCell ref="AA52:AI52"/>
    <mergeCell ref="AK52:AO52"/>
    <mergeCell ref="A49:N49"/>
    <mergeCell ref="O49:W49"/>
    <mergeCell ref="Y49:Z49"/>
    <mergeCell ref="AA49:AI49"/>
    <mergeCell ref="AK49:AO49"/>
    <mergeCell ref="A50:N50"/>
    <mergeCell ref="O50:W50"/>
    <mergeCell ref="Y50:Z50"/>
    <mergeCell ref="AA50:AI50"/>
    <mergeCell ref="AK50:AO50"/>
    <mergeCell ref="A47:N47"/>
    <mergeCell ref="O47:W47"/>
    <mergeCell ref="Y47:Z47"/>
    <mergeCell ref="AA47:AI47"/>
    <mergeCell ref="AK47:AO47"/>
    <mergeCell ref="A48:N48"/>
    <mergeCell ref="O48:W48"/>
    <mergeCell ref="Y48:Z48"/>
    <mergeCell ref="AA48:AI48"/>
    <mergeCell ref="AK48:AO48"/>
    <mergeCell ref="A45:N45"/>
    <mergeCell ref="O45:W45"/>
    <mergeCell ref="Y45:Z45"/>
    <mergeCell ref="AA45:AI45"/>
    <mergeCell ref="AK45:AO45"/>
    <mergeCell ref="A46:N46"/>
    <mergeCell ref="O46:W46"/>
    <mergeCell ref="Y46:Z46"/>
    <mergeCell ref="AA46:AI46"/>
    <mergeCell ref="AK46:AO46"/>
    <mergeCell ref="A41:AO41"/>
    <mergeCell ref="A42:AO42"/>
    <mergeCell ref="N43:Y43"/>
    <mergeCell ref="Z43:AK43"/>
    <mergeCell ref="N44:Y44"/>
    <mergeCell ref="Z44:AK44"/>
    <mergeCell ref="A40:E40"/>
    <mergeCell ref="F40:I40"/>
    <mergeCell ref="J40:U40"/>
    <mergeCell ref="V40:Y40"/>
    <mergeCell ref="Z40:AK40"/>
    <mergeCell ref="AL40:AO40"/>
    <mergeCell ref="V39:Y39"/>
    <mergeCell ref="Z39:AB39"/>
    <mergeCell ref="AC39:AD39"/>
    <mergeCell ref="AE39:AG39"/>
    <mergeCell ref="AH39:AK39"/>
    <mergeCell ref="AL39:AO39"/>
    <mergeCell ref="A39:E39"/>
    <mergeCell ref="F39:I39"/>
    <mergeCell ref="J39:L39"/>
    <mergeCell ref="M39:N39"/>
    <mergeCell ref="O39:Q39"/>
    <mergeCell ref="R39:U39"/>
    <mergeCell ref="V38:Y38"/>
    <mergeCell ref="Z38:AB38"/>
    <mergeCell ref="AC38:AD38"/>
    <mergeCell ref="AE38:AG38"/>
    <mergeCell ref="AH38:AK38"/>
    <mergeCell ref="AL38:AO38"/>
    <mergeCell ref="A38:E38"/>
    <mergeCell ref="F38:I38"/>
    <mergeCell ref="J38:L38"/>
    <mergeCell ref="M38:N38"/>
    <mergeCell ref="O38:Q38"/>
    <mergeCell ref="R38:U38"/>
    <mergeCell ref="V37:Y37"/>
    <mergeCell ref="Z37:AB37"/>
    <mergeCell ref="AC37:AD37"/>
    <mergeCell ref="AE37:AG37"/>
    <mergeCell ref="AH37:AK37"/>
    <mergeCell ref="AL37:AO37"/>
    <mergeCell ref="A37:E37"/>
    <mergeCell ref="F37:I37"/>
    <mergeCell ref="J37:L37"/>
    <mergeCell ref="M37:N37"/>
    <mergeCell ref="O37:Q37"/>
    <mergeCell ref="R37:U37"/>
    <mergeCell ref="V36:Y36"/>
    <mergeCell ref="Z36:AB36"/>
    <mergeCell ref="AC36:AD36"/>
    <mergeCell ref="AE36:AG36"/>
    <mergeCell ref="AH36:AK36"/>
    <mergeCell ref="AL36:AO36"/>
    <mergeCell ref="A36:E36"/>
    <mergeCell ref="F36:I36"/>
    <mergeCell ref="J36:L36"/>
    <mergeCell ref="M36:N36"/>
    <mergeCell ref="O36:Q36"/>
    <mergeCell ref="R36:U36"/>
    <mergeCell ref="V35:Y35"/>
    <mergeCell ref="Z35:AB35"/>
    <mergeCell ref="AC35:AD35"/>
    <mergeCell ref="AE35:AG35"/>
    <mergeCell ref="AH35:AK35"/>
    <mergeCell ref="AL35:AO35"/>
    <mergeCell ref="A35:E35"/>
    <mergeCell ref="F35:I35"/>
    <mergeCell ref="J35:L35"/>
    <mergeCell ref="M35:N35"/>
    <mergeCell ref="O35:Q35"/>
    <mergeCell ref="R35:U35"/>
    <mergeCell ref="V34:Y34"/>
    <mergeCell ref="Z34:AB34"/>
    <mergeCell ref="AC34:AD34"/>
    <mergeCell ref="AE34:AG34"/>
    <mergeCell ref="AH34:AK34"/>
    <mergeCell ref="AL34:AO34"/>
    <mergeCell ref="A34:E34"/>
    <mergeCell ref="F34:I34"/>
    <mergeCell ref="J34:L34"/>
    <mergeCell ref="M34:N34"/>
    <mergeCell ref="O34:Q34"/>
    <mergeCell ref="R34:U34"/>
    <mergeCell ref="A31:E31"/>
    <mergeCell ref="F31:I31"/>
    <mergeCell ref="J31:U31"/>
    <mergeCell ref="V31:Y31"/>
    <mergeCell ref="Z31:AK31"/>
    <mergeCell ref="AL31:AO31"/>
    <mergeCell ref="V30:Y30"/>
    <mergeCell ref="Z30:AB30"/>
    <mergeCell ref="AC30:AD30"/>
    <mergeCell ref="AE30:AG30"/>
    <mergeCell ref="AH30:AK30"/>
    <mergeCell ref="AL30:AO30"/>
    <mergeCell ref="A30:E30"/>
    <mergeCell ref="F30:I30"/>
    <mergeCell ref="J30:L30"/>
    <mergeCell ref="M30:N30"/>
    <mergeCell ref="O30:Q30"/>
    <mergeCell ref="R30:U30"/>
    <mergeCell ref="V29:Y29"/>
    <mergeCell ref="Z29:AB29"/>
    <mergeCell ref="AC29:AD29"/>
    <mergeCell ref="AE29:AG29"/>
    <mergeCell ref="AH29:AK29"/>
    <mergeCell ref="AL29:AO29"/>
    <mergeCell ref="A29:E29"/>
    <mergeCell ref="F29:I29"/>
    <mergeCell ref="J29:L29"/>
    <mergeCell ref="M29:N29"/>
    <mergeCell ref="O29:Q29"/>
    <mergeCell ref="R29:U29"/>
    <mergeCell ref="V28:Y28"/>
    <mergeCell ref="Z28:AB28"/>
    <mergeCell ref="AC28:AD28"/>
    <mergeCell ref="AE28:AG28"/>
    <mergeCell ref="AH28:AK28"/>
    <mergeCell ref="AL28:AO28"/>
    <mergeCell ref="A28:E28"/>
    <mergeCell ref="F28:I28"/>
    <mergeCell ref="J28:L28"/>
    <mergeCell ref="M28:N28"/>
    <mergeCell ref="O28:Q28"/>
    <mergeCell ref="R28:U28"/>
    <mergeCell ref="V27:Y27"/>
    <mergeCell ref="Z27:AB27"/>
    <mergeCell ref="AC27:AD27"/>
    <mergeCell ref="AE27:AG27"/>
    <mergeCell ref="AH27:AK27"/>
    <mergeCell ref="AL27:AO27"/>
    <mergeCell ref="A27:E27"/>
    <mergeCell ref="F27:I27"/>
    <mergeCell ref="J27:L27"/>
    <mergeCell ref="M27:N27"/>
    <mergeCell ref="O27:Q27"/>
    <mergeCell ref="R27:U27"/>
    <mergeCell ref="V26:Y26"/>
    <mergeCell ref="Z26:AB26"/>
    <mergeCell ref="AC26:AD26"/>
    <mergeCell ref="AE26:AG26"/>
    <mergeCell ref="AH26:AK26"/>
    <mergeCell ref="AL26:AO26"/>
    <mergeCell ref="A26:E26"/>
    <mergeCell ref="F26:I26"/>
    <mergeCell ref="J26:L26"/>
    <mergeCell ref="M26:N26"/>
    <mergeCell ref="O26:Q26"/>
    <mergeCell ref="R26:U26"/>
    <mergeCell ref="V25:Y25"/>
    <mergeCell ref="Z25:AB25"/>
    <mergeCell ref="AC25:AD25"/>
    <mergeCell ref="AE25:AG25"/>
    <mergeCell ref="AH25:AK25"/>
    <mergeCell ref="AL25:AO25"/>
    <mergeCell ref="A25:E25"/>
    <mergeCell ref="F25:I25"/>
    <mergeCell ref="J25:L25"/>
    <mergeCell ref="M25:N25"/>
    <mergeCell ref="O25:Q25"/>
    <mergeCell ref="R25:U25"/>
    <mergeCell ref="V24:Y24"/>
    <mergeCell ref="Z24:AB24"/>
    <mergeCell ref="AC24:AD24"/>
    <mergeCell ref="AE24:AG24"/>
    <mergeCell ref="AH24:AK24"/>
    <mergeCell ref="AL24:AO24"/>
    <mergeCell ref="A24:E24"/>
    <mergeCell ref="F24:I24"/>
    <mergeCell ref="J24:L24"/>
    <mergeCell ref="M24:N24"/>
    <mergeCell ref="O24:Q24"/>
    <mergeCell ref="R24:U24"/>
    <mergeCell ref="V23:Y23"/>
    <mergeCell ref="Z23:AB23"/>
    <mergeCell ref="AC23:AD23"/>
    <mergeCell ref="AE23:AG23"/>
    <mergeCell ref="AH23:AK23"/>
    <mergeCell ref="AL23:AO23"/>
    <mergeCell ref="A23:E23"/>
    <mergeCell ref="F23:I23"/>
    <mergeCell ref="J23:L23"/>
    <mergeCell ref="M23:N23"/>
    <mergeCell ref="O23:Q23"/>
    <mergeCell ref="R23:U23"/>
    <mergeCell ref="V22:Y22"/>
    <mergeCell ref="Z22:AB22"/>
    <mergeCell ref="AC22:AD22"/>
    <mergeCell ref="AE22:AG22"/>
    <mergeCell ref="AH22:AK22"/>
    <mergeCell ref="AL22:AO22"/>
    <mergeCell ref="A22:E22"/>
    <mergeCell ref="F22:I22"/>
    <mergeCell ref="J22:L22"/>
    <mergeCell ref="M22:N22"/>
    <mergeCell ref="O22:Q22"/>
    <mergeCell ref="R22:U22"/>
    <mergeCell ref="V21:Y21"/>
    <mergeCell ref="Z21:AB21"/>
    <mergeCell ref="AC21:AD21"/>
    <mergeCell ref="AE21:AG21"/>
    <mergeCell ref="AH21:AK21"/>
    <mergeCell ref="AL21:AO21"/>
    <mergeCell ref="A21:E21"/>
    <mergeCell ref="F21:I21"/>
    <mergeCell ref="J21:L21"/>
    <mergeCell ref="M21:N21"/>
    <mergeCell ref="O21:Q21"/>
    <mergeCell ref="R21:U21"/>
    <mergeCell ref="V20:Y20"/>
    <mergeCell ref="Z20:AB20"/>
    <mergeCell ref="AC20:AD20"/>
    <mergeCell ref="AE20:AG20"/>
    <mergeCell ref="AH20:AK20"/>
    <mergeCell ref="AL20:AO20"/>
    <mergeCell ref="A20:E20"/>
    <mergeCell ref="F20:I20"/>
    <mergeCell ref="J20:L20"/>
    <mergeCell ref="M20:N20"/>
    <mergeCell ref="O20:Q20"/>
    <mergeCell ref="R20:U20"/>
    <mergeCell ref="A18:E18"/>
    <mergeCell ref="F18:I18"/>
    <mergeCell ref="J18:L18"/>
    <mergeCell ref="M18:N18"/>
    <mergeCell ref="O18:Q18"/>
    <mergeCell ref="R18:U18"/>
    <mergeCell ref="V18:Y18"/>
    <mergeCell ref="Z18:AB18"/>
    <mergeCell ref="AC18:AD18"/>
    <mergeCell ref="V19:Y19"/>
    <mergeCell ref="Z19:AB19"/>
    <mergeCell ref="AC19:AD19"/>
    <mergeCell ref="AE19:AG19"/>
    <mergeCell ref="AH19:AK19"/>
    <mergeCell ref="AL19:AO19"/>
    <mergeCell ref="A19:E19"/>
    <mergeCell ref="F19:I19"/>
    <mergeCell ref="J19:L19"/>
    <mergeCell ref="M19:N19"/>
    <mergeCell ref="O19:Q19"/>
    <mergeCell ref="R19:U19"/>
    <mergeCell ref="A17:E17"/>
    <mergeCell ref="F17:I17"/>
    <mergeCell ref="J17:L17"/>
    <mergeCell ref="M17:N17"/>
    <mergeCell ref="O17:Q17"/>
    <mergeCell ref="R17:U17"/>
    <mergeCell ref="V17:Y17"/>
    <mergeCell ref="Z17:AB17"/>
    <mergeCell ref="AH17:AK17"/>
    <mergeCell ref="AH18:AK18"/>
    <mergeCell ref="AL18:AO18"/>
    <mergeCell ref="AC17:AD17"/>
    <mergeCell ref="AE17:AG17"/>
    <mergeCell ref="V14:Y14"/>
    <mergeCell ref="Z14:AB14"/>
    <mergeCell ref="AC14:AD14"/>
    <mergeCell ref="AE14:AG14"/>
    <mergeCell ref="AH14:AK14"/>
    <mergeCell ref="AL14:AO14"/>
    <mergeCell ref="J16:Y16"/>
    <mergeCell ref="Z16:AO16"/>
    <mergeCell ref="AL17:AO17"/>
    <mergeCell ref="AE18:AG18"/>
    <mergeCell ref="Z13:AB13"/>
    <mergeCell ref="AE13:AG13"/>
    <mergeCell ref="AH13:AK13"/>
    <mergeCell ref="AL13:AO13"/>
    <mergeCell ref="V13:Y13"/>
    <mergeCell ref="A14:E14"/>
    <mergeCell ref="F14:I14"/>
    <mergeCell ref="J14:L14"/>
    <mergeCell ref="M14:N14"/>
    <mergeCell ref="O14:Q14"/>
    <mergeCell ref="R14:U14"/>
    <mergeCell ref="A13:E13"/>
    <mergeCell ref="F13:I13"/>
    <mergeCell ref="J13:L13"/>
    <mergeCell ref="O13:Q13"/>
    <mergeCell ref="R13:U13"/>
    <mergeCell ref="V12:Y12"/>
    <mergeCell ref="Z12:AB12"/>
    <mergeCell ref="AC12:AD12"/>
    <mergeCell ref="AE12:AG12"/>
    <mergeCell ref="AH12:AK12"/>
    <mergeCell ref="AL12:AO12"/>
    <mergeCell ref="A9:AO9"/>
    <mergeCell ref="A11:E11"/>
    <mergeCell ref="J11:Y11"/>
    <mergeCell ref="Z11:AO11"/>
    <mergeCell ref="A12:E12"/>
    <mergeCell ref="F12:I12"/>
    <mergeCell ref="J12:L12"/>
    <mergeCell ref="M12:N12"/>
    <mergeCell ref="O12:Q12"/>
    <mergeCell ref="R12:U12"/>
    <mergeCell ref="B5:AO5"/>
    <mergeCell ref="A6:AO6"/>
    <mergeCell ref="B7:Y7"/>
    <mergeCell ref="Z7:AO7"/>
    <mergeCell ref="A8:E8"/>
    <mergeCell ref="F8:AB8"/>
    <mergeCell ref="AC8:AO8"/>
    <mergeCell ref="A1:AO1"/>
    <mergeCell ref="A2:X2"/>
    <mergeCell ref="Y2:AH2"/>
    <mergeCell ref="AI2:AO4"/>
    <mergeCell ref="A3:Y3"/>
    <mergeCell ref="AA3:AH3"/>
    <mergeCell ref="A4:Y4"/>
    <mergeCell ref="AA4:AH4"/>
  </mergeCells>
  <printOptions horizontalCentered="1" verticalCentered="1"/>
  <pageMargins left="0.39370078740157483" right="0.39370078740157483" top="0.23622047244094491" bottom="0.23622047244094491" header="0" footer="0.23622047244094491"/>
  <pageSetup paperSize="9" scale="97" orientation="portrait" horizontalDpi="300" verticalDpi="300" r:id="rId1"/>
  <headerFooter alignWithMargins="0">
    <oddFooter>&amp;RPage 6 of 6</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73F337-F215-4479-A8DD-5E1C44D5166E}">
  <sheetPr>
    <tabColor rgb="FFFFFF00"/>
  </sheetPr>
  <dimension ref="A1:AU70"/>
  <sheetViews>
    <sheetView showGridLines="0" showZeros="0" topLeftCell="A28" zoomScale="93" zoomScaleNormal="93" workbookViewId="0">
      <selection activeCell="AC49" sqref="AC49:AE49"/>
    </sheetView>
  </sheetViews>
  <sheetFormatPr baseColWidth="10" defaultRowHeight="12.75" x14ac:dyDescent="0.2"/>
  <cols>
    <col min="1" max="5" width="2.42578125" customWidth="1"/>
    <col min="6" max="6" width="3.28515625" customWidth="1"/>
    <col min="7" max="11" width="2.42578125" customWidth="1"/>
    <col min="12" max="12" width="2.7109375" customWidth="1"/>
    <col min="13" max="14" width="2.42578125" customWidth="1"/>
    <col min="15" max="15" width="1.5703125" customWidth="1"/>
    <col min="16" max="17" width="2.42578125" customWidth="1"/>
    <col min="18" max="18" width="2.7109375" customWidth="1"/>
    <col min="19" max="24" width="2.42578125" customWidth="1"/>
    <col min="25" max="25" width="3.42578125" customWidth="1"/>
    <col min="26" max="30" width="2.42578125" customWidth="1"/>
    <col min="31" max="31" width="2.7109375" customWidth="1"/>
    <col min="32" max="36" width="2.42578125" customWidth="1"/>
    <col min="37" max="37" width="6" customWidth="1"/>
    <col min="38" max="39" width="2.42578125" customWidth="1"/>
    <col min="40" max="40" width="9" bestFit="1" customWidth="1"/>
    <col min="41" max="41" width="9.85546875" customWidth="1"/>
    <col min="42" max="42" width="11" customWidth="1"/>
    <col min="43" max="43" width="10.7109375" customWidth="1"/>
    <col min="44" max="44" width="9.140625" bestFit="1" customWidth="1"/>
    <col min="45" max="45" width="12.7109375" customWidth="1"/>
    <col min="257" max="261" width="2.42578125" customWidth="1"/>
    <col min="262" max="262" width="3.28515625" customWidth="1"/>
    <col min="263" max="267" width="2.42578125" customWidth="1"/>
    <col min="268" max="268" width="2.7109375" customWidth="1"/>
    <col min="269" max="270" width="2.42578125" customWidth="1"/>
    <col min="271" max="271" width="1.5703125" customWidth="1"/>
    <col min="272" max="273" width="2.42578125" customWidth="1"/>
    <col min="274" max="274" width="2.7109375" customWidth="1"/>
    <col min="275" max="280" width="2.42578125" customWidth="1"/>
    <col min="281" max="281" width="3.42578125" customWidth="1"/>
    <col min="282" max="286" width="2.42578125" customWidth="1"/>
    <col min="287" max="287" width="2.7109375" customWidth="1"/>
    <col min="288" max="292" width="2.42578125" customWidth="1"/>
    <col min="293" max="293" width="2.5703125" customWidth="1"/>
    <col min="294" max="301" width="2.42578125" customWidth="1"/>
    <col min="513" max="517" width="2.42578125" customWidth="1"/>
    <col min="518" max="518" width="3.28515625" customWidth="1"/>
    <col min="519" max="523" width="2.42578125" customWidth="1"/>
    <col min="524" max="524" width="2.7109375" customWidth="1"/>
    <col min="525" max="526" width="2.42578125" customWidth="1"/>
    <col min="527" max="527" width="1.5703125" customWidth="1"/>
    <col min="528" max="529" width="2.42578125" customWidth="1"/>
    <col min="530" max="530" width="2.7109375" customWidth="1"/>
    <col min="531" max="536" width="2.42578125" customWidth="1"/>
    <col min="537" max="537" width="3.42578125" customWidth="1"/>
    <col min="538" max="542" width="2.42578125" customWidth="1"/>
    <col min="543" max="543" width="2.7109375" customWidth="1"/>
    <col min="544" max="548" width="2.42578125" customWidth="1"/>
    <col min="549" max="549" width="2.5703125" customWidth="1"/>
    <col min="550" max="557" width="2.42578125" customWidth="1"/>
    <col min="769" max="773" width="2.42578125" customWidth="1"/>
    <col min="774" max="774" width="3.28515625" customWidth="1"/>
    <col min="775" max="779" width="2.42578125" customWidth="1"/>
    <col min="780" max="780" width="2.7109375" customWidth="1"/>
    <col min="781" max="782" width="2.42578125" customWidth="1"/>
    <col min="783" max="783" width="1.5703125" customWidth="1"/>
    <col min="784" max="785" width="2.42578125" customWidth="1"/>
    <col min="786" max="786" width="2.7109375" customWidth="1"/>
    <col min="787" max="792" width="2.42578125" customWidth="1"/>
    <col min="793" max="793" width="3.42578125" customWidth="1"/>
    <col min="794" max="798" width="2.42578125" customWidth="1"/>
    <col min="799" max="799" width="2.7109375" customWidth="1"/>
    <col min="800" max="804" width="2.42578125" customWidth="1"/>
    <col min="805" max="805" width="2.5703125" customWidth="1"/>
    <col min="806" max="813" width="2.42578125" customWidth="1"/>
    <col min="1025" max="1029" width="2.42578125" customWidth="1"/>
    <col min="1030" max="1030" width="3.28515625" customWidth="1"/>
    <col min="1031" max="1035" width="2.42578125" customWidth="1"/>
    <col min="1036" max="1036" width="2.7109375" customWidth="1"/>
    <col min="1037" max="1038" width="2.42578125" customWidth="1"/>
    <col min="1039" max="1039" width="1.5703125" customWidth="1"/>
    <col min="1040" max="1041" width="2.42578125" customWidth="1"/>
    <col min="1042" max="1042" width="2.7109375" customWidth="1"/>
    <col min="1043" max="1048" width="2.42578125" customWidth="1"/>
    <col min="1049" max="1049" width="3.42578125" customWidth="1"/>
    <col min="1050" max="1054" width="2.42578125" customWidth="1"/>
    <col min="1055" max="1055" width="2.7109375" customWidth="1"/>
    <col min="1056" max="1060" width="2.42578125" customWidth="1"/>
    <col min="1061" max="1061" width="2.5703125" customWidth="1"/>
    <col min="1062" max="1069" width="2.42578125" customWidth="1"/>
    <col min="1281" max="1285" width="2.42578125" customWidth="1"/>
    <col min="1286" max="1286" width="3.28515625" customWidth="1"/>
    <col min="1287" max="1291" width="2.42578125" customWidth="1"/>
    <col min="1292" max="1292" width="2.7109375" customWidth="1"/>
    <col min="1293" max="1294" width="2.42578125" customWidth="1"/>
    <col min="1295" max="1295" width="1.5703125" customWidth="1"/>
    <col min="1296" max="1297" width="2.42578125" customWidth="1"/>
    <col min="1298" max="1298" width="2.7109375" customWidth="1"/>
    <col min="1299" max="1304" width="2.42578125" customWidth="1"/>
    <col min="1305" max="1305" width="3.42578125" customWidth="1"/>
    <col min="1306" max="1310" width="2.42578125" customWidth="1"/>
    <col min="1311" max="1311" width="2.7109375" customWidth="1"/>
    <col min="1312" max="1316" width="2.42578125" customWidth="1"/>
    <col min="1317" max="1317" width="2.5703125" customWidth="1"/>
    <col min="1318" max="1325" width="2.42578125" customWidth="1"/>
    <col min="1537" max="1541" width="2.42578125" customWidth="1"/>
    <col min="1542" max="1542" width="3.28515625" customWidth="1"/>
    <col min="1543" max="1547" width="2.42578125" customWidth="1"/>
    <col min="1548" max="1548" width="2.7109375" customWidth="1"/>
    <col min="1549" max="1550" width="2.42578125" customWidth="1"/>
    <col min="1551" max="1551" width="1.5703125" customWidth="1"/>
    <col min="1552" max="1553" width="2.42578125" customWidth="1"/>
    <col min="1554" max="1554" width="2.7109375" customWidth="1"/>
    <col min="1555" max="1560" width="2.42578125" customWidth="1"/>
    <col min="1561" max="1561" width="3.42578125" customWidth="1"/>
    <col min="1562" max="1566" width="2.42578125" customWidth="1"/>
    <col min="1567" max="1567" width="2.7109375" customWidth="1"/>
    <col min="1568" max="1572" width="2.42578125" customWidth="1"/>
    <col min="1573" max="1573" width="2.5703125" customWidth="1"/>
    <col min="1574" max="1581" width="2.42578125" customWidth="1"/>
    <col min="1793" max="1797" width="2.42578125" customWidth="1"/>
    <col min="1798" max="1798" width="3.28515625" customWidth="1"/>
    <col min="1799" max="1803" width="2.42578125" customWidth="1"/>
    <col min="1804" max="1804" width="2.7109375" customWidth="1"/>
    <col min="1805" max="1806" width="2.42578125" customWidth="1"/>
    <col min="1807" max="1807" width="1.5703125" customWidth="1"/>
    <col min="1808" max="1809" width="2.42578125" customWidth="1"/>
    <col min="1810" max="1810" width="2.7109375" customWidth="1"/>
    <col min="1811" max="1816" width="2.42578125" customWidth="1"/>
    <col min="1817" max="1817" width="3.42578125" customWidth="1"/>
    <col min="1818" max="1822" width="2.42578125" customWidth="1"/>
    <col min="1823" max="1823" width="2.7109375" customWidth="1"/>
    <col min="1824" max="1828" width="2.42578125" customWidth="1"/>
    <col min="1829" max="1829" width="2.5703125" customWidth="1"/>
    <col min="1830" max="1837" width="2.42578125" customWidth="1"/>
    <col min="2049" max="2053" width="2.42578125" customWidth="1"/>
    <col min="2054" max="2054" width="3.28515625" customWidth="1"/>
    <col min="2055" max="2059" width="2.42578125" customWidth="1"/>
    <col min="2060" max="2060" width="2.7109375" customWidth="1"/>
    <col min="2061" max="2062" width="2.42578125" customWidth="1"/>
    <col min="2063" max="2063" width="1.5703125" customWidth="1"/>
    <col min="2064" max="2065" width="2.42578125" customWidth="1"/>
    <col min="2066" max="2066" width="2.7109375" customWidth="1"/>
    <col min="2067" max="2072" width="2.42578125" customWidth="1"/>
    <col min="2073" max="2073" width="3.42578125" customWidth="1"/>
    <col min="2074" max="2078" width="2.42578125" customWidth="1"/>
    <col min="2079" max="2079" width="2.7109375" customWidth="1"/>
    <col min="2080" max="2084" width="2.42578125" customWidth="1"/>
    <col min="2085" max="2085" width="2.5703125" customWidth="1"/>
    <col min="2086" max="2093" width="2.42578125" customWidth="1"/>
    <col min="2305" max="2309" width="2.42578125" customWidth="1"/>
    <col min="2310" max="2310" width="3.28515625" customWidth="1"/>
    <col min="2311" max="2315" width="2.42578125" customWidth="1"/>
    <col min="2316" max="2316" width="2.7109375" customWidth="1"/>
    <col min="2317" max="2318" width="2.42578125" customWidth="1"/>
    <col min="2319" max="2319" width="1.5703125" customWidth="1"/>
    <col min="2320" max="2321" width="2.42578125" customWidth="1"/>
    <col min="2322" max="2322" width="2.7109375" customWidth="1"/>
    <col min="2323" max="2328" width="2.42578125" customWidth="1"/>
    <col min="2329" max="2329" width="3.42578125" customWidth="1"/>
    <col min="2330" max="2334" width="2.42578125" customWidth="1"/>
    <col min="2335" max="2335" width="2.7109375" customWidth="1"/>
    <col min="2336" max="2340" width="2.42578125" customWidth="1"/>
    <col min="2341" max="2341" width="2.5703125" customWidth="1"/>
    <col min="2342" max="2349" width="2.42578125" customWidth="1"/>
    <col min="2561" max="2565" width="2.42578125" customWidth="1"/>
    <col min="2566" max="2566" width="3.28515625" customWidth="1"/>
    <col min="2567" max="2571" width="2.42578125" customWidth="1"/>
    <col min="2572" max="2572" width="2.7109375" customWidth="1"/>
    <col min="2573" max="2574" width="2.42578125" customWidth="1"/>
    <col min="2575" max="2575" width="1.5703125" customWidth="1"/>
    <col min="2576" max="2577" width="2.42578125" customWidth="1"/>
    <col min="2578" max="2578" width="2.7109375" customWidth="1"/>
    <col min="2579" max="2584" width="2.42578125" customWidth="1"/>
    <col min="2585" max="2585" width="3.42578125" customWidth="1"/>
    <col min="2586" max="2590" width="2.42578125" customWidth="1"/>
    <col min="2591" max="2591" width="2.7109375" customWidth="1"/>
    <col min="2592" max="2596" width="2.42578125" customWidth="1"/>
    <col min="2597" max="2597" width="2.5703125" customWidth="1"/>
    <col min="2598" max="2605" width="2.42578125" customWidth="1"/>
    <col min="2817" max="2821" width="2.42578125" customWidth="1"/>
    <col min="2822" max="2822" width="3.28515625" customWidth="1"/>
    <col min="2823" max="2827" width="2.42578125" customWidth="1"/>
    <col min="2828" max="2828" width="2.7109375" customWidth="1"/>
    <col min="2829" max="2830" width="2.42578125" customWidth="1"/>
    <col min="2831" max="2831" width="1.5703125" customWidth="1"/>
    <col min="2832" max="2833" width="2.42578125" customWidth="1"/>
    <col min="2834" max="2834" width="2.7109375" customWidth="1"/>
    <col min="2835" max="2840" width="2.42578125" customWidth="1"/>
    <col min="2841" max="2841" width="3.42578125" customWidth="1"/>
    <col min="2842" max="2846" width="2.42578125" customWidth="1"/>
    <col min="2847" max="2847" width="2.7109375" customWidth="1"/>
    <col min="2848" max="2852" width="2.42578125" customWidth="1"/>
    <col min="2853" max="2853" width="2.5703125" customWidth="1"/>
    <col min="2854" max="2861" width="2.42578125" customWidth="1"/>
    <col min="3073" max="3077" width="2.42578125" customWidth="1"/>
    <col min="3078" max="3078" width="3.28515625" customWidth="1"/>
    <col min="3079" max="3083" width="2.42578125" customWidth="1"/>
    <col min="3084" max="3084" width="2.7109375" customWidth="1"/>
    <col min="3085" max="3086" width="2.42578125" customWidth="1"/>
    <col min="3087" max="3087" width="1.5703125" customWidth="1"/>
    <col min="3088" max="3089" width="2.42578125" customWidth="1"/>
    <col min="3090" max="3090" width="2.7109375" customWidth="1"/>
    <col min="3091" max="3096" width="2.42578125" customWidth="1"/>
    <col min="3097" max="3097" width="3.42578125" customWidth="1"/>
    <col min="3098" max="3102" width="2.42578125" customWidth="1"/>
    <col min="3103" max="3103" width="2.7109375" customWidth="1"/>
    <col min="3104" max="3108" width="2.42578125" customWidth="1"/>
    <col min="3109" max="3109" width="2.5703125" customWidth="1"/>
    <col min="3110" max="3117" width="2.42578125" customWidth="1"/>
    <col min="3329" max="3333" width="2.42578125" customWidth="1"/>
    <col min="3334" max="3334" width="3.28515625" customWidth="1"/>
    <col min="3335" max="3339" width="2.42578125" customWidth="1"/>
    <col min="3340" max="3340" width="2.7109375" customWidth="1"/>
    <col min="3341" max="3342" width="2.42578125" customWidth="1"/>
    <col min="3343" max="3343" width="1.5703125" customWidth="1"/>
    <col min="3344" max="3345" width="2.42578125" customWidth="1"/>
    <col min="3346" max="3346" width="2.7109375" customWidth="1"/>
    <col min="3347" max="3352" width="2.42578125" customWidth="1"/>
    <col min="3353" max="3353" width="3.42578125" customWidth="1"/>
    <col min="3354" max="3358" width="2.42578125" customWidth="1"/>
    <col min="3359" max="3359" width="2.7109375" customWidth="1"/>
    <col min="3360" max="3364" width="2.42578125" customWidth="1"/>
    <col min="3365" max="3365" width="2.5703125" customWidth="1"/>
    <col min="3366" max="3373" width="2.42578125" customWidth="1"/>
    <col min="3585" max="3589" width="2.42578125" customWidth="1"/>
    <col min="3590" max="3590" width="3.28515625" customWidth="1"/>
    <col min="3591" max="3595" width="2.42578125" customWidth="1"/>
    <col min="3596" max="3596" width="2.7109375" customWidth="1"/>
    <col min="3597" max="3598" width="2.42578125" customWidth="1"/>
    <col min="3599" max="3599" width="1.5703125" customWidth="1"/>
    <col min="3600" max="3601" width="2.42578125" customWidth="1"/>
    <col min="3602" max="3602" width="2.7109375" customWidth="1"/>
    <col min="3603" max="3608" width="2.42578125" customWidth="1"/>
    <col min="3609" max="3609" width="3.42578125" customWidth="1"/>
    <col min="3610" max="3614" width="2.42578125" customWidth="1"/>
    <col min="3615" max="3615" width="2.7109375" customWidth="1"/>
    <col min="3616" max="3620" width="2.42578125" customWidth="1"/>
    <col min="3621" max="3621" width="2.5703125" customWidth="1"/>
    <col min="3622" max="3629" width="2.42578125" customWidth="1"/>
    <col min="3841" max="3845" width="2.42578125" customWidth="1"/>
    <col min="3846" max="3846" width="3.28515625" customWidth="1"/>
    <col min="3847" max="3851" width="2.42578125" customWidth="1"/>
    <col min="3852" max="3852" width="2.7109375" customWidth="1"/>
    <col min="3853" max="3854" width="2.42578125" customWidth="1"/>
    <col min="3855" max="3855" width="1.5703125" customWidth="1"/>
    <col min="3856" max="3857" width="2.42578125" customWidth="1"/>
    <col min="3858" max="3858" width="2.7109375" customWidth="1"/>
    <col min="3859" max="3864" width="2.42578125" customWidth="1"/>
    <col min="3865" max="3865" width="3.42578125" customWidth="1"/>
    <col min="3866" max="3870" width="2.42578125" customWidth="1"/>
    <col min="3871" max="3871" width="2.7109375" customWidth="1"/>
    <col min="3872" max="3876" width="2.42578125" customWidth="1"/>
    <col min="3877" max="3877" width="2.5703125" customWidth="1"/>
    <col min="3878" max="3885" width="2.42578125" customWidth="1"/>
    <col min="4097" max="4101" width="2.42578125" customWidth="1"/>
    <col min="4102" max="4102" width="3.28515625" customWidth="1"/>
    <col min="4103" max="4107" width="2.42578125" customWidth="1"/>
    <col min="4108" max="4108" width="2.7109375" customWidth="1"/>
    <col min="4109" max="4110" width="2.42578125" customWidth="1"/>
    <col min="4111" max="4111" width="1.5703125" customWidth="1"/>
    <col min="4112" max="4113" width="2.42578125" customWidth="1"/>
    <col min="4114" max="4114" width="2.7109375" customWidth="1"/>
    <col min="4115" max="4120" width="2.42578125" customWidth="1"/>
    <col min="4121" max="4121" width="3.42578125" customWidth="1"/>
    <col min="4122" max="4126" width="2.42578125" customWidth="1"/>
    <col min="4127" max="4127" width="2.7109375" customWidth="1"/>
    <col min="4128" max="4132" width="2.42578125" customWidth="1"/>
    <col min="4133" max="4133" width="2.5703125" customWidth="1"/>
    <col min="4134" max="4141" width="2.42578125" customWidth="1"/>
    <col min="4353" max="4357" width="2.42578125" customWidth="1"/>
    <col min="4358" max="4358" width="3.28515625" customWidth="1"/>
    <col min="4359" max="4363" width="2.42578125" customWidth="1"/>
    <col min="4364" max="4364" width="2.7109375" customWidth="1"/>
    <col min="4365" max="4366" width="2.42578125" customWidth="1"/>
    <col min="4367" max="4367" width="1.5703125" customWidth="1"/>
    <col min="4368" max="4369" width="2.42578125" customWidth="1"/>
    <col min="4370" max="4370" width="2.7109375" customWidth="1"/>
    <col min="4371" max="4376" width="2.42578125" customWidth="1"/>
    <col min="4377" max="4377" width="3.42578125" customWidth="1"/>
    <col min="4378" max="4382" width="2.42578125" customWidth="1"/>
    <col min="4383" max="4383" width="2.7109375" customWidth="1"/>
    <col min="4384" max="4388" width="2.42578125" customWidth="1"/>
    <col min="4389" max="4389" width="2.5703125" customWidth="1"/>
    <col min="4390" max="4397" width="2.42578125" customWidth="1"/>
    <col min="4609" max="4613" width="2.42578125" customWidth="1"/>
    <col min="4614" max="4614" width="3.28515625" customWidth="1"/>
    <col min="4615" max="4619" width="2.42578125" customWidth="1"/>
    <col min="4620" max="4620" width="2.7109375" customWidth="1"/>
    <col min="4621" max="4622" width="2.42578125" customWidth="1"/>
    <col min="4623" max="4623" width="1.5703125" customWidth="1"/>
    <col min="4624" max="4625" width="2.42578125" customWidth="1"/>
    <col min="4626" max="4626" width="2.7109375" customWidth="1"/>
    <col min="4627" max="4632" width="2.42578125" customWidth="1"/>
    <col min="4633" max="4633" width="3.42578125" customWidth="1"/>
    <col min="4634" max="4638" width="2.42578125" customWidth="1"/>
    <col min="4639" max="4639" width="2.7109375" customWidth="1"/>
    <col min="4640" max="4644" width="2.42578125" customWidth="1"/>
    <col min="4645" max="4645" width="2.5703125" customWidth="1"/>
    <col min="4646" max="4653" width="2.42578125" customWidth="1"/>
    <col min="4865" max="4869" width="2.42578125" customWidth="1"/>
    <col min="4870" max="4870" width="3.28515625" customWidth="1"/>
    <col min="4871" max="4875" width="2.42578125" customWidth="1"/>
    <col min="4876" max="4876" width="2.7109375" customWidth="1"/>
    <col min="4877" max="4878" width="2.42578125" customWidth="1"/>
    <col min="4879" max="4879" width="1.5703125" customWidth="1"/>
    <col min="4880" max="4881" width="2.42578125" customWidth="1"/>
    <col min="4882" max="4882" width="2.7109375" customWidth="1"/>
    <col min="4883" max="4888" width="2.42578125" customWidth="1"/>
    <col min="4889" max="4889" width="3.42578125" customWidth="1"/>
    <col min="4890" max="4894" width="2.42578125" customWidth="1"/>
    <col min="4895" max="4895" width="2.7109375" customWidth="1"/>
    <col min="4896" max="4900" width="2.42578125" customWidth="1"/>
    <col min="4901" max="4901" width="2.5703125" customWidth="1"/>
    <col min="4902" max="4909" width="2.42578125" customWidth="1"/>
    <col min="5121" max="5125" width="2.42578125" customWidth="1"/>
    <col min="5126" max="5126" width="3.28515625" customWidth="1"/>
    <col min="5127" max="5131" width="2.42578125" customWidth="1"/>
    <col min="5132" max="5132" width="2.7109375" customWidth="1"/>
    <col min="5133" max="5134" width="2.42578125" customWidth="1"/>
    <col min="5135" max="5135" width="1.5703125" customWidth="1"/>
    <col min="5136" max="5137" width="2.42578125" customWidth="1"/>
    <col min="5138" max="5138" width="2.7109375" customWidth="1"/>
    <col min="5139" max="5144" width="2.42578125" customWidth="1"/>
    <col min="5145" max="5145" width="3.42578125" customWidth="1"/>
    <col min="5146" max="5150" width="2.42578125" customWidth="1"/>
    <col min="5151" max="5151" width="2.7109375" customWidth="1"/>
    <col min="5152" max="5156" width="2.42578125" customWidth="1"/>
    <col min="5157" max="5157" width="2.5703125" customWidth="1"/>
    <col min="5158" max="5165" width="2.42578125" customWidth="1"/>
    <col min="5377" max="5381" width="2.42578125" customWidth="1"/>
    <col min="5382" max="5382" width="3.28515625" customWidth="1"/>
    <col min="5383" max="5387" width="2.42578125" customWidth="1"/>
    <col min="5388" max="5388" width="2.7109375" customWidth="1"/>
    <col min="5389" max="5390" width="2.42578125" customWidth="1"/>
    <col min="5391" max="5391" width="1.5703125" customWidth="1"/>
    <col min="5392" max="5393" width="2.42578125" customWidth="1"/>
    <col min="5394" max="5394" width="2.7109375" customWidth="1"/>
    <col min="5395" max="5400" width="2.42578125" customWidth="1"/>
    <col min="5401" max="5401" width="3.42578125" customWidth="1"/>
    <col min="5402" max="5406" width="2.42578125" customWidth="1"/>
    <col min="5407" max="5407" width="2.7109375" customWidth="1"/>
    <col min="5408" max="5412" width="2.42578125" customWidth="1"/>
    <col min="5413" max="5413" width="2.5703125" customWidth="1"/>
    <col min="5414" max="5421" width="2.42578125" customWidth="1"/>
    <col min="5633" max="5637" width="2.42578125" customWidth="1"/>
    <col min="5638" max="5638" width="3.28515625" customWidth="1"/>
    <col min="5639" max="5643" width="2.42578125" customWidth="1"/>
    <col min="5644" max="5644" width="2.7109375" customWidth="1"/>
    <col min="5645" max="5646" width="2.42578125" customWidth="1"/>
    <col min="5647" max="5647" width="1.5703125" customWidth="1"/>
    <col min="5648" max="5649" width="2.42578125" customWidth="1"/>
    <col min="5650" max="5650" width="2.7109375" customWidth="1"/>
    <col min="5651" max="5656" width="2.42578125" customWidth="1"/>
    <col min="5657" max="5657" width="3.42578125" customWidth="1"/>
    <col min="5658" max="5662" width="2.42578125" customWidth="1"/>
    <col min="5663" max="5663" width="2.7109375" customWidth="1"/>
    <col min="5664" max="5668" width="2.42578125" customWidth="1"/>
    <col min="5669" max="5669" width="2.5703125" customWidth="1"/>
    <col min="5670" max="5677" width="2.42578125" customWidth="1"/>
    <col min="5889" max="5893" width="2.42578125" customWidth="1"/>
    <col min="5894" max="5894" width="3.28515625" customWidth="1"/>
    <col min="5895" max="5899" width="2.42578125" customWidth="1"/>
    <col min="5900" max="5900" width="2.7109375" customWidth="1"/>
    <col min="5901" max="5902" width="2.42578125" customWidth="1"/>
    <col min="5903" max="5903" width="1.5703125" customWidth="1"/>
    <col min="5904" max="5905" width="2.42578125" customWidth="1"/>
    <col min="5906" max="5906" width="2.7109375" customWidth="1"/>
    <col min="5907" max="5912" width="2.42578125" customWidth="1"/>
    <col min="5913" max="5913" width="3.42578125" customWidth="1"/>
    <col min="5914" max="5918" width="2.42578125" customWidth="1"/>
    <col min="5919" max="5919" width="2.7109375" customWidth="1"/>
    <col min="5920" max="5924" width="2.42578125" customWidth="1"/>
    <col min="5925" max="5925" width="2.5703125" customWidth="1"/>
    <col min="5926" max="5933" width="2.42578125" customWidth="1"/>
    <col min="6145" max="6149" width="2.42578125" customWidth="1"/>
    <col min="6150" max="6150" width="3.28515625" customWidth="1"/>
    <col min="6151" max="6155" width="2.42578125" customWidth="1"/>
    <col min="6156" max="6156" width="2.7109375" customWidth="1"/>
    <col min="6157" max="6158" width="2.42578125" customWidth="1"/>
    <col min="6159" max="6159" width="1.5703125" customWidth="1"/>
    <col min="6160" max="6161" width="2.42578125" customWidth="1"/>
    <col min="6162" max="6162" width="2.7109375" customWidth="1"/>
    <col min="6163" max="6168" width="2.42578125" customWidth="1"/>
    <col min="6169" max="6169" width="3.42578125" customWidth="1"/>
    <col min="6170" max="6174" width="2.42578125" customWidth="1"/>
    <col min="6175" max="6175" width="2.7109375" customWidth="1"/>
    <col min="6176" max="6180" width="2.42578125" customWidth="1"/>
    <col min="6181" max="6181" width="2.5703125" customWidth="1"/>
    <col min="6182" max="6189" width="2.42578125" customWidth="1"/>
    <col min="6401" max="6405" width="2.42578125" customWidth="1"/>
    <col min="6406" max="6406" width="3.28515625" customWidth="1"/>
    <col min="6407" max="6411" width="2.42578125" customWidth="1"/>
    <col min="6412" max="6412" width="2.7109375" customWidth="1"/>
    <col min="6413" max="6414" width="2.42578125" customWidth="1"/>
    <col min="6415" max="6415" width="1.5703125" customWidth="1"/>
    <col min="6416" max="6417" width="2.42578125" customWidth="1"/>
    <col min="6418" max="6418" width="2.7109375" customWidth="1"/>
    <col min="6419" max="6424" width="2.42578125" customWidth="1"/>
    <col min="6425" max="6425" width="3.42578125" customWidth="1"/>
    <col min="6426" max="6430" width="2.42578125" customWidth="1"/>
    <col min="6431" max="6431" width="2.7109375" customWidth="1"/>
    <col min="6432" max="6436" width="2.42578125" customWidth="1"/>
    <col min="6437" max="6437" width="2.5703125" customWidth="1"/>
    <col min="6438" max="6445" width="2.42578125" customWidth="1"/>
    <col min="6657" max="6661" width="2.42578125" customWidth="1"/>
    <col min="6662" max="6662" width="3.28515625" customWidth="1"/>
    <col min="6663" max="6667" width="2.42578125" customWidth="1"/>
    <col min="6668" max="6668" width="2.7109375" customWidth="1"/>
    <col min="6669" max="6670" width="2.42578125" customWidth="1"/>
    <col min="6671" max="6671" width="1.5703125" customWidth="1"/>
    <col min="6672" max="6673" width="2.42578125" customWidth="1"/>
    <col min="6674" max="6674" width="2.7109375" customWidth="1"/>
    <col min="6675" max="6680" width="2.42578125" customWidth="1"/>
    <col min="6681" max="6681" width="3.42578125" customWidth="1"/>
    <col min="6682" max="6686" width="2.42578125" customWidth="1"/>
    <col min="6687" max="6687" width="2.7109375" customWidth="1"/>
    <col min="6688" max="6692" width="2.42578125" customWidth="1"/>
    <col min="6693" max="6693" width="2.5703125" customWidth="1"/>
    <col min="6694" max="6701" width="2.42578125" customWidth="1"/>
    <col min="6913" max="6917" width="2.42578125" customWidth="1"/>
    <col min="6918" max="6918" width="3.28515625" customWidth="1"/>
    <col min="6919" max="6923" width="2.42578125" customWidth="1"/>
    <col min="6924" max="6924" width="2.7109375" customWidth="1"/>
    <col min="6925" max="6926" width="2.42578125" customWidth="1"/>
    <col min="6927" max="6927" width="1.5703125" customWidth="1"/>
    <col min="6928" max="6929" width="2.42578125" customWidth="1"/>
    <col min="6930" max="6930" width="2.7109375" customWidth="1"/>
    <col min="6931" max="6936" width="2.42578125" customWidth="1"/>
    <col min="6937" max="6937" width="3.42578125" customWidth="1"/>
    <col min="6938" max="6942" width="2.42578125" customWidth="1"/>
    <col min="6943" max="6943" width="2.7109375" customWidth="1"/>
    <col min="6944" max="6948" width="2.42578125" customWidth="1"/>
    <col min="6949" max="6949" width="2.5703125" customWidth="1"/>
    <col min="6950" max="6957" width="2.42578125" customWidth="1"/>
    <col min="7169" max="7173" width="2.42578125" customWidth="1"/>
    <col min="7174" max="7174" width="3.28515625" customWidth="1"/>
    <col min="7175" max="7179" width="2.42578125" customWidth="1"/>
    <col min="7180" max="7180" width="2.7109375" customWidth="1"/>
    <col min="7181" max="7182" width="2.42578125" customWidth="1"/>
    <col min="7183" max="7183" width="1.5703125" customWidth="1"/>
    <col min="7184" max="7185" width="2.42578125" customWidth="1"/>
    <col min="7186" max="7186" width="2.7109375" customWidth="1"/>
    <col min="7187" max="7192" width="2.42578125" customWidth="1"/>
    <col min="7193" max="7193" width="3.42578125" customWidth="1"/>
    <col min="7194" max="7198" width="2.42578125" customWidth="1"/>
    <col min="7199" max="7199" width="2.7109375" customWidth="1"/>
    <col min="7200" max="7204" width="2.42578125" customWidth="1"/>
    <col min="7205" max="7205" width="2.5703125" customWidth="1"/>
    <col min="7206" max="7213" width="2.42578125" customWidth="1"/>
    <col min="7425" max="7429" width="2.42578125" customWidth="1"/>
    <col min="7430" max="7430" width="3.28515625" customWidth="1"/>
    <col min="7431" max="7435" width="2.42578125" customWidth="1"/>
    <col min="7436" max="7436" width="2.7109375" customWidth="1"/>
    <col min="7437" max="7438" width="2.42578125" customWidth="1"/>
    <col min="7439" max="7439" width="1.5703125" customWidth="1"/>
    <col min="7440" max="7441" width="2.42578125" customWidth="1"/>
    <col min="7442" max="7442" width="2.7109375" customWidth="1"/>
    <col min="7443" max="7448" width="2.42578125" customWidth="1"/>
    <col min="7449" max="7449" width="3.42578125" customWidth="1"/>
    <col min="7450" max="7454" width="2.42578125" customWidth="1"/>
    <col min="7455" max="7455" width="2.7109375" customWidth="1"/>
    <col min="7456" max="7460" width="2.42578125" customWidth="1"/>
    <col min="7461" max="7461" width="2.5703125" customWidth="1"/>
    <col min="7462" max="7469" width="2.42578125" customWidth="1"/>
    <col min="7681" max="7685" width="2.42578125" customWidth="1"/>
    <col min="7686" max="7686" width="3.28515625" customWidth="1"/>
    <col min="7687" max="7691" width="2.42578125" customWidth="1"/>
    <col min="7692" max="7692" width="2.7109375" customWidth="1"/>
    <col min="7693" max="7694" width="2.42578125" customWidth="1"/>
    <col min="7695" max="7695" width="1.5703125" customWidth="1"/>
    <col min="7696" max="7697" width="2.42578125" customWidth="1"/>
    <col min="7698" max="7698" width="2.7109375" customWidth="1"/>
    <col min="7699" max="7704" width="2.42578125" customWidth="1"/>
    <col min="7705" max="7705" width="3.42578125" customWidth="1"/>
    <col min="7706" max="7710" width="2.42578125" customWidth="1"/>
    <col min="7711" max="7711" width="2.7109375" customWidth="1"/>
    <col min="7712" max="7716" width="2.42578125" customWidth="1"/>
    <col min="7717" max="7717" width="2.5703125" customWidth="1"/>
    <col min="7718" max="7725" width="2.42578125" customWidth="1"/>
    <col min="7937" max="7941" width="2.42578125" customWidth="1"/>
    <col min="7942" max="7942" width="3.28515625" customWidth="1"/>
    <col min="7943" max="7947" width="2.42578125" customWidth="1"/>
    <col min="7948" max="7948" width="2.7109375" customWidth="1"/>
    <col min="7949" max="7950" width="2.42578125" customWidth="1"/>
    <col min="7951" max="7951" width="1.5703125" customWidth="1"/>
    <col min="7952" max="7953" width="2.42578125" customWidth="1"/>
    <col min="7954" max="7954" width="2.7109375" customWidth="1"/>
    <col min="7955" max="7960" width="2.42578125" customWidth="1"/>
    <col min="7961" max="7961" width="3.42578125" customWidth="1"/>
    <col min="7962" max="7966" width="2.42578125" customWidth="1"/>
    <col min="7967" max="7967" width="2.7109375" customWidth="1"/>
    <col min="7968" max="7972" width="2.42578125" customWidth="1"/>
    <col min="7973" max="7973" width="2.5703125" customWidth="1"/>
    <col min="7974" max="7981" width="2.42578125" customWidth="1"/>
    <col min="8193" max="8197" width="2.42578125" customWidth="1"/>
    <col min="8198" max="8198" width="3.28515625" customWidth="1"/>
    <col min="8199" max="8203" width="2.42578125" customWidth="1"/>
    <col min="8204" max="8204" width="2.7109375" customWidth="1"/>
    <col min="8205" max="8206" width="2.42578125" customWidth="1"/>
    <col min="8207" max="8207" width="1.5703125" customWidth="1"/>
    <col min="8208" max="8209" width="2.42578125" customWidth="1"/>
    <col min="8210" max="8210" width="2.7109375" customWidth="1"/>
    <col min="8211" max="8216" width="2.42578125" customWidth="1"/>
    <col min="8217" max="8217" width="3.42578125" customWidth="1"/>
    <col min="8218" max="8222" width="2.42578125" customWidth="1"/>
    <col min="8223" max="8223" width="2.7109375" customWidth="1"/>
    <col min="8224" max="8228" width="2.42578125" customWidth="1"/>
    <col min="8229" max="8229" width="2.5703125" customWidth="1"/>
    <col min="8230" max="8237" width="2.42578125" customWidth="1"/>
    <col min="8449" max="8453" width="2.42578125" customWidth="1"/>
    <col min="8454" max="8454" width="3.28515625" customWidth="1"/>
    <col min="8455" max="8459" width="2.42578125" customWidth="1"/>
    <col min="8460" max="8460" width="2.7109375" customWidth="1"/>
    <col min="8461" max="8462" width="2.42578125" customWidth="1"/>
    <col min="8463" max="8463" width="1.5703125" customWidth="1"/>
    <col min="8464" max="8465" width="2.42578125" customWidth="1"/>
    <col min="8466" max="8466" width="2.7109375" customWidth="1"/>
    <col min="8467" max="8472" width="2.42578125" customWidth="1"/>
    <col min="8473" max="8473" width="3.42578125" customWidth="1"/>
    <col min="8474" max="8478" width="2.42578125" customWidth="1"/>
    <col min="8479" max="8479" width="2.7109375" customWidth="1"/>
    <col min="8480" max="8484" width="2.42578125" customWidth="1"/>
    <col min="8485" max="8485" width="2.5703125" customWidth="1"/>
    <col min="8486" max="8493" width="2.42578125" customWidth="1"/>
    <col min="8705" max="8709" width="2.42578125" customWidth="1"/>
    <col min="8710" max="8710" width="3.28515625" customWidth="1"/>
    <col min="8711" max="8715" width="2.42578125" customWidth="1"/>
    <col min="8716" max="8716" width="2.7109375" customWidth="1"/>
    <col min="8717" max="8718" width="2.42578125" customWidth="1"/>
    <col min="8719" max="8719" width="1.5703125" customWidth="1"/>
    <col min="8720" max="8721" width="2.42578125" customWidth="1"/>
    <col min="8722" max="8722" width="2.7109375" customWidth="1"/>
    <col min="8723" max="8728" width="2.42578125" customWidth="1"/>
    <col min="8729" max="8729" width="3.42578125" customWidth="1"/>
    <col min="8730" max="8734" width="2.42578125" customWidth="1"/>
    <col min="8735" max="8735" width="2.7109375" customWidth="1"/>
    <col min="8736" max="8740" width="2.42578125" customWidth="1"/>
    <col min="8741" max="8741" width="2.5703125" customWidth="1"/>
    <col min="8742" max="8749" width="2.42578125" customWidth="1"/>
    <col min="8961" max="8965" width="2.42578125" customWidth="1"/>
    <col min="8966" max="8966" width="3.28515625" customWidth="1"/>
    <col min="8967" max="8971" width="2.42578125" customWidth="1"/>
    <col min="8972" max="8972" width="2.7109375" customWidth="1"/>
    <col min="8973" max="8974" width="2.42578125" customWidth="1"/>
    <col min="8975" max="8975" width="1.5703125" customWidth="1"/>
    <col min="8976" max="8977" width="2.42578125" customWidth="1"/>
    <col min="8978" max="8978" width="2.7109375" customWidth="1"/>
    <col min="8979" max="8984" width="2.42578125" customWidth="1"/>
    <col min="8985" max="8985" width="3.42578125" customWidth="1"/>
    <col min="8986" max="8990" width="2.42578125" customWidth="1"/>
    <col min="8991" max="8991" width="2.7109375" customWidth="1"/>
    <col min="8992" max="8996" width="2.42578125" customWidth="1"/>
    <col min="8997" max="8997" width="2.5703125" customWidth="1"/>
    <col min="8998" max="9005" width="2.42578125" customWidth="1"/>
    <col min="9217" max="9221" width="2.42578125" customWidth="1"/>
    <col min="9222" max="9222" width="3.28515625" customWidth="1"/>
    <col min="9223" max="9227" width="2.42578125" customWidth="1"/>
    <col min="9228" max="9228" width="2.7109375" customWidth="1"/>
    <col min="9229" max="9230" width="2.42578125" customWidth="1"/>
    <col min="9231" max="9231" width="1.5703125" customWidth="1"/>
    <col min="9232" max="9233" width="2.42578125" customWidth="1"/>
    <col min="9234" max="9234" width="2.7109375" customWidth="1"/>
    <col min="9235" max="9240" width="2.42578125" customWidth="1"/>
    <col min="9241" max="9241" width="3.42578125" customWidth="1"/>
    <col min="9242" max="9246" width="2.42578125" customWidth="1"/>
    <col min="9247" max="9247" width="2.7109375" customWidth="1"/>
    <col min="9248" max="9252" width="2.42578125" customWidth="1"/>
    <col min="9253" max="9253" width="2.5703125" customWidth="1"/>
    <col min="9254" max="9261" width="2.42578125" customWidth="1"/>
    <col min="9473" max="9477" width="2.42578125" customWidth="1"/>
    <col min="9478" max="9478" width="3.28515625" customWidth="1"/>
    <col min="9479" max="9483" width="2.42578125" customWidth="1"/>
    <col min="9484" max="9484" width="2.7109375" customWidth="1"/>
    <col min="9485" max="9486" width="2.42578125" customWidth="1"/>
    <col min="9487" max="9487" width="1.5703125" customWidth="1"/>
    <col min="9488" max="9489" width="2.42578125" customWidth="1"/>
    <col min="9490" max="9490" width="2.7109375" customWidth="1"/>
    <col min="9491" max="9496" width="2.42578125" customWidth="1"/>
    <col min="9497" max="9497" width="3.42578125" customWidth="1"/>
    <col min="9498" max="9502" width="2.42578125" customWidth="1"/>
    <col min="9503" max="9503" width="2.7109375" customWidth="1"/>
    <col min="9504" max="9508" width="2.42578125" customWidth="1"/>
    <col min="9509" max="9509" width="2.5703125" customWidth="1"/>
    <col min="9510" max="9517" width="2.42578125" customWidth="1"/>
    <col min="9729" max="9733" width="2.42578125" customWidth="1"/>
    <col min="9734" max="9734" width="3.28515625" customWidth="1"/>
    <col min="9735" max="9739" width="2.42578125" customWidth="1"/>
    <col min="9740" max="9740" width="2.7109375" customWidth="1"/>
    <col min="9741" max="9742" width="2.42578125" customWidth="1"/>
    <col min="9743" max="9743" width="1.5703125" customWidth="1"/>
    <col min="9744" max="9745" width="2.42578125" customWidth="1"/>
    <col min="9746" max="9746" width="2.7109375" customWidth="1"/>
    <col min="9747" max="9752" width="2.42578125" customWidth="1"/>
    <col min="9753" max="9753" width="3.42578125" customWidth="1"/>
    <col min="9754" max="9758" width="2.42578125" customWidth="1"/>
    <col min="9759" max="9759" width="2.7109375" customWidth="1"/>
    <col min="9760" max="9764" width="2.42578125" customWidth="1"/>
    <col min="9765" max="9765" width="2.5703125" customWidth="1"/>
    <col min="9766" max="9773" width="2.42578125" customWidth="1"/>
    <col min="9985" max="9989" width="2.42578125" customWidth="1"/>
    <col min="9990" max="9990" width="3.28515625" customWidth="1"/>
    <col min="9991" max="9995" width="2.42578125" customWidth="1"/>
    <col min="9996" max="9996" width="2.7109375" customWidth="1"/>
    <col min="9997" max="9998" width="2.42578125" customWidth="1"/>
    <col min="9999" max="9999" width="1.5703125" customWidth="1"/>
    <col min="10000" max="10001" width="2.42578125" customWidth="1"/>
    <col min="10002" max="10002" width="2.7109375" customWidth="1"/>
    <col min="10003" max="10008" width="2.42578125" customWidth="1"/>
    <col min="10009" max="10009" width="3.42578125" customWidth="1"/>
    <col min="10010" max="10014" width="2.42578125" customWidth="1"/>
    <col min="10015" max="10015" width="2.7109375" customWidth="1"/>
    <col min="10016" max="10020" width="2.42578125" customWidth="1"/>
    <col min="10021" max="10021" width="2.5703125" customWidth="1"/>
    <col min="10022" max="10029" width="2.42578125" customWidth="1"/>
    <col min="10241" max="10245" width="2.42578125" customWidth="1"/>
    <col min="10246" max="10246" width="3.28515625" customWidth="1"/>
    <col min="10247" max="10251" width="2.42578125" customWidth="1"/>
    <col min="10252" max="10252" width="2.7109375" customWidth="1"/>
    <col min="10253" max="10254" width="2.42578125" customWidth="1"/>
    <col min="10255" max="10255" width="1.5703125" customWidth="1"/>
    <col min="10256" max="10257" width="2.42578125" customWidth="1"/>
    <col min="10258" max="10258" width="2.7109375" customWidth="1"/>
    <col min="10259" max="10264" width="2.42578125" customWidth="1"/>
    <col min="10265" max="10265" width="3.42578125" customWidth="1"/>
    <col min="10266" max="10270" width="2.42578125" customWidth="1"/>
    <col min="10271" max="10271" width="2.7109375" customWidth="1"/>
    <col min="10272" max="10276" width="2.42578125" customWidth="1"/>
    <col min="10277" max="10277" width="2.5703125" customWidth="1"/>
    <col min="10278" max="10285" width="2.42578125" customWidth="1"/>
    <col min="10497" max="10501" width="2.42578125" customWidth="1"/>
    <col min="10502" max="10502" width="3.28515625" customWidth="1"/>
    <col min="10503" max="10507" width="2.42578125" customWidth="1"/>
    <col min="10508" max="10508" width="2.7109375" customWidth="1"/>
    <col min="10509" max="10510" width="2.42578125" customWidth="1"/>
    <col min="10511" max="10511" width="1.5703125" customWidth="1"/>
    <col min="10512" max="10513" width="2.42578125" customWidth="1"/>
    <col min="10514" max="10514" width="2.7109375" customWidth="1"/>
    <col min="10515" max="10520" width="2.42578125" customWidth="1"/>
    <col min="10521" max="10521" width="3.42578125" customWidth="1"/>
    <col min="10522" max="10526" width="2.42578125" customWidth="1"/>
    <col min="10527" max="10527" width="2.7109375" customWidth="1"/>
    <col min="10528" max="10532" width="2.42578125" customWidth="1"/>
    <col min="10533" max="10533" width="2.5703125" customWidth="1"/>
    <col min="10534" max="10541" width="2.42578125" customWidth="1"/>
    <col min="10753" max="10757" width="2.42578125" customWidth="1"/>
    <col min="10758" max="10758" width="3.28515625" customWidth="1"/>
    <col min="10759" max="10763" width="2.42578125" customWidth="1"/>
    <col min="10764" max="10764" width="2.7109375" customWidth="1"/>
    <col min="10765" max="10766" width="2.42578125" customWidth="1"/>
    <col min="10767" max="10767" width="1.5703125" customWidth="1"/>
    <col min="10768" max="10769" width="2.42578125" customWidth="1"/>
    <col min="10770" max="10770" width="2.7109375" customWidth="1"/>
    <col min="10771" max="10776" width="2.42578125" customWidth="1"/>
    <col min="10777" max="10777" width="3.42578125" customWidth="1"/>
    <col min="10778" max="10782" width="2.42578125" customWidth="1"/>
    <col min="10783" max="10783" width="2.7109375" customWidth="1"/>
    <col min="10784" max="10788" width="2.42578125" customWidth="1"/>
    <col min="10789" max="10789" width="2.5703125" customWidth="1"/>
    <col min="10790" max="10797" width="2.42578125" customWidth="1"/>
    <col min="11009" max="11013" width="2.42578125" customWidth="1"/>
    <col min="11014" max="11014" width="3.28515625" customWidth="1"/>
    <col min="11015" max="11019" width="2.42578125" customWidth="1"/>
    <col min="11020" max="11020" width="2.7109375" customWidth="1"/>
    <col min="11021" max="11022" width="2.42578125" customWidth="1"/>
    <col min="11023" max="11023" width="1.5703125" customWidth="1"/>
    <col min="11024" max="11025" width="2.42578125" customWidth="1"/>
    <col min="11026" max="11026" width="2.7109375" customWidth="1"/>
    <col min="11027" max="11032" width="2.42578125" customWidth="1"/>
    <col min="11033" max="11033" width="3.42578125" customWidth="1"/>
    <col min="11034" max="11038" width="2.42578125" customWidth="1"/>
    <col min="11039" max="11039" width="2.7109375" customWidth="1"/>
    <col min="11040" max="11044" width="2.42578125" customWidth="1"/>
    <col min="11045" max="11045" width="2.5703125" customWidth="1"/>
    <col min="11046" max="11053" width="2.42578125" customWidth="1"/>
    <col min="11265" max="11269" width="2.42578125" customWidth="1"/>
    <col min="11270" max="11270" width="3.28515625" customWidth="1"/>
    <col min="11271" max="11275" width="2.42578125" customWidth="1"/>
    <col min="11276" max="11276" width="2.7109375" customWidth="1"/>
    <col min="11277" max="11278" width="2.42578125" customWidth="1"/>
    <col min="11279" max="11279" width="1.5703125" customWidth="1"/>
    <col min="11280" max="11281" width="2.42578125" customWidth="1"/>
    <col min="11282" max="11282" width="2.7109375" customWidth="1"/>
    <col min="11283" max="11288" width="2.42578125" customWidth="1"/>
    <col min="11289" max="11289" width="3.42578125" customWidth="1"/>
    <col min="11290" max="11294" width="2.42578125" customWidth="1"/>
    <col min="11295" max="11295" width="2.7109375" customWidth="1"/>
    <col min="11296" max="11300" width="2.42578125" customWidth="1"/>
    <col min="11301" max="11301" width="2.5703125" customWidth="1"/>
    <col min="11302" max="11309" width="2.42578125" customWidth="1"/>
    <col min="11521" max="11525" width="2.42578125" customWidth="1"/>
    <col min="11526" max="11526" width="3.28515625" customWidth="1"/>
    <col min="11527" max="11531" width="2.42578125" customWidth="1"/>
    <col min="11532" max="11532" width="2.7109375" customWidth="1"/>
    <col min="11533" max="11534" width="2.42578125" customWidth="1"/>
    <col min="11535" max="11535" width="1.5703125" customWidth="1"/>
    <col min="11536" max="11537" width="2.42578125" customWidth="1"/>
    <col min="11538" max="11538" width="2.7109375" customWidth="1"/>
    <col min="11539" max="11544" width="2.42578125" customWidth="1"/>
    <col min="11545" max="11545" width="3.42578125" customWidth="1"/>
    <col min="11546" max="11550" width="2.42578125" customWidth="1"/>
    <col min="11551" max="11551" width="2.7109375" customWidth="1"/>
    <col min="11552" max="11556" width="2.42578125" customWidth="1"/>
    <col min="11557" max="11557" width="2.5703125" customWidth="1"/>
    <col min="11558" max="11565" width="2.42578125" customWidth="1"/>
    <col min="11777" max="11781" width="2.42578125" customWidth="1"/>
    <col min="11782" max="11782" width="3.28515625" customWidth="1"/>
    <col min="11783" max="11787" width="2.42578125" customWidth="1"/>
    <col min="11788" max="11788" width="2.7109375" customWidth="1"/>
    <col min="11789" max="11790" width="2.42578125" customWidth="1"/>
    <col min="11791" max="11791" width="1.5703125" customWidth="1"/>
    <col min="11792" max="11793" width="2.42578125" customWidth="1"/>
    <col min="11794" max="11794" width="2.7109375" customWidth="1"/>
    <col min="11795" max="11800" width="2.42578125" customWidth="1"/>
    <col min="11801" max="11801" width="3.42578125" customWidth="1"/>
    <col min="11802" max="11806" width="2.42578125" customWidth="1"/>
    <col min="11807" max="11807" width="2.7109375" customWidth="1"/>
    <col min="11808" max="11812" width="2.42578125" customWidth="1"/>
    <col min="11813" max="11813" width="2.5703125" customWidth="1"/>
    <col min="11814" max="11821" width="2.42578125" customWidth="1"/>
    <col min="12033" max="12037" width="2.42578125" customWidth="1"/>
    <col min="12038" max="12038" width="3.28515625" customWidth="1"/>
    <col min="12039" max="12043" width="2.42578125" customWidth="1"/>
    <col min="12044" max="12044" width="2.7109375" customWidth="1"/>
    <col min="12045" max="12046" width="2.42578125" customWidth="1"/>
    <col min="12047" max="12047" width="1.5703125" customWidth="1"/>
    <col min="12048" max="12049" width="2.42578125" customWidth="1"/>
    <col min="12050" max="12050" width="2.7109375" customWidth="1"/>
    <col min="12051" max="12056" width="2.42578125" customWidth="1"/>
    <col min="12057" max="12057" width="3.42578125" customWidth="1"/>
    <col min="12058" max="12062" width="2.42578125" customWidth="1"/>
    <col min="12063" max="12063" width="2.7109375" customWidth="1"/>
    <col min="12064" max="12068" width="2.42578125" customWidth="1"/>
    <col min="12069" max="12069" width="2.5703125" customWidth="1"/>
    <col min="12070" max="12077" width="2.42578125" customWidth="1"/>
    <col min="12289" max="12293" width="2.42578125" customWidth="1"/>
    <col min="12294" max="12294" width="3.28515625" customWidth="1"/>
    <col min="12295" max="12299" width="2.42578125" customWidth="1"/>
    <col min="12300" max="12300" width="2.7109375" customWidth="1"/>
    <col min="12301" max="12302" width="2.42578125" customWidth="1"/>
    <col min="12303" max="12303" width="1.5703125" customWidth="1"/>
    <col min="12304" max="12305" width="2.42578125" customWidth="1"/>
    <col min="12306" max="12306" width="2.7109375" customWidth="1"/>
    <col min="12307" max="12312" width="2.42578125" customWidth="1"/>
    <col min="12313" max="12313" width="3.42578125" customWidth="1"/>
    <col min="12314" max="12318" width="2.42578125" customWidth="1"/>
    <col min="12319" max="12319" width="2.7109375" customWidth="1"/>
    <col min="12320" max="12324" width="2.42578125" customWidth="1"/>
    <col min="12325" max="12325" width="2.5703125" customWidth="1"/>
    <col min="12326" max="12333" width="2.42578125" customWidth="1"/>
    <col min="12545" max="12549" width="2.42578125" customWidth="1"/>
    <col min="12550" max="12550" width="3.28515625" customWidth="1"/>
    <col min="12551" max="12555" width="2.42578125" customWidth="1"/>
    <col min="12556" max="12556" width="2.7109375" customWidth="1"/>
    <col min="12557" max="12558" width="2.42578125" customWidth="1"/>
    <col min="12559" max="12559" width="1.5703125" customWidth="1"/>
    <col min="12560" max="12561" width="2.42578125" customWidth="1"/>
    <col min="12562" max="12562" width="2.7109375" customWidth="1"/>
    <col min="12563" max="12568" width="2.42578125" customWidth="1"/>
    <col min="12569" max="12569" width="3.42578125" customWidth="1"/>
    <col min="12570" max="12574" width="2.42578125" customWidth="1"/>
    <col min="12575" max="12575" width="2.7109375" customWidth="1"/>
    <col min="12576" max="12580" width="2.42578125" customWidth="1"/>
    <col min="12581" max="12581" width="2.5703125" customWidth="1"/>
    <col min="12582" max="12589" width="2.42578125" customWidth="1"/>
    <col min="12801" max="12805" width="2.42578125" customWidth="1"/>
    <col min="12806" max="12806" width="3.28515625" customWidth="1"/>
    <col min="12807" max="12811" width="2.42578125" customWidth="1"/>
    <col min="12812" max="12812" width="2.7109375" customWidth="1"/>
    <col min="12813" max="12814" width="2.42578125" customWidth="1"/>
    <col min="12815" max="12815" width="1.5703125" customWidth="1"/>
    <col min="12816" max="12817" width="2.42578125" customWidth="1"/>
    <col min="12818" max="12818" width="2.7109375" customWidth="1"/>
    <col min="12819" max="12824" width="2.42578125" customWidth="1"/>
    <col min="12825" max="12825" width="3.42578125" customWidth="1"/>
    <col min="12826" max="12830" width="2.42578125" customWidth="1"/>
    <col min="12831" max="12831" width="2.7109375" customWidth="1"/>
    <col min="12832" max="12836" width="2.42578125" customWidth="1"/>
    <col min="12837" max="12837" width="2.5703125" customWidth="1"/>
    <col min="12838" max="12845" width="2.42578125" customWidth="1"/>
    <col min="13057" max="13061" width="2.42578125" customWidth="1"/>
    <col min="13062" max="13062" width="3.28515625" customWidth="1"/>
    <col min="13063" max="13067" width="2.42578125" customWidth="1"/>
    <col min="13068" max="13068" width="2.7109375" customWidth="1"/>
    <col min="13069" max="13070" width="2.42578125" customWidth="1"/>
    <col min="13071" max="13071" width="1.5703125" customWidth="1"/>
    <col min="13072" max="13073" width="2.42578125" customWidth="1"/>
    <col min="13074" max="13074" width="2.7109375" customWidth="1"/>
    <col min="13075" max="13080" width="2.42578125" customWidth="1"/>
    <col min="13081" max="13081" width="3.42578125" customWidth="1"/>
    <col min="13082" max="13086" width="2.42578125" customWidth="1"/>
    <col min="13087" max="13087" width="2.7109375" customWidth="1"/>
    <col min="13088" max="13092" width="2.42578125" customWidth="1"/>
    <col min="13093" max="13093" width="2.5703125" customWidth="1"/>
    <col min="13094" max="13101" width="2.42578125" customWidth="1"/>
    <col min="13313" max="13317" width="2.42578125" customWidth="1"/>
    <col min="13318" max="13318" width="3.28515625" customWidth="1"/>
    <col min="13319" max="13323" width="2.42578125" customWidth="1"/>
    <col min="13324" max="13324" width="2.7109375" customWidth="1"/>
    <col min="13325" max="13326" width="2.42578125" customWidth="1"/>
    <col min="13327" max="13327" width="1.5703125" customWidth="1"/>
    <col min="13328" max="13329" width="2.42578125" customWidth="1"/>
    <col min="13330" max="13330" width="2.7109375" customWidth="1"/>
    <col min="13331" max="13336" width="2.42578125" customWidth="1"/>
    <col min="13337" max="13337" width="3.42578125" customWidth="1"/>
    <col min="13338" max="13342" width="2.42578125" customWidth="1"/>
    <col min="13343" max="13343" width="2.7109375" customWidth="1"/>
    <col min="13344" max="13348" width="2.42578125" customWidth="1"/>
    <col min="13349" max="13349" width="2.5703125" customWidth="1"/>
    <col min="13350" max="13357" width="2.42578125" customWidth="1"/>
    <col min="13569" max="13573" width="2.42578125" customWidth="1"/>
    <col min="13574" max="13574" width="3.28515625" customWidth="1"/>
    <col min="13575" max="13579" width="2.42578125" customWidth="1"/>
    <col min="13580" max="13580" width="2.7109375" customWidth="1"/>
    <col min="13581" max="13582" width="2.42578125" customWidth="1"/>
    <col min="13583" max="13583" width="1.5703125" customWidth="1"/>
    <col min="13584" max="13585" width="2.42578125" customWidth="1"/>
    <col min="13586" max="13586" width="2.7109375" customWidth="1"/>
    <col min="13587" max="13592" width="2.42578125" customWidth="1"/>
    <col min="13593" max="13593" width="3.42578125" customWidth="1"/>
    <col min="13594" max="13598" width="2.42578125" customWidth="1"/>
    <col min="13599" max="13599" width="2.7109375" customWidth="1"/>
    <col min="13600" max="13604" width="2.42578125" customWidth="1"/>
    <col min="13605" max="13605" width="2.5703125" customWidth="1"/>
    <col min="13606" max="13613" width="2.42578125" customWidth="1"/>
    <col min="13825" max="13829" width="2.42578125" customWidth="1"/>
    <col min="13830" max="13830" width="3.28515625" customWidth="1"/>
    <col min="13831" max="13835" width="2.42578125" customWidth="1"/>
    <col min="13836" max="13836" width="2.7109375" customWidth="1"/>
    <col min="13837" max="13838" width="2.42578125" customWidth="1"/>
    <col min="13839" max="13839" width="1.5703125" customWidth="1"/>
    <col min="13840" max="13841" width="2.42578125" customWidth="1"/>
    <col min="13842" max="13842" width="2.7109375" customWidth="1"/>
    <col min="13843" max="13848" width="2.42578125" customWidth="1"/>
    <col min="13849" max="13849" width="3.42578125" customWidth="1"/>
    <col min="13850" max="13854" width="2.42578125" customWidth="1"/>
    <col min="13855" max="13855" width="2.7109375" customWidth="1"/>
    <col min="13856" max="13860" width="2.42578125" customWidth="1"/>
    <col min="13861" max="13861" width="2.5703125" customWidth="1"/>
    <col min="13862" max="13869" width="2.42578125" customWidth="1"/>
    <col min="14081" max="14085" width="2.42578125" customWidth="1"/>
    <col min="14086" max="14086" width="3.28515625" customWidth="1"/>
    <col min="14087" max="14091" width="2.42578125" customWidth="1"/>
    <col min="14092" max="14092" width="2.7109375" customWidth="1"/>
    <col min="14093" max="14094" width="2.42578125" customWidth="1"/>
    <col min="14095" max="14095" width="1.5703125" customWidth="1"/>
    <col min="14096" max="14097" width="2.42578125" customWidth="1"/>
    <col min="14098" max="14098" width="2.7109375" customWidth="1"/>
    <col min="14099" max="14104" width="2.42578125" customWidth="1"/>
    <col min="14105" max="14105" width="3.42578125" customWidth="1"/>
    <col min="14106" max="14110" width="2.42578125" customWidth="1"/>
    <col min="14111" max="14111" width="2.7109375" customWidth="1"/>
    <col min="14112" max="14116" width="2.42578125" customWidth="1"/>
    <col min="14117" max="14117" width="2.5703125" customWidth="1"/>
    <col min="14118" max="14125" width="2.42578125" customWidth="1"/>
    <col min="14337" max="14341" width="2.42578125" customWidth="1"/>
    <col min="14342" max="14342" width="3.28515625" customWidth="1"/>
    <col min="14343" max="14347" width="2.42578125" customWidth="1"/>
    <col min="14348" max="14348" width="2.7109375" customWidth="1"/>
    <col min="14349" max="14350" width="2.42578125" customWidth="1"/>
    <col min="14351" max="14351" width="1.5703125" customWidth="1"/>
    <col min="14352" max="14353" width="2.42578125" customWidth="1"/>
    <col min="14354" max="14354" width="2.7109375" customWidth="1"/>
    <col min="14355" max="14360" width="2.42578125" customWidth="1"/>
    <col min="14361" max="14361" width="3.42578125" customWidth="1"/>
    <col min="14362" max="14366" width="2.42578125" customWidth="1"/>
    <col min="14367" max="14367" width="2.7109375" customWidth="1"/>
    <col min="14368" max="14372" width="2.42578125" customWidth="1"/>
    <col min="14373" max="14373" width="2.5703125" customWidth="1"/>
    <col min="14374" max="14381" width="2.42578125" customWidth="1"/>
    <col min="14593" max="14597" width="2.42578125" customWidth="1"/>
    <col min="14598" max="14598" width="3.28515625" customWidth="1"/>
    <col min="14599" max="14603" width="2.42578125" customWidth="1"/>
    <col min="14604" max="14604" width="2.7109375" customWidth="1"/>
    <col min="14605" max="14606" width="2.42578125" customWidth="1"/>
    <col min="14607" max="14607" width="1.5703125" customWidth="1"/>
    <col min="14608" max="14609" width="2.42578125" customWidth="1"/>
    <col min="14610" max="14610" width="2.7109375" customWidth="1"/>
    <col min="14611" max="14616" width="2.42578125" customWidth="1"/>
    <col min="14617" max="14617" width="3.42578125" customWidth="1"/>
    <col min="14618" max="14622" width="2.42578125" customWidth="1"/>
    <col min="14623" max="14623" width="2.7109375" customWidth="1"/>
    <col min="14624" max="14628" width="2.42578125" customWidth="1"/>
    <col min="14629" max="14629" width="2.5703125" customWidth="1"/>
    <col min="14630" max="14637" width="2.42578125" customWidth="1"/>
    <col min="14849" max="14853" width="2.42578125" customWidth="1"/>
    <col min="14854" max="14854" width="3.28515625" customWidth="1"/>
    <col min="14855" max="14859" width="2.42578125" customWidth="1"/>
    <col min="14860" max="14860" width="2.7109375" customWidth="1"/>
    <col min="14861" max="14862" width="2.42578125" customWidth="1"/>
    <col min="14863" max="14863" width="1.5703125" customWidth="1"/>
    <col min="14864" max="14865" width="2.42578125" customWidth="1"/>
    <col min="14866" max="14866" width="2.7109375" customWidth="1"/>
    <col min="14867" max="14872" width="2.42578125" customWidth="1"/>
    <col min="14873" max="14873" width="3.42578125" customWidth="1"/>
    <col min="14874" max="14878" width="2.42578125" customWidth="1"/>
    <col min="14879" max="14879" width="2.7109375" customWidth="1"/>
    <col min="14880" max="14884" width="2.42578125" customWidth="1"/>
    <col min="14885" max="14885" width="2.5703125" customWidth="1"/>
    <col min="14886" max="14893" width="2.42578125" customWidth="1"/>
    <col min="15105" max="15109" width="2.42578125" customWidth="1"/>
    <col min="15110" max="15110" width="3.28515625" customWidth="1"/>
    <col min="15111" max="15115" width="2.42578125" customWidth="1"/>
    <col min="15116" max="15116" width="2.7109375" customWidth="1"/>
    <col min="15117" max="15118" width="2.42578125" customWidth="1"/>
    <col min="15119" max="15119" width="1.5703125" customWidth="1"/>
    <col min="15120" max="15121" width="2.42578125" customWidth="1"/>
    <col min="15122" max="15122" width="2.7109375" customWidth="1"/>
    <col min="15123" max="15128" width="2.42578125" customWidth="1"/>
    <col min="15129" max="15129" width="3.42578125" customWidth="1"/>
    <col min="15130" max="15134" width="2.42578125" customWidth="1"/>
    <col min="15135" max="15135" width="2.7109375" customWidth="1"/>
    <col min="15136" max="15140" width="2.42578125" customWidth="1"/>
    <col min="15141" max="15141" width="2.5703125" customWidth="1"/>
    <col min="15142" max="15149" width="2.42578125" customWidth="1"/>
    <col min="15361" max="15365" width="2.42578125" customWidth="1"/>
    <col min="15366" max="15366" width="3.28515625" customWidth="1"/>
    <col min="15367" max="15371" width="2.42578125" customWidth="1"/>
    <col min="15372" max="15372" width="2.7109375" customWidth="1"/>
    <col min="15373" max="15374" width="2.42578125" customWidth="1"/>
    <col min="15375" max="15375" width="1.5703125" customWidth="1"/>
    <col min="15376" max="15377" width="2.42578125" customWidth="1"/>
    <col min="15378" max="15378" width="2.7109375" customWidth="1"/>
    <col min="15379" max="15384" width="2.42578125" customWidth="1"/>
    <col min="15385" max="15385" width="3.42578125" customWidth="1"/>
    <col min="15386" max="15390" width="2.42578125" customWidth="1"/>
    <col min="15391" max="15391" width="2.7109375" customWidth="1"/>
    <col min="15392" max="15396" width="2.42578125" customWidth="1"/>
    <col min="15397" max="15397" width="2.5703125" customWidth="1"/>
    <col min="15398" max="15405" width="2.42578125" customWidth="1"/>
    <col min="15617" max="15621" width="2.42578125" customWidth="1"/>
    <col min="15622" max="15622" width="3.28515625" customWidth="1"/>
    <col min="15623" max="15627" width="2.42578125" customWidth="1"/>
    <col min="15628" max="15628" width="2.7109375" customWidth="1"/>
    <col min="15629" max="15630" width="2.42578125" customWidth="1"/>
    <col min="15631" max="15631" width="1.5703125" customWidth="1"/>
    <col min="15632" max="15633" width="2.42578125" customWidth="1"/>
    <col min="15634" max="15634" width="2.7109375" customWidth="1"/>
    <col min="15635" max="15640" width="2.42578125" customWidth="1"/>
    <col min="15641" max="15641" width="3.42578125" customWidth="1"/>
    <col min="15642" max="15646" width="2.42578125" customWidth="1"/>
    <col min="15647" max="15647" width="2.7109375" customWidth="1"/>
    <col min="15648" max="15652" width="2.42578125" customWidth="1"/>
    <col min="15653" max="15653" width="2.5703125" customWidth="1"/>
    <col min="15654" max="15661" width="2.42578125" customWidth="1"/>
    <col min="15873" max="15877" width="2.42578125" customWidth="1"/>
    <col min="15878" max="15878" width="3.28515625" customWidth="1"/>
    <col min="15879" max="15883" width="2.42578125" customWidth="1"/>
    <col min="15884" max="15884" width="2.7109375" customWidth="1"/>
    <col min="15885" max="15886" width="2.42578125" customWidth="1"/>
    <col min="15887" max="15887" width="1.5703125" customWidth="1"/>
    <col min="15888" max="15889" width="2.42578125" customWidth="1"/>
    <col min="15890" max="15890" width="2.7109375" customWidth="1"/>
    <col min="15891" max="15896" width="2.42578125" customWidth="1"/>
    <col min="15897" max="15897" width="3.42578125" customWidth="1"/>
    <col min="15898" max="15902" width="2.42578125" customWidth="1"/>
    <col min="15903" max="15903" width="2.7109375" customWidth="1"/>
    <col min="15904" max="15908" width="2.42578125" customWidth="1"/>
    <col min="15909" max="15909" width="2.5703125" customWidth="1"/>
    <col min="15910" max="15917" width="2.42578125" customWidth="1"/>
    <col min="16129" max="16133" width="2.42578125" customWidth="1"/>
    <col min="16134" max="16134" width="3.28515625" customWidth="1"/>
    <col min="16135" max="16139" width="2.42578125" customWidth="1"/>
    <col min="16140" max="16140" width="2.7109375" customWidth="1"/>
    <col min="16141" max="16142" width="2.42578125" customWidth="1"/>
    <col min="16143" max="16143" width="1.5703125" customWidth="1"/>
    <col min="16144" max="16145" width="2.42578125" customWidth="1"/>
    <col min="16146" max="16146" width="2.7109375" customWidth="1"/>
    <col min="16147" max="16152" width="2.42578125" customWidth="1"/>
    <col min="16153" max="16153" width="3.42578125" customWidth="1"/>
    <col min="16154" max="16158" width="2.42578125" customWidth="1"/>
    <col min="16159" max="16159" width="2.7109375" customWidth="1"/>
    <col min="16160" max="16164" width="2.42578125" customWidth="1"/>
    <col min="16165" max="16165" width="2.5703125" customWidth="1"/>
    <col min="16166" max="16173" width="2.42578125" customWidth="1"/>
  </cols>
  <sheetData>
    <row r="1" spans="1:47" ht="18" x14ac:dyDescent="0.25">
      <c r="A1" s="789" t="s">
        <v>412</v>
      </c>
      <c r="B1" s="789"/>
      <c r="C1" s="789"/>
      <c r="D1" s="789"/>
      <c r="E1" s="789"/>
      <c r="F1" s="789"/>
      <c r="G1" s="789"/>
      <c r="H1" s="789"/>
      <c r="I1" s="789"/>
      <c r="J1" s="789"/>
      <c r="K1" s="789"/>
      <c r="L1" s="789"/>
      <c r="M1" s="789"/>
      <c r="N1" s="789"/>
      <c r="O1" s="789"/>
      <c r="P1" s="789"/>
      <c r="Q1" s="789"/>
      <c r="R1" s="789"/>
      <c r="S1" s="789"/>
      <c r="T1" s="789"/>
      <c r="U1" s="789"/>
      <c r="V1" s="789"/>
      <c r="W1" s="789"/>
      <c r="X1" s="789"/>
      <c r="Y1" s="789"/>
      <c r="Z1" s="789"/>
      <c r="AA1" s="789"/>
      <c r="AB1" s="789"/>
      <c r="AC1" s="789"/>
      <c r="AD1" s="789"/>
      <c r="AE1" s="789"/>
      <c r="AF1" s="789"/>
      <c r="AG1" s="789"/>
      <c r="AH1" s="789"/>
      <c r="AI1" s="789"/>
      <c r="AJ1" s="789"/>
      <c r="AK1" s="789"/>
    </row>
    <row r="2" spans="1:47" x14ac:dyDescent="0.2">
      <c r="A2" s="382" t="s">
        <v>251</v>
      </c>
      <c r="B2" s="382"/>
      <c r="C2" s="382"/>
      <c r="D2" s="790">
        <f>+Draft!T2</f>
        <v>46217</v>
      </c>
      <c r="E2" s="790"/>
      <c r="F2" s="790"/>
      <c r="H2" s="382" t="s">
        <v>261</v>
      </c>
      <c r="I2" s="382"/>
      <c r="J2" s="382"/>
      <c r="K2" s="791">
        <f>Draft!T3</f>
        <v>0.63888888888888884</v>
      </c>
      <c r="L2" s="671"/>
      <c r="M2" s="671"/>
      <c r="N2" s="382" t="s">
        <v>263</v>
      </c>
      <c r="O2" s="382"/>
      <c r="P2" s="791">
        <f>Draft!T4</f>
        <v>0.68055555555555558</v>
      </c>
      <c r="Q2" s="671"/>
      <c r="R2" s="671"/>
      <c r="T2" s="382" t="s">
        <v>251</v>
      </c>
      <c r="U2" s="382"/>
      <c r="V2" s="382"/>
      <c r="W2" s="790">
        <f>+Draft!AS2</f>
        <v>46221</v>
      </c>
      <c r="X2" s="790"/>
      <c r="Y2" s="790"/>
      <c r="AA2" s="382" t="s">
        <v>261</v>
      </c>
      <c r="AB2" s="382"/>
      <c r="AC2" s="382"/>
      <c r="AD2" s="791">
        <f>Draft!AS3</f>
        <v>0.66666666666666663</v>
      </c>
      <c r="AE2" s="671"/>
      <c r="AF2" s="671"/>
      <c r="AG2" s="382" t="s">
        <v>263</v>
      </c>
      <c r="AH2" s="382"/>
      <c r="AI2" s="791">
        <f>Draft!AS4</f>
        <v>0.69444444444444442</v>
      </c>
      <c r="AJ2" s="671"/>
      <c r="AK2" s="671"/>
    </row>
    <row r="3" spans="1:47" x14ac:dyDescent="0.2">
      <c r="A3" s="41"/>
      <c r="B3" s="41"/>
      <c r="C3" s="41"/>
      <c r="D3" s="179"/>
      <c r="E3" s="179"/>
      <c r="F3" s="179"/>
      <c r="H3" s="41"/>
      <c r="I3" s="41"/>
      <c r="J3" s="41"/>
      <c r="K3" s="40"/>
      <c r="L3" s="40"/>
      <c r="M3" s="40"/>
      <c r="N3" s="41"/>
      <c r="O3" s="41"/>
      <c r="P3" s="40"/>
      <c r="Q3" s="40"/>
      <c r="R3" s="40"/>
      <c r="T3" s="41"/>
      <c r="U3" s="41"/>
      <c r="V3" s="41"/>
      <c r="W3" s="179"/>
      <c r="X3" s="179"/>
      <c r="Y3" s="179"/>
      <c r="AA3" s="41"/>
      <c r="AB3" s="41"/>
      <c r="AC3" s="41"/>
      <c r="AD3" s="40"/>
      <c r="AE3" s="40"/>
      <c r="AF3" s="40"/>
      <c r="AG3" s="41"/>
      <c r="AH3" s="41"/>
      <c r="AI3" s="40"/>
      <c r="AJ3" s="40"/>
      <c r="AK3" s="40"/>
    </row>
    <row r="4" spans="1:47" x14ac:dyDescent="0.2">
      <c r="A4" s="88" t="s">
        <v>334</v>
      </c>
      <c r="B4" s="86"/>
      <c r="C4" s="86"/>
      <c r="D4" s="180"/>
      <c r="E4" s="180"/>
      <c r="F4" s="180"/>
      <c r="G4" s="181"/>
      <c r="H4" s="86"/>
      <c r="I4" s="86"/>
      <c r="J4" s="86"/>
      <c r="K4" s="86"/>
      <c r="L4" s="86"/>
      <c r="M4" s="86"/>
      <c r="N4" s="86"/>
      <c r="O4" s="86"/>
      <c r="P4" s="86"/>
      <c r="Q4" s="86"/>
      <c r="R4" s="86"/>
      <c r="S4" s="181"/>
      <c r="T4" s="86"/>
      <c r="U4" s="86"/>
      <c r="V4" s="86"/>
      <c r="W4" s="180"/>
      <c r="X4" s="180"/>
      <c r="Y4" s="180"/>
      <c r="Z4" s="181"/>
      <c r="AA4" s="86"/>
      <c r="AB4" s="86"/>
      <c r="AC4" s="182"/>
      <c r="AD4" s="183" t="s">
        <v>335</v>
      </c>
      <c r="AE4" s="40"/>
      <c r="AF4" s="40"/>
      <c r="AG4" s="41"/>
      <c r="AH4" s="41"/>
      <c r="AI4" s="40"/>
      <c r="AJ4" s="40"/>
      <c r="AK4" s="40"/>
    </row>
    <row r="5" spans="1:47" x14ac:dyDescent="0.2">
      <c r="A5" s="88" t="s">
        <v>336</v>
      </c>
      <c r="B5" s="86"/>
      <c r="C5" s="86"/>
      <c r="D5" s="180"/>
      <c r="E5" s="180"/>
      <c r="F5" s="180"/>
      <c r="G5" s="181"/>
      <c r="H5" s="86"/>
      <c r="I5" s="86"/>
      <c r="J5" s="86"/>
      <c r="K5" s="86"/>
      <c r="L5" s="86"/>
      <c r="M5" s="86"/>
      <c r="N5" s="86"/>
      <c r="O5" s="86"/>
      <c r="P5" s="86"/>
      <c r="Q5" s="86"/>
      <c r="R5" s="86"/>
      <c r="S5" s="181"/>
      <c r="T5" s="86"/>
      <c r="U5" s="86"/>
      <c r="V5" s="86"/>
      <c r="W5" s="180"/>
      <c r="X5" s="180"/>
      <c r="Y5" s="180"/>
      <c r="Z5" s="181"/>
      <c r="AA5" s="86"/>
      <c r="AB5" s="86"/>
      <c r="AC5" s="41"/>
      <c r="AD5" s="40"/>
      <c r="AE5" s="40"/>
      <c r="AF5" s="40"/>
      <c r="AG5" s="41"/>
      <c r="AH5" s="41"/>
      <c r="AI5" s="40"/>
      <c r="AJ5" s="40"/>
      <c r="AK5" s="40"/>
    </row>
    <row r="6" spans="1:47" x14ac:dyDescent="0.2">
      <c r="A6" s="184" t="s">
        <v>337</v>
      </c>
      <c r="B6" s="86"/>
      <c r="C6" s="86"/>
      <c r="D6" s="180"/>
      <c r="E6" s="180"/>
      <c r="F6" s="180"/>
      <c r="G6" s="181"/>
      <c r="H6" s="86"/>
      <c r="I6" s="86"/>
      <c r="J6" s="86"/>
      <c r="K6" s="86"/>
      <c r="L6" s="86"/>
      <c r="M6" s="86"/>
      <c r="N6" s="86"/>
      <c r="O6" s="86"/>
      <c r="P6" s="86"/>
      <c r="Q6" s="86"/>
      <c r="R6" s="86"/>
      <c r="S6" s="181"/>
      <c r="T6" s="86"/>
      <c r="U6" s="86"/>
      <c r="V6" s="86"/>
      <c r="W6" s="180"/>
      <c r="X6" s="180"/>
      <c r="Y6" s="180"/>
      <c r="Z6" s="181"/>
      <c r="AA6" s="86"/>
      <c r="AB6" s="86"/>
      <c r="AC6" s="41"/>
      <c r="AD6" s="40"/>
      <c r="AE6" s="40"/>
      <c r="AF6" s="40"/>
      <c r="AG6" s="41"/>
      <c r="AH6" s="41"/>
      <c r="AI6" s="40"/>
      <c r="AJ6" s="40"/>
      <c r="AK6" s="40"/>
    </row>
    <row r="7" spans="1:47" ht="13.5" thickBot="1" x14ac:dyDescent="0.25"/>
    <row r="8" spans="1:47" ht="12.75" customHeight="1" x14ac:dyDescent="0.2">
      <c r="A8" s="806" t="s">
        <v>338</v>
      </c>
      <c r="B8" s="807"/>
      <c r="C8" s="808"/>
      <c r="D8" s="792" t="s">
        <v>339</v>
      </c>
      <c r="E8" s="793"/>
      <c r="F8" s="794"/>
      <c r="G8" s="798" t="s">
        <v>158</v>
      </c>
      <c r="H8" s="799"/>
      <c r="I8" s="800"/>
      <c r="J8" s="792" t="s">
        <v>163</v>
      </c>
      <c r="K8" s="793"/>
      <c r="L8" s="794"/>
      <c r="M8" s="792" t="s">
        <v>198</v>
      </c>
      <c r="N8" s="793"/>
      <c r="O8" s="794"/>
      <c r="P8" s="792" t="s">
        <v>165</v>
      </c>
      <c r="Q8" s="793"/>
      <c r="R8" s="801"/>
      <c r="T8" s="806" t="s">
        <v>338</v>
      </c>
      <c r="U8" s="807"/>
      <c r="V8" s="808"/>
      <c r="W8" s="792" t="s">
        <v>339</v>
      </c>
      <c r="X8" s="793"/>
      <c r="Y8" s="794"/>
      <c r="Z8" s="798" t="s">
        <v>158</v>
      </c>
      <c r="AA8" s="799"/>
      <c r="AB8" s="800"/>
      <c r="AC8" s="792" t="s">
        <v>163</v>
      </c>
      <c r="AD8" s="793"/>
      <c r="AE8" s="794"/>
      <c r="AF8" s="792" t="s">
        <v>198</v>
      </c>
      <c r="AG8" s="793"/>
      <c r="AH8" s="794"/>
      <c r="AI8" s="792" t="s">
        <v>165</v>
      </c>
      <c r="AJ8" s="793"/>
      <c r="AK8" s="801"/>
    </row>
    <row r="9" spans="1:47" ht="12.75" customHeight="1" x14ac:dyDescent="0.2">
      <c r="A9" s="809"/>
      <c r="B9" s="810"/>
      <c r="C9" s="811"/>
      <c r="D9" s="795"/>
      <c r="E9" s="796"/>
      <c r="F9" s="797"/>
      <c r="G9" s="659"/>
      <c r="H9" s="660"/>
      <c r="I9" s="661"/>
      <c r="J9" s="795"/>
      <c r="K9" s="796"/>
      <c r="L9" s="797"/>
      <c r="M9" s="795"/>
      <c r="N9" s="796"/>
      <c r="O9" s="797"/>
      <c r="P9" s="795"/>
      <c r="Q9" s="796"/>
      <c r="R9" s="802"/>
      <c r="T9" s="809"/>
      <c r="U9" s="810"/>
      <c r="V9" s="811"/>
      <c r="W9" s="795"/>
      <c r="X9" s="796"/>
      <c r="Y9" s="797"/>
      <c r="Z9" s="659"/>
      <c r="AA9" s="660"/>
      <c r="AB9" s="661"/>
      <c r="AC9" s="795"/>
      <c r="AD9" s="796"/>
      <c r="AE9" s="797"/>
      <c r="AF9" s="795"/>
      <c r="AG9" s="796"/>
      <c r="AH9" s="797"/>
      <c r="AI9" s="795"/>
      <c r="AJ9" s="796"/>
      <c r="AK9" s="802"/>
    </row>
    <row r="10" spans="1:47" x14ac:dyDescent="0.2">
      <c r="A10" s="803" t="s">
        <v>340</v>
      </c>
      <c r="B10" s="804"/>
      <c r="C10" s="804"/>
      <c r="D10" s="804"/>
      <c r="E10" s="804"/>
      <c r="F10" s="804"/>
      <c r="G10" s="804"/>
      <c r="H10" s="804"/>
      <c r="I10" s="804"/>
      <c r="J10" s="804"/>
      <c r="K10" s="804"/>
      <c r="L10" s="804"/>
      <c r="M10" s="804"/>
      <c r="N10" s="804"/>
      <c r="O10" s="804"/>
      <c r="P10" s="804"/>
      <c r="Q10" s="804"/>
      <c r="R10" s="805"/>
      <c r="T10" s="803" t="s">
        <v>341</v>
      </c>
      <c r="U10" s="804"/>
      <c r="V10" s="804"/>
      <c r="W10" s="804"/>
      <c r="X10" s="804"/>
      <c r="Y10" s="804"/>
      <c r="Z10" s="804"/>
      <c r="AA10" s="804"/>
      <c r="AB10" s="804"/>
      <c r="AC10" s="804"/>
      <c r="AD10" s="804"/>
      <c r="AE10" s="804"/>
      <c r="AF10" s="804"/>
      <c r="AG10" s="804"/>
      <c r="AH10" s="804"/>
      <c r="AI10" s="804"/>
      <c r="AJ10" s="804"/>
      <c r="AK10" s="805"/>
      <c r="AN10" s="215"/>
      <c r="AO10" s="215"/>
      <c r="AP10" s="215"/>
      <c r="AQ10" s="215"/>
      <c r="AR10" s="215"/>
      <c r="AS10" s="215"/>
    </row>
    <row r="11" spans="1:47" ht="13.5" thickBot="1" x14ac:dyDescent="0.25">
      <c r="A11" s="829" t="s">
        <v>399</v>
      </c>
      <c r="B11" s="830"/>
      <c r="C11" s="831"/>
      <c r="D11" s="832">
        <v>0</v>
      </c>
      <c r="E11" s="833"/>
      <c r="F11" s="834"/>
      <c r="G11" s="832">
        <v>0.03</v>
      </c>
      <c r="H11" s="833"/>
      <c r="I11" s="834"/>
      <c r="J11" s="835">
        <v>2.09</v>
      </c>
      <c r="K11" s="836"/>
      <c r="L11" s="837"/>
      <c r="M11" s="838">
        <v>1.0209999999999999</v>
      </c>
      <c r="N11" s="839"/>
      <c r="O11" s="840"/>
      <c r="P11" s="841">
        <f t="shared" ref="P11:P41" si="0">+M11*J11</f>
        <v>2.1338899999999996</v>
      </c>
      <c r="Q11" s="842"/>
      <c r="R11" s="843"/>
      <c r="S11" s="25"/>
      <c r="T11" s="865" t="str">
        <f>+A11</f>
        <v>FPT</v>
      </c>
      <c r="U11" s="322"/>
      <c r="V11" s="323"/>
      <c r="W11" s="832"/>
      <c r="X11" s="833"/>
      <c r="Y11" s="834"/>
      <c r="Z11" s="832">
        <v>9.8000000000000007</v>
      </c>
      <c r="AA11" s="833"/>
      <c r="AB11" s="834"/>
      <c r="AC11" s="835">
        <v>1156.55</v>
      </c>
      <c r="AD11" s="836"/>
      <c r="AE11" s="837"/>
      <c r="AF11" s="838">
        <v>1.0189999999999999</v>
      </c>
      <c r="AG11" s="839"/>
      <c r="AH11" s="840"/>
      <c r="AI11" s="844">
        <f t="shared" ref="AI11:AI41" si="1">+AF11*AC11</f>
        <v>1178.5244499999999</v>
      </c>
      <c r="AJ11" s="845"/>
      <c r="AK11" s="846"/>
      <c r="AR11" s="785">
        <f>AP15/AR13</f>
        <v>0.57594719999999999</v>
      </c>
      <c r="AS11" s="785"/>
    </row>
    <row r="12" spans="1:47" ht="14.25" thickBot="1" x14ac:dyDescent="0.25">
      <c r="A12" s="812" t="s">
        <v>400</v>
      </c>
      <c r="B12" s="813"/>
      <c r="C12" s="814"/>
      <c r="D12" s="815">
        <v>0</v>
      </c>
      <c r="E12" s="816"/>
      <c r="F12" s="817"/>
      <c r="G12" s="815" t="s">
        <v>427</v>
      </c>
      <c r="H12" s="816"/>
      <c r="I12" s="817"/>
      <c r="J12" s="818">
        <v>3.55</v>
      </c>
      <c r="K12" s="819"/>
      <c r="L12" s="819"/>
      <c r="M12" s="820">
        <v>1.0209999999999999</v>
      </c>
      <c r="N12" s="821"/>
      <c r="O12" s="822"/>
      <c r="P12" s="823">
        <f t="shared" si="0"/>
        <v>3.6245499999999993</v>
      </c>
      <c r="Q12" s="824"/>
      <c r="R12" s="825"/>
      <c r="S12" s="25"/>
      <c r="T12" s="826" t="str">
        <f t="shared" ref="T12:T41" si="2">+A12</f>
        <v>WBT 1P</v>
      </c>
      <c r="U12" s="827"/>
      <c r="V12" s="828"/>
      <c r="W12" s="815"/>
      <c r="X12" s="816"/>
      <c r="Y12" s="817"/>
      <c r="Z12" s="815">
        <v>18.57</v>
      </c>
      <c r="AA12" s="816"/>
      <c r="AB12" s="817"/>
      <c r="AC12" s="818">
        <v>1321.27</v>
      </c>
      <c r="AD12" s="819"/>
      <c r="AE12" s="819"/>
      <c r="AF12" s="838">
        <v>1.0189999999999999</v>
      </c>
      <c r="AG12" s="839"/>
      <c r="AH12" s="840"/>
      <c r="AI12" s="856">
        <f t="shared" si="1"/>
        <v>1346.3741299999999</v>
      </c>
      <c r="AJ12" s="857"/>
      <c r="AK12" s="858"/>
      <c r="AN12" s="217" t="s">
        <v>384</v>
      </c>
      <c r="AO12" s="218"/>
      <c r="AP12" s="219" t="s">
        <v>385</v>
      </c>
      <c r="AQ12" s="220"/>
      <c r="AR12" s="786" t="s">
        <v>386</v>
      </c>
      <c r="AS12" s="787"/>
    </row>
    <row r="13" spans="1:47" ht="15.75" thickBot="1" x14ac:dyDescent="0.25">
      <c r="A13" s="867" t="s">
        <v>401</v>
      </c>
      <c r="B13" s="868"/>
      <c r="C13" s="869"/>
      <c r="D13" s="847">
        <v>0</v>
      </c>
      <c r="E13" s="848"/>
      <c r="F13" s="849"/>
      <c r="G13" s="847">
        <v>0.1</v>
      </c>
      <c r="H13" s="848"/>
      <c r="I13" s="849"/>
      <c r="J13" s="850">
        <v>28.92</v>
      </c>
      <c r="K13" s="851"/>
      <c r="L13" s="852"/>
      <c r="M13" s="820">
        <v>1.0209999999999999</v>
      </c>
      <c r="N13" s="821"/>
      <c r="O13" s="822"/>
      <c r="P13" s="853">
        <f t="shared" si="0"/>
        <v>29.52732</v>
      </c>
      <c r="Q13" s="854"/>
      <c r="R13" s="855"/>
      <c r="S13" s="25"/>
      <c r="T13" s="575" t="str">
        <f t="shared" si="2"/>
        <v>WBT 1S</v>
      </c>
      <c r="U13" s="389"/>
      <c r="V13" s="390"/>
      <c r="W13" s="847"/>
      <c r="X13" s="848"/>
      <c r="Y13" s="849"/>
      <c r="Z13" s="847">
        <v>18.66</v>
      </c>
      <c r="AA13" s="848"/>
      <c r="AB13" s="849"/>
      <c r="AC13" s="850">
        <v>1333.57</v>
      </c>
      <c r="AD13" s="851"/>
      <c r="AE13" s="852"/>
      <c r="AF13" s="838">
        <v>1.0189999999999999</v>
      </c>
      <c r="AG13" s="839"/>
      <c r="AH13" s="840"/>
      <c r="AI13" s="862">
        <f t="shared" si="1"/>
        <v>1358.9078299999999</v>
      </c>
      <c r="AJ13" s="863"/>
      <c r="AK13" s="864"/>
      <c r="AN13" s="221"/>
      <c r="AO13" s="222">
        <v>2</v>
      </c>
      <c r="AP13" s="222">
        <v>2.2599999999999998</v>
      </c>
      <c r="AQ13" s="223">
        <v>3</v>
      </c>
      <c r="AR13" s="224">
        <v>1000</v>
      </c>
      <c r="AS13" s="224"/>
    </row>
    <row r="14" spans="1:47" ht="15.75" thickBot="1" x14ac:dyDescent="0.25">
      <c r="A14" s="812" t="s">
        <v>402</v>
      </c>
      <c r="B14" s="813"/>
      <c r="C14" s="814"/>
      <c r="D14" s="815">
        <v>0</v>
      </c>
      <c r="E14" s="816"/>
      <c r="F14" s="817"/>
      <c r="G14" s="815">
        <v>0.02</v>
      </c>
      <c r="H14" s="816"/>
      <c r="I14" s="817"/>
      <c r="J14" s="818">
        <v>12.03</v>
      </c>
      <c r="K14" s="819"/>
      <c r="L14" s="866"/>
      <c r="M14" s="820">
        <v>1.0209999999999999</v>
      </c>
      <c r="N14" s="821"/>
      <c r="O14" s="822"/>
      <c r="P14" s="823">
        <f t="shared" si="0"/>
        <v>12.282629999999997</v>
      </c>
      <c r="Q14" s="824"/>
      <c r="R14" s="825"/>
      <c r="S14" s="25"/>
      <c r="T14" s="826" t="str">
        <f t="shared" si="2"/>
        <v>WBT 2P</v>
      </c>
      <c r="U14" s="827"/>
      <c r="V14" s="828"/>
      <c r="W14" s="815"/>
      <c r="X14" s="816"/>
      <c r="Y14" s="817"/>
      <c r="Z14" s="815">
        <v>18.329999999999998</v>
      </c>
      <c r="AA14" s="816"/>
      <c r="AB14" s="817"/>
      <c r="AC14" s="818">
        <v>1766.19</v>
      </c>
      <c r="AD14" s="819"/>
      <c r="AE14" s="866"/>
      <c r="AF14" s="838">
        <v>1.0189999999999999</v>
      </c>
      <c r="AG14" s="839"/>
      <c r="AH14" s="840"/>
      <c r="AI14" s="856">
        <f t="shared" si="1"/>
        <v>1799.7476099999999</v>
      </c>
      <c r="AJ14" s="857"/>
      <c r="AK14" s="858"/>
      <c r="AN14" s="225">
        <v>6.1</v>
      </c>
      <c r="AO14" s="226">
        <v>573</v>
      </c>
      <c r="AP14" s="227"/>
      <c r="AQ14" s="228">
        <v>574.5</v>
      </c>
      <c r="AR14" s="229">
        <f>AN15+AR11</f>
        <v>6.7059471999999998</v>
      </c>
      <c r="AS14" s="230" t="s">
        <v>387</v>
      </c>
    </row>
    <row r="15" spans="1:47" ht="15.75" thickBot="1" x14ac:dyDescent="0.25">
      <c r="A15" s="867" t="s">
        <v>403</v>
      </c>
      <c r="B15" s="868"/>
      <c r="C15" s="869"/>
      <c r="D15" s="847">
        <v>0</v>
      </c>
      <c r="E15" s="848"/>
      <c r="F15" s="849"/>
      <c r="G15" s="847" t="s">
        <v>427</v>
      </c>
      <c r="H15" s="848"/>
      <c r="I15" s="849"/>
      <c r="J15" s="850">
        <v>5.82</v>
      </c>
      <c r="K15" s="851"/>
      <c r="L15" s="852"/>
      <c r="M15" s="820">
        <v>1.0209999999999999</v>
      </c>
      <c r="N15" s="821"/>
      <c r="O15" s="822"/>
      <c r="P15" s="853">
        <f t="shared" si="0"/>
        <v>5.9422199999999998</v>
      </c>
      <c r="Q15" s="854"/>
      <c r="R15" s="855"/>
      <c r="S15" s="25"/>
      <c r="T15" s="575" t="str">
        <f t="shared" si="2"/>
        <v>WBT 2S</v>
      </c>
      <c r="U15" s="389"/>
      <c r="V15" s="390"/>
      <c r="W15" s="847"/>
      <c r="X15" s="848"/>
      <c r="Y15" s="849"/>
      <c r="Z15" s="847">
        <v>18.36</v>
      </c>
      <c r="AA15" s="848"/>
      <c r="AB15" s="849"/>
      <c r="AC15" s="850">
        <v>1772.66</v>
      </c>
      <c r="AD15" s="851"/>
      <c r="AE15" s="852"/>
      <c r="AF15" s="838">
        <v>1.0189999999999999</v>
      </c>
      <c r="AG15" s="839"/>
      <c r="AH15" s="840"/>
      <c r="AI15" s="862">
        <f t="shared" si="1"/>
        <v>1806.3405399999999</v>
      </c>
      <c r="AJ15" s="863"/>
      <c r="AK15" s="864"/>
      <c r="AN15" s="225">
        <v>6.13</v>
      </c>
      <c r="AO15" s="231">
        <f>((AO14-AO16)/(AN14-AN16))*(AN15-AN16)+AO16</f>
        <v>575.76</v>
      </c>
      <c r="AP15" s="227">
        <f>AO15-(AO15-AQ15)/(AQ13-AO13)*(AP13-AO13)</f>
        <v>575.94719999999995</v>
      </c>
      <c r="AQ15" s="232">
        <f>((AQ14-AQ16)/(AN14-AN16))*(AN15-AN16)+AQ16</f>
        <v>576.4799999999999</v>
      </c>
      <c r="AR15" s="229">
        <f>AN15-AR11</f>
        <v>5.5540528</v>
      </c>
      <c r="AS15" s="233" t="s">
        <v>388</v>
      </c>
    </row>
    <row r="16" spans="1:47" ht="13.5" thickBot="1" x14ac:dyDescent="0.25">
      <c r="A16" s="812" t="s">
        <v>404</v>
      </c>
      <c r="B16" s="813"/>
      <c r="C16" s="814"/>
      <c r="D16" s="815">
        <v>0</v>
      </c>
      <c r="E16" s="816"/>
      <c r="F16" s="817"/>
      <c r="G16" s="815" t="s">
        <v>427</v>
      </c>
      <c r="H16" s="816"/>
      <c r="I16" s="817"/>
      <c r="J16" s="818">
        <v>6.96</v>
      </c>
      <c r="K16" s="819"/>
      <c r="L16" s="866"/>
      <c r="M16" s="820">
        <v>1.0209999999999999</v>
      </c>
      <c r="N16" s="821"/>
      <c r="O16" s="822"/>
      <c r="P16" s="823">
        <f t="shared" si="0"/>
        <v>7.1061599999999991</v>
      </c>
      <c r="Q16" s="824"/>
      <c r="R16" s="825"/>
      <c r="S16" s="25"/>
      <c r="T16" s="826" t="str">
        <f t="shared" si="2"/>
        <v>WBT 3P</v>
      </c>
      <c r="U16" s="827"/>
      <c r="V16" s="828"/>
      <c r="W16" s="815"/>
      <c r="X16" s="816"/>
      <c r="Y16" s="817"/>
      <c r="Z16" s="815">
        <v>18.62</v>
      </c>
      <c r="AA16" s="816"/>
      <c r="AB16" s="817"/>
      <c r="AC16" s="818">
        <v>1739.57</v>
      </c>
      <c r="AD16" s="819"/>
      <c r="AE16" s="866"/>
      <c r="AF16" s="838">
        <v>1.0189999999999999</v>
      </c>
      <c r="AG16" s="839"/>
      <c r="AH16" s="840"/>
      <c r="AI16" s="856">
        <f t="shared" si="1"/>
        <v>1772.6218299999998</v>
      </c>
      <c r="AJ16" s="857"/>
      <c r="AK16" s="858"/>
      <c r="AN16" s="234">
        <v>6.15</v>
      </c>
      <c r="AO16" s="235">
        <v>577.6</v>
      </c>
      <c r="AP16" s="236"/>
      <c r="AQ16" s="237">
        <v>577.79999999999995</v>
      </c>
      <c r="AU16" s="257">
        <f>AN15-0.0339</f>
        <v>6.0960999999999999</v>
      </c>
    </row>
    <row r="17" spans="1:47" ht="13.5" thickBot="1" x14ac:dyDescent="0.25">
      <c r="A17" s="867" t="s">
        <v>405</v>
      </c>
      <c r="B17" s="868"/>
      <c r="C17" s="869"/>
      <c r="D17" s="847">
        <v>0</v>
      </c>
      <c r="E17" s="848"/>
      <c r="F17" s="849"/>
      <c r="G17" s="847">
        <v>0.01</v>
      </c>
      <c r="H17" s="848"/>
      <c r="I17" s="849"/>
      <c r="J17" s="850">
        <v>6.24</v>
      </c>
      <c r="K17" s="851"/>
      <c r="L17" s="852"/>
      <c r="M17" s="820">
        <v>1.0209999999999999</v>
      </c>
      <c r="N17" s="821"/>
      <c r="O17" s="822"/>
      <c r="P17" s="853">
        <f t="shared" si="0"/>
        <v>6.3710399999999998</v>
      </c>
      <c r="Q17" s="854"/>
      <c r="R17" s="855"/>
      <c r="S17" s="25"/>
      <c r="T17" s="575" t="str">
        <f t="shared" si="2"/>
        <v>WBT 3S</v>
      </c>
      <c r="U17" s="389"/>
      <c r="V17" s="390"/>
      <c r="W17" s="847"/>
      <c r="X17" s="848"/>
      <c r="Y17" s="849"/>
      <c r="Z17" s="847">
        <v>18.5</v>
      </c>
      <c r="AA17" s="848"/>
      <c r="AB17" s="849"/>
      <c r="AC17" s="850">
        <v>1715.19</v>
      </c>
      <c r="AD17" s="851"/>
      <c r="AE17" s="852"/>
      <c r="AF17" s="838">
        <v>1.0189999999999999</v>
      </c>
      <c r="AG17" s="839"/>
      <c r="AH17" s="840"/>
      <c r="AI17" s="862">
        <f t="shared" si="1"/>
        <v>1747.7786099999998</v>
      </c>
      <c r="AJ17" s="863"/>
      <c r="AK17" s="864"/>
    </row>
    <row r="18" spans="1:47" ht="13.5" thickBot="1" x14ac:dyDescent="0.25">
      <c r="A18" s="812" t="s">
        <v>406</v>
      </c>
      <c r="B18" s="813"/>
      <c r="C18" s="814"/>
      <c r="D18" s="815">
        <v>0</v>
      </c>
      <c r="E18" s="816"/>
      <c r="F18" s="817"/>
      <c r="G18" s="815">
        <v>0.01</v>
      </c>
      <c r="H18" s="816"/>
      <c r="I18" s="817"/>
      <c r="J18" s="818">
        <v>4.5599999999999996</v>
      </c>
      <c r="K18" s="819"/>
      <c r="L18" s="866"/>
      <c r="M18" s="820">
        <v>1.0209999999999999</v>
      </c>
      <c r="N18" s="821"/>
      <c r="O18" s="822"/>
      <c r="P18" s="823">
        <f t="shared" si="0"/>
        <v>4.655759999999999</v>
      </c>
      <c r="Q18" s="824"/>
      <c r="R18" s="825"/>
      <c r="S18" s="25"/>
      <c r="T18" s="826" t="str">
        <f t="shared" si="2"/>
        <v>WBT 4P</v>
      </c>
      <c r="U18" s="827"/>
      <c r="V18" s="828"/>
      <c r="W18" s="815"/>
      <c r="X18" s="816"/>
      <c r="Y18" s="817"/>
      <c r="Z18" s="815">
        <v>18.5</v>
      </c>
      <c r="AA18" s="816"/>
      <c r="AB18" s="817"/>
      <c r="AC18" s="818">
        <v>1297.73</v>
      </c>
      <c r="AD18" s="819"/>
      <c r="AE18" s="866"/>
      <c r="AF18" s="838">
        <v>1.0189999999999999</v>
      </c>
      <c r="AG18" s="839"/>
      <c r="AH18" s="840"/>
      <c r="AI18" s="856">
        <f t="shared" si="1"/>
        <v>1322.3868699999998</v>
      </c>
      <c r="AJ18" s="857"/>
      <c r="AK18" s="858"/>
      <c r="AN18" s="217" t="s">
        <v>384</v>
      </c>
      <c r="AO18" s="218"/>
      <c r="AP18" s="219" t="s">
        <v>389</v>
      </c>
      <c r="AQ18" s="220"/>
      <c r="AR18" s="785">
        <f>AP21/AR20</f>
        <v>1.1039999999999978E-3</v>
      </c>
      <c r="AS18" s="785"/>
      <c r="AU18">
        <v>6.4000000000000001E-2</v>
      </c>
    </row>
    <row r="19" spans="1:47" ht="14.25" thickBot="1" x14ac:dyDescent="0.25">
      <c r="A19" s="867" t="s">
        <v>407</v>
      </c>
      <c r="B19" s="868"/>
      <c r="C19" s="869"/>
      <c r="D19" s="847">
        <v>0</v>
      </c>
      <c r="E19" s="848"/>
      <c r="F19" s="849"/>
      <c r="G19" s="847" t="s">
        <v>427</v>
      </c>
      <c r="H19" s="848"/>
      <c r="I19" s="849"/>
      <c r="J19" s="850">
        <v>4.33</v>
      </c>
      <c r="K19" s="851"/>
      <c r="L19" s="852"/>
      <c r="M19" s="820">
        <v>1.0209999999999999</v>
      </c>
      <c r="N19" s="821"/>
      <c r="O19" s="822"/>
      <c r="P19" s="853">
        <f t="shared" si="0"/>
        <v>4.4209299999999994</v>
      </c>
      <c r="Q19" s="854"/>
      <c r="R19" s="855"/>
      <c r="S19" s="25"/>
      <c r="T19" s="575" t="str">
        <f t="shared" si="2"/>
        <v>WBT 4S</v>
      </c>
      <c r="U19" s="389"/>
      <c r="V19" s="390"/>
      <c r="W19" s="847"/>
      <c r="X19" s="848"/>
      <c r="Y19" s="849"/>
      <c r="Z19" s="847">
        <v>18.760000000000002</v>
      </c>
      <c r="AA19" s="848"/>
      <c r="AB19" s="849"/>
      <c r="AC19" s="850">
        <v>1346.46</v>
      </c>
      <c r="AD19" s="851"/>
      <c r="AE19" s="852"/>
      <c r="AF19" s="838">
        <v>1.0189999999999999</v>
      </c>
      <c r="AG19" s="839"/>
      <c r="AH19" s="840"/>
      <c r="AI19" s="862">
        <f t="shared" si="1"/>
        <v>1372.0427399999999</v>
      </c>
      <c r="AJ19" s="863"/>
      <c r="AK19" s="864"/>
      <c r="AN19" s="221"/>
      <c r="AO19" s="222">
        <v>1</v>
      </c>
      <c r="AP19" s="222">
        <f>AP13</f>
        <v>2.2599999999999998</v>
      </c>
      <c r="AQ19" s="223">
        <v>2</v>
      </c>
      <c r="AR19" s="786" t="s">
        <v>386</v>
      </c>
      <c r="AS19" s="787"/>
      <c r="AU19" s="257">
        <f>AN15-AU18</f>
        <v>6.0659999999999998</v>
      </c>
    </row>
    <row r="20" spans="1:47" ht="15.75" thickBot="1" x14ac:dyDescent="0.25">
      <c r="A20" s="812" t="s">
        <v>408</v>
      </c>
      <c r="B20" s="813"/>
      <c r="C20" s="814"/>
      <c r="D20" s="815">
        <v>0</v>
      </c>
      <c r="E20" s="816"/>
      <c r="F20" s="817"/>
      <c r="G20" s="815" t="s">
        <v>427</v>
      </c>
      <c r="H20" s="816"/>
      <c r="I20" s="817"/>
      <c r="J20" s="818">
        <v>7.83</v>
      </c>
      <c r="K20" s="819"/>
      <c r="L20" s="866"/>
      <c r="M20" s="820">
        <v>1.0209999999999999</v>
      </c>
      <c r="N20" s="821"/>
      <c r="O20" s="822"/>
      <c r="P20" s="823">
        <f t="shared" si="0"/>
        <v>7.9944299999999995</v>
      </c>
      <c r="Q20" s="824"/>
      <c r="R20" s="825"/>
      <c r="S20" s="25"/>
      <c r="T20" s="826" t="str">
        <f t="shared" si="2"/>
        <v>WBT 5P</v>
      </c>
      <c r="U20" s="827"/>
      <c r="V20" s="828"/>
      <c r="W20" s="815"/>
      <c r="X20" s="816"/>
      <c r="Y20" s="817"/>
      <c r="Z20" s="815">
        <v>18.260000000000002</v>
      </c>
      <c r="AA20" s="816"/>
      <c r="AB20" s="817"/>
      <c r="AC20" s="818">
        <v>1001.4</v>
      </c>
      <c r="AD20" s="819"/>
      <c r="AE20" s="866"/>
      <c r="AF20" s="838">
        <v>1.0189999999999999</v>
      </c>
      <c r="AG20" s="839"/>
      <c r="AH20" s="840"/>
      <c r="AI20" s="856">
        <f t="shared" si="1"/>
        <v>1020.4265999999999</v>
      </c>
      <c r="AJ20" s="857"/>
      <c r="AK20" s="858"/>
      <c r="AN20" s="225">
        <v>0.8</v>
      </c>
      <c r="AO20" s="226">
        <v>0</v>
      </c>
      <c r="AP20" s="227"/>
      <c r="AQ20" s="228">
        <v>0</v>
      </c>
      <c r="AR20" s="788">
        <v>1000</v>
      </c>
      <c r="AS20" s="788"/>
    </row>
    <row r="21" spans="1:47" ht="15.75" thickBot="1" x14ac:dyDescent="0.25">
      <c r="A21" s="867" t="s">
        <v>409</v>
      </c>
      <c r="B21" s="868"/>
      <c r="C21" s="869"/>
      <c r="D21" s="847">
        <v>0</v>
      </c>
      <c r="E21" s="848"/>
      <c r="F21" s="849"/>
      <c r="G21" s="847" t="s">
        <v>427</v>
      </c>
      <c r="H21" s="848"/>
      <c r="I21" s="849"/>
      <c r="J21" s="850">
        <v>7.01</v>
      </c>
      <c r="K21" s="851"/>
      <c r="L21" s="852"/>
      <c r="M21" s="820">
        <v>1.0209999999999999</v>
      </c>
      <c r="N21" s="821"/>
      <c r="O21" s="822"/>
      <c r="P21" s="853">
        <f t="shared" si="0"/>
        <v>7.1572099999999992</v>
      </c>
      <c r="Q21" s="854"/>
      <c r="R21" s="855"/>
      <c r="S21" s="25"/>
      <c r="T21" s="575" t="str">
        <f t="shared" si="2"/>
        <v>WBT 5S</v>
      </c>
      <c r="U21" s="389"/>
      <c r="V21" s="390"/>
      <c r="W21" s="847"/>
      <c r="X21" s="848"/>
      <c r="Y21" s="849"/>
      <c r="Z21" s="847">
        <v>18.54</v>
      </c>
      <c r="AA21" s="848"/>
      <c r="AB21" s="849"/>
      <c r="AC21" s="850">
        <v>1052.3399999999999</v>
      </c>
      <c r="AD21" s="851"/>
      <c r="AE21" s="852"/>
      <c r="AF21" s="838">
        <v>1.0189999999999999</v>
      </c>
      <c r="AG21" s="839"/>
      <c r="AH21" s="840"/>
      <c r="AI21" s="862">
        <f t="shared" si="1"/>
        <v>1072.3344599999998</v>
      </c>
      <c r="AJ21" s="863"/>
      <c r="AK21" s="864"/>
      <c r="AN21" s="225">
        <v>0.84</v>
      </c>
      <c r="AO21" s="231">
        <f>((AO20-AO22)/(AN20-AN22))*(AN21-AN22)+AO22</f>
        <v>0.59999999999999876</v>
      </c>
      <c r="AP21" s="227">
        <f>AO21-(AO21-AQ21)/(AQ19-AO19)*(AP19-AO19)</f>
        <v>1.1039999999999979</v>
      </c>
      <c r="AQ21" s="232">
        <f>((AQ20-AQ22)/(AN20-AN22))*(AN21-AN22)+AQ22</f>
        <v>0.99999999999999822</v>
      </c>
      <c r="AR21" s="229">
        <f>AN21+AR18</f>
        <v>0.84110399999999996</v>
      </c>
      <c r="AS21" s="230" t="s">
        <v>387</v>
      </c>
    </row>
    <row r="22" spans="1:47" ht="15.75" thickBot="1" x14ac:dyDescent="0.25">
      <c r="A22" s="812" t="s">
        <v>421</v>
      </c>
      <c r="B22" s="813"/>
      <c r="C22" s="814"/>
      <c r="D22" s="815"/>
      <c r="E22" s="816"/>
      <c r="F22" s="817"/>
      <c r="G22" s="815">
        <v>0.01</v>
      </c>
      <c r="H22" s="816"/>
      <c r="I22" s="817"/>
      <c r="J22" s="818">
        <v>0.2</v>
      </c>
      <c r="K22" s="819"/>
      <c r="L22" s="866"/>
      <c r="M22" s="820">
        <v>1.0209999999999999</v>
      </c>
      <c r="N22" s="821"/>
      <c r="O22" s="822"/>
      <c r="P22" s="823">
        <f t="shared" ref="P22" si="3">+M22*J22</f>
        <v>0.20419999999999999</v>
      </c>
      <c r="Q22" s="824"/>
      <c r="R22" s="825"/>
      <c r="S22" s="25"/>
      <c r="T22" s="826" t="str">
        <f t="shared" si="2"/>
        <v>APT</v>
      </c>
      <c r="U22" s="827"/>
      <c r="V22" s="828"/>
      <c r="W22" s="815"/>
      <c r="X22" s="816"/>
      <c r="Y22" s="817"/>
      <c r="Z22" s="815">
        <v>6.91</v>
      </c>
      <c r="AA22" s="816"/>
      <c r="AB22" s="817"/>
      <c r="AC22" s="818">
        <v>485.98</v>
      </c>
      <c r="AD22" s="819"/>
      <c r="AE22" s="866"/>
      <c r="AF22" s="838">
        <v>1.0189999999999999</v>
      </c>
      <c r="AG22" s="839"/>
      <c r="AH22" s="840"/>
      <c r="AI22" s="856">
        <f t="shared" si="1"/>
        <v>495.21361999999999</v>
      </c>
      <c r="AJ22" s="857"/>
      <c r="AK22" s="858"/>
      <c r="AN22" s="234">
        <v>1</v>
      </c>
      <c r="AO22" s="235">
        <v>3</v>
      </c>
      <c r="AP22" s="236"/>
      <c r="AQ22" s="237">
        <v>5</v>
      </c>
      <c r="AR22" s="238">
        <f>AN21-AR18</f>
        <v>0.83889599999999998</v>
      </c>
      <c r="AS22" s="233" t="s">
        <v>388</v>
      </c>
    </row>
    <row r="23" spans="1:47" ht="13.5" thickBot="1" x14ac:dyDescent="0.25">
      <c r="A23" s="867" t="s">
        <v>425</v>
      </c>
      <c r="B23" s="868"/>
      <c r="C23" s="869"/>
      <c r="D23" s="847"/>
      <c r="E23" s="848"/>
      <c r="F23" s="849"/>
      <c r="G23" s="847">
        <v>3.3</v>
      </c>
      <c r="H23" s="848"/>
      <c r="I23" s="849"/>
      <c r="J23" s="850">
        <v>28.98</v>
      </c>
      <c r="K23" s="851"/>
      <c r="L23" s="852"/>
      <c r="M23" s="859">
        <v>1</v>
      </c>
      <c r="N23" s="860"/>
      <c r="O23" s="861"/>
      <c r="P23" s="853">
        <f t="shared" ref="P23" si="4">+M23*J23</f>
        <v>28.98</v>
      </c>
      <c r="Q23" s="854"/>
      <c r="R23" s="855"/>
      <c r="S23" s="25"/>
      <c r="T23" s="575" t="str">
        <f t="shared" si="2"/>
        <v>GRAY WT P</v>
      </c>
      <c r="U23" s="389"/>
      <c r="V23" s="390"/>
      <c r="W23" s="847"/>
      <c r="X23" s="848"/>
      <c r="Y23" s="849"/>
      <c r="Z23" s="847">
        <v>6.15</v>
      </c>
      <c r="AA23" s="848"/>
      <c r="AB23" s="849"/>
      <c r="AC23" s="850">
        <v>52.95</v>
      </c>
      <c r="AD23" s="851"/>
      <c r="AE23" s="851"/>
      <c r="AF23" s="838">
        <v>1.0189999999999999</v>
      </c>
      <c r="AG23" s="839"/>
      <c r="AH23" s="840"/>
      <c r="AI23" s="863">
        <f t="shared" si="1"/>
        <v>53.956049999999998</v>
      </c>
      <c r="AJ23" s="863"/>
      <c r="AK23" s="864"/>
    </row>
    <row r="24" spans="1:47" x14ac:dyDescent="0.2">
      <c r="A24" s="812" t="s">
        <v>426</v>
      </c>
      <c r="B24" s="813"/>
      <c r="C24" s="814"/>
      <c r="D24" s="815"/>
      <c r="E24" s="816"/>
      <c r="F24" s="817"/>
      <c r="G24" s="815" t="s">
        <v>427</v>
      </c>
      <c r="H24" s="816"/>
      <c r="I24" s="817"/>
      <c r="J24" s="818">
        <v>0</v>
      </c>
      <c r="K24" s="819"/>
      <c r="L24" s="866"/>
      <c r="M24" s="818">
        <v>0</v>
      </c>
      <c r="N24" s="819"/>
      <c r="O24" s="866"/>
      <c r="P24" s="823">
        <f t="shared" ref="P24" si="5">+M24*J24</f>
        <v>0</v>
      </c>
      <c r="Q24" s="824"/>
      <c r="R24" s="825"/>
      <c r="S24" s="25"/>
      <c r="T24" s="826" t="str">
        <f t="shared" si="2"/>
        <v xml:space="preserve">GRAYWT S </v>
      </c>
      <c r="U24" s="827"/>
      <c r="V24" s="828"/>
      <c r="W24" s="815"/>
      <c r="X24" s="816"/>
      <c r="Y24" s="817"/>
      <c r="Z24" s="815" t="s">
        <v>427</v>
      </c>
      <c r="AA24" s="816"/>
      <c r="AB24" s="817"/>
      <c r="AC24" s="818"/>
      <c r="AD24" s="819"/>
      <c r="AE24" s="866"/>
      <c r="AF24" s="838">
        <v>1.0189999999999999</v>
      </c>
      <c r="AG24" s="839"/>
      <c r="AH24" s="840"/>
      <c r="AI24" s="856">
        <f t="shared" si="1"/>
        <v>0</v>
      </c>
      <c r="AJ24" s="857"/>
      <c r="AK24" s="858"/>
      <c r="AN24" s="239" t="s">
        <v>384</v>
      </c>
      <c r="AO24" s="240"/>
      <c r="AP24" s="241" t="s">
        <v>385</v>
      </c>
      <c r="AQ24" s="242"/>
    </row>
    <row r="25" spans="1:47" x14ac:dyDescent="0.2">
      <c r="A25" s="867"/>
      <c r="B25" s="868"/>
      <c r="C25" s="869"/>
      <c r="D25" s="847"/>
      <c r="E25" s="848"/>
      <c r="F25" s="849"/>
      <c r="G25" s="847"/>
      <c r="H25" s="848"/>
      <c r="I25" s="849"/>
      <c r="J25" s="850"/>
      <c r="K25" s="851"/>
      <c r="L25" s="852"/>
      <c r="M25" s="879"/>
      <c r="N25" s="880"/>
      <c r="O25" s="881"/>
      <c r="P25" s="853"/>
      <c r="Q25" s="854"/>
      <c r="R25" s="855"/>
      <c r="S25" s="25"/>
      <c r="T25" s="575">
        <f t="shared" si="2"/>
        <v>0</v>
      </c>
      <c r="U25" s="389"/>
      <c r="V25" s="390"/>
      <c r="W25" s="876">
        <f t="shared" ref="W25:W41" si="6">+D25</f>
        <v>0</v>
      </c>
      <c r="X25" s="877"/>
      <c r="Y25" s="878"/>
      <c r="Z25" s="847">
        <v>0</v>
      </c>
      <c r="AA25" s="848"/>
      <c r="AB25" s="849"/>
      <c r="AC25" s="850">
        <v>0</v>
      </c>
      <c r="AD25" s="851"/>
      <c r="AE25" s="852"/>
      <c r="AF25" s="850">
        <v>0</v>
      </c>
      <c r="AG25" s="851"/>
      <c r="AH25" s="852"/>
      <c r="AI25" s="862">
        <f t="shared" si="1"/>
        <v>0</v>
      </c>
      <c r="AJ25" s="863"/>
      <c r="AK25" s="864"/>
      <c r="AN25" s="243"/>
      <c r="AO25" s="244">
        <v>0</v>
      </c>
      <c r="AP25" s="244">
        <v>1</v>
      </c>
      <c r="AQ25" s="245">
        <v>1</v>
      </c>
    </row>
    <row r="26" spans="1:47" x14ac:dyDescent="0.2">
      <c r="A26" s="812"/>
      <c r="B26" s="813"/>
      <c r="C26" s="814"/>
      <c r="D26" s="815"/>
      <c r="E26" s="816"/>
      <c r="F26" s="817"/>
      <c r="G26" s="815"/>
      <c r="H26" s="816"/>
      <c r="I26" s="817"/>
      <c r="J26" s="818"/>
      <c r="K26" s="819"/>
      <c r="L26" s="866"/>
      <c r="M26" s="870"/>
      <c r="N26" s="871"/>
      <c r="O26" s="872"/>
      <c r="P26" s="823"/>
      <c r="Q26" s="824"/>
      <c r="R26" s="825"/>
      <c r="S26" s="25"/>
      <c r="T26" s="826">
        <f t="shared" si="2"/>
        <v>0</v>
      </c>
      <c r="U26" s="827"/>
      <c r="V26" s="828"/>
      <c r="W26" s="873">
        <f t="shared" si="6"/>
        <v>0</v>
      </c>
      <c r="X26" s="874"/>
      <c r="Y26" s="875"/>
      <c r="Z26" s="815">
        <v>0</v>
      </c>
      <c r="AA26" s="816"/>
      <c r="AB26" s="817"/>
      <c r="AC26" s="818">
        <v>0</v>
      </c>
      <c r="AD26" s="819"/>
      <c r="AE26" s="866"/>
      <c r="AF26" s="818">
        <v>0</v>
      </c>
      <c r="AG26" s="819"/>
      <c r="AH26" s="866"/>
      <c r="AI26" s="856">
        <f t="shared" si="1"/>
        <v>0</v>
      </c>
      <c r="AJ26" s="857"/>
      <c r="AK26" s="858"/>
      <c r="AN26" s="246">
        <v>0.2</v>
      </c>
      <c r="AO26" s="247">
        <v>319.8</v>
      </c>
      <c r="AP26" s="248"/>
      <c r="AQ26" s="249">
        <f>AO26</f>
        <v>319.8</v>
      </c>
    </row>
    <row r="27" spans="1:47" x14ac:dyDescent="0.2">
      <c r="A27" s="867"/>
      <c r="B27" s="868"/>
      <c r="C27" s="869"/>
      <c r="D27" s="847"/>
      <c r="E27" s="848"/>
      <c r="F27" s="849"/>
      <c r="G27" s="847"/>
      <c r="H27" s="848"/>
      <c r="I27" s="849"/>
      <c r="J27" s="850"/>
      <c r="K27" s="851"/>
      <c r="L27" s="852"/>
      <c r="M27" s="879"/>
      <c r="N27" s="880"/>
      <c r="O27" s="881"/>
      <c r="P27" s="853"/>
      <c r="Q27" s="854"/>
      <c r="R27" s="855"/>
      <c r="S27" s="25"/>
      <c r="T27" s="575">
        <f t="shared" si="2"/>
        <v>0</v>
      </c>
      <c r="U27" s="389"/>
      <c r="V27" s="390"/>
      <c r="W27" s="876">
        <f t="shared" si="6"/>
        <v>0</v>
      </c>
      <c r="X27" s="877"/>
      <c r="Y27" s="878"/>
      <c r="Z27" s="847">
        <v>0</v>
      </c>
      <c r="AA27" s="848"/>
      <c r="AB27" s="849"/>
      <c r="AC27" s="850">
        <v>0</v>
      </c>
      <c r="AD27" s="851"/>
      <c r="AE27" s="852"/>
      <c r="AF27" s="850">
        <v>0</v>
      </c>
      <c r="AG27" s="851"/>
      <c r="AH27" s="852"/>
      <c r="AI27" s="862">
        <f t="shared" si="1"/>
        <v>0</v>
      </c>
      <c r="AJ27" s="863"/>
      <c r="AK27" s="864"/>
      <c r="AN27" s="246">
        <v>0.84</v>
      </c>
      <c r="AO27" s="250">
        <f>((AO26-AO28)/(AN26-AN28))*(AN27-AN28)+AO28</f>
        <v>324.27999999999992</v>
      </c>
      <c r="AP27" s="248">
        <f>AO27-(AO27-AQ27)/(AQ25-AO25)*(AP25-AO25)</f>
        <v>324.27999999999992</v>
      </c>
      <c r="AQ27" s="251">
        <f>((AQ26-AQ28)/(AN26-AN28))*(AN27-AN28)+AQ28</f>
        <v>324.27999999999992</v>
      </c>
    </row>
    <row r="28" spans="1:47" ht="13.5" thickBot="1" x14ac:dyDescent="0.25">
      <c r="A28" s="812"/>
      <c r="B28" s="813"/>
      <c r="C28" s="814"/>
      <c r="D28" s="815"/>
      <c r="E28" s="816"/>
      <c r="F28" s="817"/>
      <c r="G28" s="815"/>
      <c r="H28" s="816"/>
      <c r="I28" s="817"/>
      <c r="J28" s="818"/>
      <c r="K28" s="819"/>
      <c r="L28" s="866"/>
      <c r="M28" s="870"/>
      <c r="N28" s="871"/>
      <c r="O28" s="872"/>
      <c r="P28" s="823"/>
      <c r="Q28" s="824"/>
      <c r="R28" s="825"/>
      <c r="S28" s="25"/>
      <c r="T28" s="826">
        <f t="shared" si="2"/>
        <v>0</v>
      </c>
      <c r="U28" s="827"/>
      <c r="V28" s="828"/>
      <c r="W28" s="873">
        <f t="shared" si="6"/>
        <v>0</v>
      </c>
      <c r="X28" s="874"/>
      <c r="Y28" s="875"/>
      <c r="Z28" s="815">
        <v>0</v>
      </c>
      <c r="AA28" s="816"/>
      <c r="AB28" s="817"/>
      <c r="AC28" s="818">
        <v>0</v>
      </c>
      <c r="AD28" s="819"/>
      <c r="AE28" s="866"/>
      <c r="AF28" s="818">
        <v>0</v>
      </c>
      <c r="AG28" s="819"/>
      <c r="AH28" s="866"/>
      <c r="AI28" s="856">
        <f t="shared" si="1"/>
        <v>0</v>
      </c>
      <c r="AJ28" s="857"/>
      <c r="AK28" s="858"/>
      <c r="AN28" s="252">
        <v>0.4</v>
      </c>
      <c r="AO28" s="253">
        <v>321.2</v>
      </c>
      <c r="AP28" s="254"/>
      <c r="AQ28" s="255">
        <f>AO28</f>
        <v>321.2</v>
      </c>
    </row>
    <row r="29" spans="1:47" ht="13.5" thickBot="1" x14ac:dyDescent="0.25">
      <c r="A29" s="867"/>
      <c r="B29" s="868"/>
      <c r="C29" s="869"/>
      <c r="D29" s="847"/>
      <c r="E29" s="848"/>
      <c r="F29" s="849"/>
      <c r="G29" s="847"/>
      <c r="H29" s="848"/>
      <c r="I29" s="849"/>
      <c r="J29" s="850"/>
      <c r="K29" s="851"/>
      <c r="L29" s="852"/>
      <c r="M29" s="879"/>
      <c r="N29" s="880"/>
      <c r="O29" s="881"/>
      <c r="P29" s="853"/>
      <c r="Q29" s="854"/>
      <c r="R29" s="855"/>
      <c r="S29" s="25"/>
      <c r="T29" s="575">
        <f t="shared" si="2"/>
        <v>0</v>
      </c>
      <c r="U29" s="389"/>
      <c r="V29" s="390"/>
      <c r="W29" s="876">
        <f t="shared" si="6"/>
        <v>0</v>
      </c>
      <c r="X29" s="877"/>
      <c r="Y29" s="878"/>
      <c r="Z29" s="847">
        <v>0</v>
      </c>
      <c r="AA29" s="848"/>
      <c r="AB29" s="849"/>
      <c r="AC29" s="850">
        <v>0</v>
      </c>
      <c r="AD29" s="851"/>
      <c r="AE29" s="852"/>
      <c r="AF29" s="850">
        <v>0</v>
      </c>
      <c r="AG29" s="851"/>
      <c r="AH29" s="852"/>
      <c r="AI29" s="862">
        <f t="shared" si="1"/>
        <v>0</v>
      </c>
      <c r="AJ29" s="863"/>
      <c r="AK29" s="864"/>
    </row>
    <row r="30" spans="1:47" x14ac:dyDescent="0.2">
      <c r="A30" s="812"/>
      <c r="B30" s="813"/>
      <c r="C30" s="814"/>
      <c r="D30" s="815">
        <v>0</v>
      </c>
      <c r="E30" s="816"/>
      <c r="F30" s="817"/>
      <c r="G30" s="815">
        <v>0</v>
      </c>
      <c r="H30" s="816"/>
      <c r="I30" s="817"/>
      <c r="J30" s="818">
        <v>0</v>
      </c>
      <c r="K30" s="819"/>
      <c r="L30" s="866"/>
      <c r="M30" s="870">
        <v>0</v>
      </c>
      <c r="N30" s="871"/>
      <c r="O30" s="872"/>
      <c r="P30" s="823">
        <f t="shared" si="0"/>
        <v>0</v>
      </c>
      <c r="Q30" s="824"/>
      <c r="R30" s="825"/>
      <c r="S30" s="25"/>
      <c r="T30" s="826">
        <f t="shared" si="2"/>
        <v>0</v>
      </c>
      <c r="U30" s="827"/>
      <c r="V30" s="828"/>
      <c r="W30" s="873">
        <f t="shared" si="6"/>
        <v>0</v>
      </c>
      <c r="X30" s="874"/>
      <c r="Y30" s="875"/>
      <c r="Z30" s="815">
        <v>0</v>
      </c>
      <c r="AA30" s="816"/>
      <c r="AB30" s="817"/>
      <c r="AC30" s="818">
        <v>0</v>
      </c>
      <c r="AD30" s="819"/>
      <c r="AE30" s="866"/>
      <c r="AF30" s="870">
        <v>0</v>
      </c>
      <c r="AG30" s="871"/>
      <c r="AH30" s="872"/>
      <c r="AI30" s="856">
        <f t="shared" si="1"/>
        <v>0</v>
      </c>
      <c r="AJ30" s="857"/>
      <c r="AK30" s="858"/>
      <c r="AN30" s="217" t="s">
        <v>384</v>
      </c>
      <c r="AO30" s="218"/>
      <c r="AP30" s="219" t="s">
        <v>385</v>
      </c>
      <c r="AQ30" s="220"/>
    </row>
    <row r="31" spans="1:47" x14ac:dyDescent="0.2">
      <c r="A31" s="867"/>
      <c r="B31" s="868"/>
      <c r="C31" s="869"/>
      <c r="D31" s="847">
        <v>0</v>
      </c>
      <c r="E31" s="848"/>
      <c r="F31" s="849"/>
      <c r="G31" s="847">
        <v>0</v>
      </c>
      <c r="H31" s="848"/>
      <c r="I31" s="849"/>
      <c r="J31" s="850">
        <v>0</v>
      </c>
      <c r="K31" s="851"/>
      <c r="L31" s="852"/>
      <c r="M31" s="879">
        <v>0</v>
      </c>
      <c r="N31" s="880"/>
      <c r="O31" s="881"/>
      <c r="P31" s="853">
        <f t="shared" si="0"/>
        <v>0</v>
      </c>
      <c r="Q31" s="854"/>
      <c r="R31" s="855"/>
      <c r="S31" s="25"/>
      <c r="T31" s="575">
        <f t="shared" si="2"/>
        <v>0</v>
      </c>
      <c r="U31" s="389"/>
      <c r="V31" s="390"/>
      <c r="W31" s="876">
        <f t="shared" si="6"/>
        <v>0</v>
      </c>
      <c r="X31" s="877"/>
      <c r="Y31" s="878"/>
      <c r="Z31" s="847">
        <v>0</v>
      </c>
      <c r="AA31" s="848"/>
      <c r="AB31" s="849"/>
      <c r="AC31" s="850">
        <v>0</v>
      </c>
      <c r="AD31" s="851"/>
      <c r="AE31" s="852"/>
      <c r="AF31" s="879">
        <v>0</v>
      </c>
      <c r="AG31" s="880"/>
      <c r="AH31" s="881"/>
      <c r="AI31" s="862">
        <f t="shared" si="1"/>
        <v>0</v>
      </c>
      <c r="AJ31" s="863"/>
      <c r="AK31" s="864"/>
      <c r="AN31" s="221"/>
      <c r="AO31" s="222">
        <v>1</v>
      </c>
      <c r="AP31" s="222">
        <v>1.1499999999999999</v>
      </c>
      <c r="AQ31" s="223">
        <v>2</v>
      </c>
    </row>
    <row r="32" spans="1:47" x14ac:dyDescent="0.2">
      <c r="A32" s="812"/>
      <c r="B32" s="813"/>
      <c r="C32" s="814"/>
      <c r="D32" s="815">
        <v>0</v>
      </c>
      <c r="E32" s="816"/>
      <c r="F32" s="817"/>
      <c r="G32" s="815">
        <v>0</v>
      </c>
      <c r="H32" s="816"/>
      <c r="I32" s="817"/>
      <c r="J32" s="818">
        <v>0</v>
      </c>
      <c r="K32" s="819"/>
      <c r="L32" s="866"/>
      <c r="M32" s="870">
        <v>0</v>
      </c>
      <c r="N32" s="871"/>
      <c r="O32" s="872"/>
      <c r="P32" s="823">
        <f t="shared" si="0"/>
        <v>0</v>
      </c>
      <c r="Q32" s="824"/>
      <c r="R32" s="825"/>
      <c r="S32" s="25"/>
      <c r="T32" s="826">
        <f t="shared" si="2"/>
        <v>0</v>
      </c>
      <c r="U32" s="827"/>
      <c r="V32" s="828"/>
      <c r="W32" s="873">
        <f t="shared" si="6"/>
        <v>0</v>
      </c>
      <c r="X32" s="874"/>
      <c r="Y32" s="875"/>
      <c r="Z32" s="815">
        <v>0</v>
      </c>
      <c r="AA32" s="816"/>
      <c r="AB32" s="817"/>
      <c r="AC32" s="818">
        <v>0</v>
      </c>
      <c r="AD32" s="819"/>
      <c r="AE32" s="866"/>
      <c r="AF32" s="870">
        <v>0</v>
      </c>
      <c r="AG32" s="871"/>
      <c r="AH32" s="872"/>
      <c r="AI32" s="856">
        <f t="shared" si="1"/>
        <v>0</v>
      </c>
      <c r="AJ32" s="857"/>
      <c r="AK32" s="858"/>
      <c r="AN32" s="225">
        <v>0</v>
      </c>
      <c r="AO32" s="226"/>
      <c r="AP32" s="227"/>
      <c r="AQ32" s="223">
        <f>AO32</f>
        <v>0</v>
      </c>
    </row>
    <row r="33" spans="1:45" x14ac:dyDescent="0.2">
      <c r="A33" s="867"/>
      <c r="B33" s="868"/>
      <c r="C33" s="869"/>
      <c r="D33" s="847">
        <v>0</v>
      </c>
      <c r="E33" s="848"/>
      <c r="F33" s="849"/>
      <c r="G33" s="847">
        <v>0</v>
      </c>
      <c r="H33" s="848"/>
      <c r="I33" s="849"/>
      <c r="J33" s="850">
        <v>0</v>
      </c>
      <c r="K33" s="851"/>
      <c r="L33" s="852"/>
      <c r="M33" s="879">
        <v>0</v>
      </c>
      <c r="N33" s="880"/>
      <c r="O33" s="881"/>
      <c r="P33" s="853">
        <f t="shared" si="0"/>
        <v>0</v>
      </c>
      <c r="Q33" s="854"/>
      <c r="R33" s="855"/>
      <c r="S33" s="25"/>
      <c r="T33" s="575">
        <f t="shared" si="2"/>
        <v>0</v>
      </c>
      <c r="U33" s="389"/>
      <c r="V33" s="390"/>
      <c r="W33" s="876">
        <f t="shared" si="6"/>
        <v>0</v>
      </c>
      <c r="X33" s="877"/>
      <c r="Y33" s="878"/>
      <c r="Z33" s="847">
        <v>0</v>
      </c>
      <c r="AA33" s="848"/>
      <c r="AB33" s="849"/>
      <c r="AC33" s="850">
        <v>0</v>
      </c>
      <c r="AD33" s="851"/>
      <c r="AE33" s="852"/>
      <c r="AF33" s="879">
        <v>0</v>
      </c>
      <c r="AG33" s="880"/>
      <c r="AH33" s="881"/>
      <c r="AI33" s="862">
        <f t="shared" si="1"/>
        <v>0</v>
      </c>
      <c r="AJ33" s="863"/>
      <c r="AK33" s="864"/>
      <c r="AN33" s="225">
        <v>6.476</v>
      </c>
      <c r="AO33" s="231">
        <f>((AO32-AO34)/(AN32-AN34))*(AN33-AN34)+AO34</f>
        <v>92.163074074074061</v>
      </c>
      <c r="AP33" s="227">
        <f>AO33-(AO33-AQ33)/(AQ31-AO31)*(AP31-AO31)</f>
        <v>92.163074074074061</v>
      </c>
      <c r="AQ33" s="232">
        <f>((AQ32-AQ34)/(AN32-AN34))*(AN33-AN34)+AQ34</f>
        <v>92.163074074074061</v>
      </c>
    </row>
    <row r="34" spans="1:45" ht="13.5" thickBot="1" x14ac:dyDescent="0.25">
      <c r="A34" s="812"/>
      <c r="B34" s="813"/>
      <c r="C34" s="814"/>
      <c r="D34" s="815">
        <v>0</v>
      </c>
      <c r="E34" s="816"/>
      <c r="F34" s="817"/>
      <c r="G34" s="815">
        <v>0</v>
      </c>
      <c r="H34" s="816"/>
      <c r="I34" s="817"/>
      <c r="J34" s="818">
        <v>0</v>
      </c>
      <c r="K34" s="819"/>
      <c r="L34" s="866"/>
      <c r="M34" s="870">
        <v>0</v>
      </c>
      <c r="N34" s="871"/>
      <c r="O34" s="872"/>
      <c r="P34" s="823">
        <f t="shared" si="0"/>
        <v>0</v>
      </c>
      <c r="Q34" s="824"/>
      <c r="R34" s="825"/>
      <c r="S34" s="25"/>
      <c r="T34" s="826">
        <f t="shared" si="2"/>
        <v>0</v>
      </c>
      <c r="U34" s="827"/>
      <c r="V34" s="828"/>
      <c r="W34" s="873">
        <f t="shared" si="6"/>
        <v>0</v>
      </c>
      <c r="X34" s="874"/>
      <c r="Y34" s="875"/>
      <c r="Z34" s="815">
        <v>0</v>
      </c>
      <c r="AA34" s="816"/>
      <c r="AB34" s="817"/>
      <c r="AC34" s="818">
        <v>0</v>
      </c>
      <c r="AD34" s="819"/>
      <c r="AE34" s="866"/>
      <c r="AF34" s="870">
        <v>0</v>
      </c>
      <c r="AG34" s="871"/>
      <c r="AH34" s="872"/>
      <c r="AI34" s="856">
        <f t="shared" si="1"/>
        <v>0</v>
      </c>
      <c r="AJ34" s="857"/>
      <c r="AK34" s="858"/>
      <c r="AN34" s="234">
        <v>6.48</v>
      </c>
      <c r="AO34" s="235">
        <v>92.22</v>
      </c>
      <c r="AP34" s="236"/>
      <c r="AQ34" s="256">
        <f>AO34</f>
        <v>92.22</v>
      </c>
    </row>
    <row r="35" spans="1:45" ht="13.5" thickBot="1" x14ac:dyDescent="0.25">
      <c r="A35" s="867"/>
      <c r="B35" s="868"/>
      <c r="C35" s="869"/>
      <c r="D35" s="847">
        <v>0</v>
      </c>
      <c r="E35" s="848"/>
      <c r="F35" s="849"/>
      <c r="G35" s="847">
        <v>0</v>
      </c>
      <c r="H35" s="848"/>
      <c r="I35" s="849"/>
      <c r="J35" s="850">
        <v>0</v>
      </c>
      <c r="K35" s="851"/>
      <c r="L35" s="852"/>
      <c r="M35" s="879">
        <v>0</v>
      </c>
      <c r="N35" s="880"/>
      <c r="O35" s="881"/>
      <c r="P35" s="853">
        <f t="shared" si="0"/>
        <v>0</v>
      </c>
      <c r="Q35" s="854"/>
      <c r="R35" s="855"/>
      <c r="S35" s="25"/>
      <c r="T35" s="575">
        <f t="shared" si="2"/>
        <v>0</v>
      </c>
      <c r="U35" s="389"/>
      <c r="V35" s="390"/>
      <c r="W35" s="876">
        <f t="shared" si="6"/>
        <v>0</v>
      </c>
      <c r="X35" s="877"/>
      <c r="Y35" s="878"/>
      <c r="Z35" s="847">
        <v>0</v>
      </c>
      <c r="AA35" s="848"/>
      <c r="AB35" s="849"/>
      <c r="AC35" s="850">
        <v>0</v>
      </c>
      <c r="AD35" s="851"/>
      <c r="AE35" s="852"/>
      <c r="AF35" s="879">
        <v>0</v>
      </c>
      <c r="AG35" s="880"/>
      <c r="AH35" s="881"/>
      <c r="AI35" s="862">
        <f t="shared" si="1"/>
        <v>0</v>
      </c>
      <c r="AJ35" s="863"/>
      <c r="AK35" s="864"/>
    </row>
    <row r="36" spans="1:45" x14ac:dyDescent="0.2">
      <c r="A36" s="812"/>
      <c r="B36" s="813"/>
      <c r="C36" s="814"/>
      <c r="D36" s="815">
        <v>0</v>
      </c>
      <c r="E36" s="816"/>
      <c r="F36" s="817"/>
      <c r="G36" s="815">
        <v>0</v>
      </c>
      <c r="H36" s="816"/>
      <c r="I36" s="817"/>
      <c r="J36" s="818">
        <v>0</v>
      </c>
      <c r="K36" s="819"/>
      <c r="L36" s="866"/>
      <c r="M36" s="870">
        <v>0</v>
      </c>
      <c r="N36" s="871"/>
      <c r="O36" s="872"/>
      <c r="P36" s="823">
        <f t="shared" si="0"/>
        <v>0</v>
      </c>
      <c r="Q36" s="824"/>
      <c r="R36" s="825"/>
      <c r="S36" s="25"/>
      <c r="T36" s="826">
        <f t="shared" si="2"/>
        <v>0</v>
      </c>
      <c r="U36" s="827"/>
      <c r="V36" s="828"/>
      <c r="W36" s="873">
        <f t="shared" si="6"/>
        <v>0</v>
      </c>
      <c r="X36" s="874"/>
      <c r="Y36" s="875"/>
      <c r="Z36" s="815">
        <v>0</v>
      </c>
      <c r="AA36" s="816"/>
      <c r="AB36" s="817"/>
      <c r="AC36" s="818">
        <v>0</v>
      </c>
      <c r="AD36" s="819"/>
      <c r="AE36" s="866"/>
      <c r="AF36" s="870">
        <v>0</v>
      </c>
      <c r="AG36" s="871"/>
      <c r="AH36" s="872"/>
      <c r="AI36" s="856">
        <f t="shared" si="1"/>
        <v>0</v>
      </c>
      <c r="AJ36" s="857"/>
      <c r="AK36" s="858"/>
      <c r="AN36" s="217" t="s">
        <v>384</v>
      </c>
      <c r="AO36" s="218"/>
      <c r="AP36" s="219" t="s">
        <v>385</v>
      </c>
      <c r="AQ36" s="220"/>
    </row>
    <row r="37" spans="1:45" x14ac:dyDescent="0.2">
      <c r="A37" s="867"/>
      <c r="B37" s="868"/>
      <c r="C37" s="869"/>
      <c r="D37" s="847">
        <v>0</v>
      </c>
      <c r="E37" s="848"/>
      <c r="F37" s="849"/>
      <c r="G37" s="847">
        <v>0</v>
      </c>
      <c r="H37" s="848"/>
      <c r="I37" s="849"/>
      <c r="J37" s="850">
        <v>0</v>
      </c>
      <c r="K37" s="851"/>
      <c r="L37" s="852"/>
      <c r="M37" s="879">
        <v>0</v>
      </c>
      <c r="N37" s="880"/>
      <c r="O37" s="881"/>
      <c r="P37" s="853">
        <f t="shared" si="0"/>
        <v>0</v>
      </c>
      <c r="Q37" s="854"/>
      <c r="R37" s="855"/>
      <c r="S37" s="25"/>
      <c r="T37" s="575">
        <f t="shared" si="2"/>
        <v>0</v>
      </c>
      <c r="U37" s="389"/>
      <c r="V37" s="390"/>
      <c r="W37" s="876">
        <f t="shared" si="6"/>
        <v>0</v>
      </c>
      <c r="X37" s="877"/>
      <c r="Y37" s="878"/>
      <c r="Z37" s="847">
        <v>0</v>
      </c>
      <c r="AA37" s="848"/>
      <c r="AB37" s="849"/>
      <c r="AC37" s="850">
        <v>0</v>
      </c>
      <c r="AD37" s="851"/>
      <c r="AE37" s="852"/>
      <c r="AF37" s="879">
        <v>0</v>
      </c>
      <c r="AG37" s="880"/>
      <c r="AH37" s="881"/>
      <c r="AI37" s="862">
        <f t="shared" si="1"/>
        <v>0</v>
      </c>
      <c r="AJ37" s="863"/>
      <c r="AK37" s="864"/>
      <c r="AN37" s="221"/>
      <c r="AO37" s="222">
        <v>2</v>
      </c>
      <c r="AP37" s="222">
        <v>0</v>
      </c>
      <c r="AQ37" s="223">
        <v>3</v>
      </c>
    </row>
    <row r="38" spans="1:45" x14ac:dyDescent="0.2">
      <c r="A38" s="812"/>
      <c r="B38" s="813"/>
      <c r="C38" s="814"/>
      <c r="D38" s="815">
        <v>0</v>
      </c>
      <c r="E38" s="816"/>
      <c r="F38" s="817"/>
      <c r="G38" s="815">
        <v>0</v>
      </c>
      <c r="H38" s="816"/>
      <c r="I38" s="817"/>
      <c r="J38" s="818">
        <v>0</v>
      </c>
      <c r="K38" s="819"/>
      <c r="L38" s="866"/>
      <c r="M38" s="870">
        <f t="shared" ref="M38" si="7">+M37</f>
        <v>0</v>
      </c>
      <c r="N38" s="871"/>
      <c r="O38" s="872"/>
      <c r="P38" s="823">
        <f t="shared" si="0"/>
        <v>0</v>
      </c>
      <c r="Q38" s="824"/>
      <c r="R38" s="825"/>
      <c r="S38" s="25"/>
      <c r="T38" s="826">
        <f t="shared" si="2"/>
        <v>0</v>
      </c>
      <c r="U38" s="827"/>
      <c r="V38" s="828"/>
      <c r="W38" s="873">
        <f t="shared" si="6"/>
        <v>0</v>
      </c>
      <c r="X38" s="874"/>
      <c r="Y38" s="875"/>
      <c r="Z38" s="815">
        <v>0</v>
      </c>
      <c r="AA38" s="816"/>
      <c r="AB38" s="817"/>
      <c r="AC38" s="818">
        <v>0</v>
      </c>
      <c r="AD38" s="819"/>
      <c r="AE38" s="866"/>
      <c r="AF38" s="870">
        <v>0</v>
      </c>
      <c r="AG38" s="871"/>
      <c r="AH38" s="872"/>
      <c r="AI38" s="856">
        <f t="shared" si="1"/>
        <v>0</v>
      </c>
      <c r="AJ38" s="857"/>
      <c r="AK38" s="858"/>
      <c r="AN38" s="225">
        <v>3.4</v>
      </c>
      <c r="AO38" s="226">
        <v>245.3</v>
      </c>
      <c r="AP38" s="227"/>
      <c r="AQ38" s="223">
        <v>247.1</v>
      </c>
    </row>
    <row r="39" spans="1:45" x14ac:dyDescent="0.2">
      <c r="A39" s="867"/>
      <c r="B39" s="868"/>
      <c r="C39" s="869"/>
      <c r="D39" s="847">
        <v>0</v>
      </c>
      <c r="E39" s="848"/>
      <c r="F39" s="849"/>
      <c r="G39" s="847">
        <v>0</v>
      </c>
      <c r="H39" s="848"/>
      <c r="I39" s="849"/>
      <c r="J39" s="850">
        <v>0</v>
      </c>
      <c r="K39" s="851"/>
      <c r="L39" s="852"/>
      <c r="M39" s="879">
        <v>0</v>
      </c>
      <c r="N39" s="880"/>
      <c r="O39" s="881"/>
      <c r="P39" s="853">
        <f t="shared" si="0"/>
        <v>0</v>
      </c>
      <c r="Q39" s="854"/>
      <c r="R39" s="855"/>
      <c r="S39" s="25"/>
      <c r="T39" s="575">
        <f t="shared" si="2"/>
        <v>0</v>
      </c>
      <c r="U39" s="389"/>
      <c r="V39" s="390"/>
      <c r="W39" s="876">
        <f t="shared" si="6"/>
        <v>0</v>
      </c>
      <c r="X39" s="877"/>
      <c r="Y39" s="878"/>
      <c r="Z39" s="847">
        <v>0</v>
      </c>
      <c r="AA39" s="848"/>
      <c r="AB39" s="849"/>
      <c r="AC39" s="850">
        <v>0</v>
      </c>
      <c r="AD39" s="851"/>
      <c r="AE39" s="852"/>
      <c r="AF39" s="879">
        <v>0</v>
      </c>
      <c r="AG39" s="880"/>
      <c r="AH39" s="881"/>
      <c r="AI39" s="862">
        <f t="shared" si="1"/>
        <v>0</v>
      </c>
      <c r="AJ39" s="863"/>
      <c r="AK39" s="864"/>
      <c r="AN39" s="225">
        <v>3.47</v>
      </c>
      <c r="AO39" s="231">
        <f>((AO38-AO40)/(AN38-AN40))*(AN39-AN40)+AO40</f>
        <v>253.63000000000002</v>
      </c>
      <c r="AP39" s="227">
        <f>AO39-(AO39-AQ39)/(AQ37-AO37)*(AP37-AO37)</f>
        <v>252.83</v>
      </c>
      <c r="AQ39" s="232">
        <f>((AQ38-AQ40)/(AN38-AN40))*(AN39-AN40)+AQ40</f>
        <v>254.03000000000003</v>
      </c>
    </row>
    <row r="40" spans="1:45" ht="13.5" thickBot="1" x14ac:dyDescent="0.25">
      <c r="A40" s="812"/>
      <c r="B40" s="813"/>
      <c r="C40" s="814"/>
      <c r="D40" s="815">
        <v>0</v>
      </c>
      <c r="E40" s="816"/>
      <c r="F40" s="817"/>
      <c r="G40" s="815">
        <v>0</v>
      </c>
      <c r="H40" s="816"/>
      <c r="I40" s="817"/>
      <c r="J40" s="818">
        <v>0</v>
      </c>
      <c r="K40" s="819"/>
      <c r="L40" s="866"/>
      <c r="M40" s="870">
        <v>0</v>
      </c>
      <c r="N40" s="871"/>
      <c r="O40" s="872"/>
      <c r="P40" s="823">
        <f t="shared" si="0"/>
        <v>0</v>
      </c>
      <c r="Q40" s="824"/>
      <c r="R40" s="825"/>
      <c r="S40" s="25"/>
      <c r="T40" s="826">
        <f t="shared" si="2"/>
        <v>0</v>
      </c>
      <c r="U40" s="827"/>
      <c r="V40" s="828"/>
      <c r="W40" s="873">
        <f t="shared" si="6"/>
        <v>0</v>
      </c>
      <c r="X40" s="874"/>
      <c r="Y40" s="875"/>
      <c r="Z40" s="815">
        <v>0</v>
      </c>
      <c r="AA40" s="816"/>
      <c r="AB40" s="817"/>
      <c r="AC40" s="818">
        <v>0</v>
      </c>
      <c r="AD40" s="819"/>
      <c r="AE40" s="866"/>
      <c r="AF40" s="870">
        <v>0</v>
      </c>
      <c r="AG40" s="871"/>
      <c r="AH40" s="872"/>
      <c r="AI40" s="856">
        <f t="shared" si="1"/>
        <v>0</v>
      </c>
      <c r="AJ40" s="857"/>
      <c r="AK40" s="858"/>
      <c r="AN40" s="234">
        <v>3.5</v>
      </c>
      <c r="AO40" s="235">
        <v>257.2</v>
      </c>
      <c r="AP40" s="236"/>
      <c r="AQ40" s="256">
        <v>257</v>
      </c>
    </row>
    <row r="41" spans="1:45" x14ac:dyDescent="0.2">
      <c r="A41" s="882"/>
      <c r="B41" s="883"/>
      <c r="C41" s="884"/>
      <c r="D41" s="885">
        <v>0</v>
      </c>
      <c r="E41" s="886"/>
      <c r="F41" s="887"/>
      <c r="G41" s="885">
        <v>0</v>
      </c>
      <c r="H41" s="886"/>
      <c r="I41" s="887"/>
      <c r="J41" s="888">
        <v>0</v>
      </c>
      <c r="K41" s="889"/>
      <c r="L41" s="890"/>
      <c r="M41" s="891">
        <v>0</v>
      </c>
      <c r="N41" s="892"/>
      <c r="O41" s="893"/>
      <c r="P41" s="894">
        <f t="shared" si="0"/>
        <v>0</v>
      </c>
      <c r="Q41" s="895"/>
      <c r="R41" s="896"/>
      <c r="S41" s="25"/>
      <c r="T41" s="904">
        <f t="shared" si="2"/>
        <v>0</v>
      </c>
      <c r="U41" s="671"/>
      <c r="V41" s="672"/>
      <c r="W41" s="905">
        <f t="shared" si="6"/>
        <v>0</v>
      </c>
      <c r="X41" s="906"/>
      <c r="Y41" s="907"/>
      <c r="Z41" s="885">
        <v>0</v>
      </c>
      <c r="AA41" s="886"/>
      <c r="AB41" s="887"/>
      <c r="AC41" s="888">
        <v>0</v>
      </c>
      <c r="AD41" s="889"/>
      <c r="AE41" s="890"/>
      <c r="AF41" s="891">
        <v>0</v>
      </c>
      <c r="AG41" s="892"/>
      <c r="AH41" s="893"/>
      <c r="AI41" s="908">
        <f t="shared" si="1"/>
        <v>0</v>
      </c>
      <c r="AJ41" s="909"/>
      <c r="AK41" s="910"/>
      <c r="AN41" s="897"/>
      <c r="AO41" s="897"/>
      <c r="AP41" s="897"/>
      <c r="AQ41" s="215"/>
      <c r="AR41" s="215"/>
      <c r="AS41" s="215"/>
    </row>
    <row r="42" spans="1:45" ht="13.5" thickBot="1" x14ac:dyDescent="0.25">
      <c r="A42" s="185"/>
      <c r="B42" s="898" t="s">
        <v>182</v>
      </c>
      <c r="C42" s="898"/>
      <c r="D42" s="898"/>
      <c r="E42" s="898"/>
      <c r="F42" s="898"/>
      <c r="G42" s="898"/>
      <c r="H42" s="898"/>
      <c r="I42" s="898"/>
      <c r="J42" s="898"/>
      <c r="K42" s="898"/>
      <c r="L42" s="898"/>
      <c r="M42" s="898"/>
      <c r="N42" s="898"/>
      <c r="O42" s="898"/>
      <c r="P42" s="899">
        <f>SUM(P11:R41)</f>
        <v>120.40033999999997</v>
      </c>
      <c r="Q42" s="899"/>
      <c r="R42" s="900"/>
      <c r="T42" s="185"/>
      <c r="U42" s="898" t="s">
        <v>182</v>
      </c>
      <c r="V42" s="898"/>
      <c r="W42" s="898"/>
      <c r="X42" s="898"/>
      <c r="Y42" s="898"/>
      <c r="Z42" s="898"/>
      <c r="AA42" s="898"/>
      <c r="AB42" s="898"/>
      <c r="AC42" s="898"/>
      <c r="AD42" s="898"/>
      <c r="AE42" s="898"/>
      <c r="AF42" s="898"/>
      <c r="AG42" s="898"/>
      <c r="AH42" s="898"/>
      <c r="AI42" s="901">
        <f>SUM(AI11:AK41)</f>
        <v>16346.655339999999</v>
      </c>
      <c r="AJ42" s="901"/>
      <c r="AK42" s="902"/>
      <c r="AN42" s="903"/>
      <c r="AO42" s="903"/>
      <c r="AP42" s="903"/>
      <c r="AQ42" s="215"/>
      <c r="AR42" s="215"/>
      <c r="AS42" s="215"/>
    </row>
    <row r="43" spans="1:45" ht="13.5" thickBot="1" x14ac:dyDescent="0.25">
      <c r="A43" s="24"/>
      <c r="B43" s="3"/>
      <c r="C43" s="3"/>
      <c r="D43" s="3"/>
      <c r="E43" s="3"/>
      <c r="F43" s="3"/>
      <c r="G43" s="3"/>
      <c r="H43" s="3"/>
      <c r="I43" s="3"/>
      <c r="J43" s="3"/>
      <c r="K43" s="3"/>
      <c r="L43" s="3"/>
      <c r="M43" s="3"/>
      <c r="N43" s="3"/>
      <c r="O43" s="3"/>
      <c r="P43" s="186"/>
      <c r="Q43" s="186"/>
      <c r="R43" s="186"/>
      <c r="T43" s="24"/>
      <c r="U43" s="3"/>
      <c r="V43" s="3"/>
      <c r="W43" s="3"/>
      <c r="X43" s="3"/>
      <c r="Y43" s="3"/>
      <c r="Z43" s="3"/>
      <c r="AA43" s="3"/>
      <c r="AB43" s="3"/>
      <c r="AC43" s="3"/>
      <c r="AD43" s="3"/>
      <c r="AE43" s="3"/>
      <c r="AF43" s="3"/>
      <c r="AG43" s="3"/>
      <c r="AH43" s="3"/>
      <c r="AI43" s="187"/>
      <c r="AJ43" s="187"/>
      <c r="AK43" s="187"/>
      <c r="AN43" s="216"/>
      <c r="AO43" s="216"/>
      <c r="AP43" s="216"/>
      <c r="AQ43" s="215"/>
      <c r="AR43" s="215"/>
      <c r="AS43" s="215"/>
    </row>
    <row r="44" spans="1:45" x14ac:dyDescent="0.2">
      <c r="A44" s="806" t="s">
        <v>338</v>
      </c>
      <c r="B44" s="807"/>
      <c r="C44" s="808"/>
      <c r="D44" s="792" t="s">
        <v>339</v>
      </c>
      <c r="E44" s="793"/>
      <c r="F44" s="794"/>
      <c r="G44" s="798" t="s">
        <v>158</v>
      </c>
      <c r="H44" s="799"/>
      <c r="I44" s="800"/>
      <c r="J44" s="792" t="s">
        <v>163</v>
      </c>
      <c r="K44" s="793"/>
      <c r="L44" s="794"/>
      <c r="M44" s="792" t="s">
        <v>198</v>
      </c>
      <c r="N44" s="793"/>
      <c r="O44" s="794"/>
      <c r="P44" s="792" t="s">
        <v>165</v>
      </c>
      <c r="Q44" s="793"/>
      <c r="R44" s="801"/>
      <c r="T44" s="806" t="s">
        <v>338</v>
      </c>
      <c r="U44" s="807"/>
      <c r="V44" s="808"/>
      <c r="W44" s="792" t="s">
        <v>339</v>
      </c>
      <c r="X44" s="793"/>
      <c r="Y44" s="794"/>
      <c r="Z44" s="798" t="s">
        <v>158</v>
      </c>
      <c r="AA44" s="799"/>
      <c r="AB44" s="800"/>
      <c r="AC44" s="792" t="s">
        <v>163</v>
      </c>
      <c r="AD44" s="793"/>
      <c r="AE44" s="794"/>
      <c r="AF44" s="792" t="s">
        <v>198</v>
      </c>
      <c r="AG44" s="793"/>
      <c r="AH44" s="794"/>
      <c r="AI44" s="792" t="s">
        <v>165</v>
      </c>
      <c r="AJ44" s="793"/>
      <c r="AK44" s="801"/>
      <c r="AN44" s="216"/>
      <c r="AO44" s="216"/>
      <c r="AP44" s="216"/>
      <c r="AQ44" s="215"/>
      <c r="AR44" s="215"/>
      <c r="AS44" s="215"/>
    </row>
    <row r="45" spans="1:45" ht="13.15" customHeight="1" thickBot="1" x14ac:dyDescent="0.25">
      <c r="A45" s="809"/>
      <c r="B45" s="810"/>
      <c r="C45" s="811"/>
      <c r="D45" s="795"/>
      <c r="E45" s="796"/>
      <c r="F45" s="797"/>
      <c r="G45" s="659"/>
      <c r="H45" s="660"/>
      <c r="I45" s="661"/>
      <c r="J45" s="795"/>
      <c r="K45" s="796"/>
      <c r="L45" s="797"/>
      <c r="M45" s="795"/>
      <c r="N45" s="796"/>
      <c r="O45" s="797"/>
      <c r="P45" s="795"/>
      <c r="Q45" s="796"/>
      <c r="R45" s="802"/>
      <c r="T45" s="809"/>
      <c r="U45" s="810"/>
      <c r="V45" s="811"/>
      <c r="W45" s="795"/>
      <c r="X45" s="796"/>
      <c r="Y45" s="797"/>
      <c r="Z45" s="659"/>
      <c r="AA45" s="660"/>
      <c r="AB45" s="661"/>
      <c r="AC45" s="795"/>
      <c r="AD45" s="796"/>
      <c r="AE45" s="797"/>
      <c r="AF45" s="795"/>
      <c r="AG45" s="796"/>
      <c r="AH45" s="797"/>
      <c r="AI45" s="795"/>
      <c r="AJ45" s="796"/>
      <c r="AK45" s="802"/>
      <c r="AN45" s="903"/>
      <c r="AO45" s="903"/>
      <c r="AP45" s="903"/>
      <c r="AQ45" s="215"/>
      <c r="AR45" s="215"/>
      <c r="AS45" s="215"/>
    </row>
    <row r="46" spans="1:45" ht="13.15" customHeight="1" x14ac:dyDescent="0.2">
      <c r="A46" s="911" t="s">
        <v>342</v>
      </c>
      <c r="B46" s="912"/>
      <c r="C46" s="912"/>
      <c r="D46" s="912"/>
      <c r="E46" s="912"/>
      <c r="F46" s="912"/>
      <c r="G46" s="912"/>
      <c r="H46" s="912"/>
      <c r="I46" s="912"/>
      <c r="J46" s="912"/>
      <c r="K46" s="912"/>
      <c r="L46" s="912"/>
      <c r="M46" s="912"/>
      <c r="N46" s="912"/>
      <c r="O46" s="912"/>
      <c r="P46" s="912"/>
      <c r="Q46" s="912"/>
      <c r="R46" s="913"/>
      <c r="T46" s="911" t="s">
        <v>343</v>
      </c>
      <c r="U46" s="912"/>
      <c r="V46" s="912"/>
      <c r="W46" s="912"/>
      <c r="X46" s="912"/>
      <c r="Y46" s="912"/>
      <c r="Z46" s="912"/>
      <c r="AA46" s="912"/>
      <c r="AB46" s="912"/>
      <c r="AC46" s="912"/>
      <c r="AD46" s="912"/>
      <c r="AE46" s="912"/>
      <c r="AF46" s="912"/>
      <c r="AG46" s="912"/>
      <c r="AH46" s="912"/>
      <c r="AI46" s="912"/>
      <c r="AJ46" s="912"/>
      <c r="AK46" s="913"/>
      <c r="AN46" s="903"/>
      <c r="AO46" s="903"/>
      <c r="AP46" s="903"/>
      <c r="AQ46" s="215"/>
      <c r="AR46" s="215"/>
      <c r="AS46" s="215"/>
    </row>
    <row r="47" spans="1:45" x14ac:dyDescent="0.2">
      <c r="A47" s="829" t="s">
        <v>410</v>
      </c>
      <c r="B47" s="830"/>
      <c r="C47" s="831"/>
      <c r="D47" s="832"/>
      <c r="E47" s="833"/>
      <c r="F47" s="834"/>
      <c r="G47" s="832" t="s">
        <v>394</v>
      </c>
      <c r="H47" s="833"/>
      <c r="I47" s="834"/>
      <c r="J47" s="835">
        <v>57</v>
      </c>
      <c r="K47" s="836"/>
      <c r="L47" s="837"/>
      <c r="M47" s="914">
        <v>1</v>
      </c>
      <c r="N47" s="915"/>
      <c r="O47" s="916"/>
      <c r="P47" s="835">
        <f>+J47</f>
        <v>57</v>
      </c>
      <c r="Q47" s="836"/>
      <c r="R47" s="917"/>
      <c r="S47" s="25"/>
      <c r="T47" s="829" t="str">
        <f>+A47</f>
        <v>FWT P</v>
      </c>
      <c r="U47" s="830"/>
      <c r="V47" s="831"/>
      <c r="W47" s="919">
        <f>+D47</f>
        <v>0</v>
      </c>
      <c r="X47" s="920"/>
      <c r="Y47" s="921"/>
      <c r="Z47" s="832" t="s">
        <v>394</v>
      </c>
      <c r="AA47" s="833"/>
      <c r="AB47" s="834"/>
      <c r="AC47" s="835">
        <v>133</v>
      </c>
      <c r="AD47" s="836"/>
      <c r="AE47" s="837"/>
      <c r="AF47" s="914">
        <v>1</v>
      </c>
      <c r="AG47" s="915"/>
      <c r="AH47" s="916"/>
      <c r="AI47" s="832">
        <f t="shared" ref="AI47:AI53" si="8">+AC47</f>
        <v>133</v>
      </c>
      <c r="AJ47" s="833"/>
      <c r="AK47" s="834"/>
      <c r="AN47" s="903"/>
      <c r="AO47" s="903"/>
      <c r="AP47" s="903"/>
      <c r="AQ47" s="215"/>
      <c r="AR47" s="215"/>
      <c r="AS47" s="215"/>
    </row>
    <row r="48" spans="1:45" x14ac:dyDescent="0.2">
      <c r="A48" s="812" t="s">
        <v>431</v>
      </c>
      <c r="B48" s="813"/>
      <c r="C48" s="814"/>
      <c r="D48" s="815"/>
      <c r="E48" s="816"/>
      <c r="F48" s="817"/>
      <c r="G48" s="815" t="s">
        <v>394</v>
      </c>
      <c r="H48" s="816"/>
      <c r="I48" s="817"/>
      <c r="J48" s="818">
        <v>87</v>
      </c>
      <c r="K48" s="819"/>
      <c r="L48" s="866"/>
      <c r="M48" s="820">
        <v>1</v>
      </c>
      <c r="N48" s="821"/>
      <c r="O48" s="822"/>
      <c r="P48" s="818">
        <f t="shared" ref="P48:P53" si="9">+J48</f>
        <v>87</v>
      </c>
      <c r="Q48" s="819"/>
      <c r="R48" s="918"/>
      <c r="S48" s="25"/>
      <c r="T48" s="812" t="str">
        <f t="shared" ref="T48:T53" si="10">+A48</f>
        <v>DW</v>
      </c>
      <c r="U48" s="813"/>
      <c r="V48" s="814"/>
      <c r="W48" s="873">
        <f t="shared" ref="W48:W53" si="11">+D48</f>
        <v>0</v>
      </c>
      <c r="X48" s="874"/>
      <c r="Y48" s="875"/>
      <c r="Z48" s="815" t="s">
        <v>394</v>
      </c>
      <c r="AA48" s="816"/>
      <c r="AB48" s="817"/>
      <c r="AC48" s="818">
        <v>86</v>
      </c>
      <c r="AD48" s="819"/>
      <c r="AE48" s="866"/>
      <c r="AF48" s="820">
        <v>1</v>
      </c>
      <c r="AG48" s="821"/>
      <c r="AH48" s="822"/>
      <c r="AI48" s="815">
        <f t="shared" si="8"/>
        <v>86</v>
      </c>
      <c r="AJ48" s="816"/>
      <c r="AK48" s="817"/>
      <c r="AN48" s="903"/>
      <c r="AO48" s="903"/>
      <c r="AP48" s="903"/>
      <c r="AQ48" s="215"/>
      <c r="AR48" s="215"/>
      <c r="AS48" s="215"/>
    </row>
    <row r="49" spans="1:45" x14ac:dyDescent="0.2">
      <c r="A49" s="867">
        <v>0</v>
      </c>
      <c r="B49" s="868"/>
      <c r="C49" s="869"/>
      <c r="D49" s="847"/>
      <c r="E49" s="848"/>
      <c r="F49" s="849"/>
      <c r="G49" s="847"/>
      <c r="H49" s="848"/>
      <c r="I49" s="849"/>
      <c r="J49" s="850">
        <v>0</v>
      </c>
      <c r="K49" s="851"/>
      <c r="L49" s="852"/>
      <c r="M49" s="922">
        <v>0</v>
      </c>
      <c r="N49" s="923"/>
      <c r="O49" s="924"/>
      <c r="P49" s="850">
        <f t="shared" si="9"/>
        <v>0</v>
      </c>
      <c r="Q49" s="851"/>
      <c r="R49" s="925"/>
      <c r="S49" s="25"/>
      <c r="T49" s="867">
        <f t="shared" si="10"/>
        <v>0</v>
      </c>
      <c r="U49" s="868"/>
      <c r="V49" s="869"/>
      <c r="W49" s="876">
        <f t="shared" si="11"/>
        <v>0</v>
      </c>
      <c r="X49" s="877"/>
      <c r="Y49" s="878"/>
      <c r="Z49" s="847">
        <v>0</v>
      </c>
      <c r="AA49" s="848"/>
      <c r="AB49" s="849"/>
      <c r="AC49" s="850">
        <v>0</v>
      </c>
      <c r="AD49" s="851"/>
      <c r="AE49" s="852"/>
      <c r="AF49" s="922">
        <v>0</v>
      </c>
      <c r="AG49" s="923"/>
      <c r="AH49" s="924"/>
      <c r="AI49" s="847">
        <f t="shared" si="8"/>
        <v>0</v>
      </c>
      <c r="AJ49" s="848"/>
      <c r="AK49" s="849"/>
      <c r="AN49" s="903"/>
      <c r="AO49" s="903"/>
      <c r="AP49" s="903"/>
      <c r="AQ49" s="215"/>
      <c r="AR49" s="215"/>
      <c r="AS49" s="215"/>
    </row>
    <row r="50" spans="1:45" x14ac:dyDescent="0.2">
      <c r="A50" s="812">
        <v>0</v>
      </c>
      <c r="B50" s="813"/>
      <c r="C50" s="814"/>
      <c r="D50" s="815"/>
      <c r="E50" s="816"/>
      <c r="F50" s="817"/>
      <c r="G50" s="815"/>
      <c r="H50" s="816"/>
      <c r="I50" s="817"/>
      <c r="J50" s="818"/>
      <c r="K50" s="819"/>
      <c r="L50" s="866"/>
      <c r="M50" s="820"/>
      <c r="N50" s="821"/>
      <c r="O50" s="822"/>
      <c r="P50" s="818">
        <f t="shared" si="9"/>
        <v>0</v>
      </c>
      <c r="Q50" s="819"/>
      <c r="R50" s="918"/>
      <c r="S50" s="25"/>
      <c r="T50" s="812">
        <f t="shared" si="10"/>
        <v>0</v>
      </c>
      <c r="U50" s="813"/>
      <c r="V50" s="814"/>
      <c r="W50" s="873">
        <f t="shared" si="11"/>
        <v>0</v>
      </c>
      <c r="X50" s="874"/>
      <c r="Y50" s="875"/>
      <c r="Z50" s="815">
        <v>0</v>
      </c>
      <c r="AA50" s="816"/>
      <c r="AB50" s="817"/>
      <c r="AC50" s="818">
        <v>0</v>
      </c>
      <c r="AD50" s="819"/>
      <c r="AE50" s="866"/>
      <c r="AF50" s="820">
        <v>0</v>
      </c>
      <c r="AG50" s="821"/>
      <c r="AH50" s="822"/>
      <c r="AI50" s="818">
        <f t="shared" si="8"/>
        <v>0</v>
      </c>
      <c r="AJ50" s="819"/>
      <c r="AK50" s="918"/>
      <c r="AN50" s="903"/>
      <c r="AO50" s="903"/>
      <c r="AP50" s="903"/>
      <c r="AQ50" s="215"/>
      <c r="AR50" s="215"/>
      <c r="AS50" s="215"/>
    </row>
    <row r="51" spans="1:45" x14ac:dyDescent="0.2">
      <c r="A51" s="867">
        <v>0</v>
      </c>
      <c r="B51" s="868"/>
      <c r="C51" s="869"/>
      <c r="D51" s="847"/>
      <c r="E51" s="848"/>
      <c r="F51" s="849"/>
      <c r="G51" s="847">
        <v>0</v>
      </c>
      <c r="H51" s="848"/>
      <c r="I51" s="849"/>
      <c r="J51" s="850">
        <v>0</v>
      </c>
      <c r="K51" s="851"/>
      <c r="L51" s="852"/>
      <c r="M51" s="922">
        <v>0</v>
      </c>
      <c r="N51" s="923"/>
      <c r="O51" s="924"/>
      <c r="P51" s="850">
        <f t="shared" si="9"/>
        <v>0</v>
      </c>
      <c r="Q51" s="851"/>
      <c r="R51" s="925"/>
      <c r="S51" s="25"/>
      <c r="T51" s="867">
        <f t="shared" si="10"/>
        <v>0</v>
      </c>
      <c r="U51" s="868"/>
      <c r="V51" s="869"/>
      <c r="W51" s="876">
        <f t="shared" si="11"/>
        <v>0</v>
      </c>
      <c r="X51" s="877"/>
      <c r="Y51" s="878"/>
      <c r="Z51" s="847">
        <v>0</v>
      </c>
      <c r="AA51" s="848"/>
      <c r="AB51" s="849"/>
      <c r="AC51" s="850">
        <v>0</v>
      </c>
      <c r="AD51" s="851"/>
      <c r="AE51" s="852"/>
      <c r="AF51" s="922">
        <v>0</v>
      </c>
      <c r="AG51" s="923"/>
      <c r="AH51" s="924"/>
      <c r="AI51" s="850">
        <f t="shared" si="8"/>
        <v>0</v>
      </c>
      <c r="AJ51" s="851"/>
      <c r="AK51" s="925"/>
      <c r="AN51" s="903"/>
      <c r="AO51" s="903"/>
      <c r="AP51" s="903"/>
      <c r="AQ51" s="215"/>
      <c r="AR51" s="215"/>
      <c r="AS51" s="215"/>
    </row>
    <row r="52" spans="1:45" x14ac:dyDescent="0.2">
      <c r="A52" s="812">
        <v>0</v>
      </c>
      <c r="B52" s="813"/>
      <c r="C52" s="814"/>
      <c r="D52" s="815"/>
      <c r="E52" s="816"/>
      <c r="F52" s="817"/>
      <c r="G52" s="815"/>
      <c r="H52" s="816"/>
      <c r="I52" s="817"/>
      <c r="J52" s="818"/>
      <c r="K52" s="819"/>
      <c r="L52" s="866"/>
      <c r="M52" s="820"/>
      <c r="N52" s="821"/>
      <c r="O52" s="822"/>
      <c r="P52" s="818">
        <f t="shared" si="9"/>
        <v>0</v>
      </c>
      <c r="Q52" s="819"/>
      <c r="R52" s="918"/>
      <c r="S52" s="25"/>
      <c r="T52" s="812">
        <f t="shared" si="10"/>
        <v>0</v>
      </c>
      <c r="U52" s="813"/>
      <c r="V52" s="814"/>
      <c r="W52" s="873">
        <f t="shared" si="11"/>
        <v>0</v>
      </c>
      <c r="X52" s="874"/>
      <c r="Y52" s="875"/>
      <c r="Z52" s="815"/>
      <c r="AA52" s="816"/>
      <c r="AB52" s="817"/>
      <c r="AC52" s="818"/>
      <c r="AD52" s="819"/>
      <c r="AE52" s="866"/>
      <c r="AF52" s="820"/>
      <c r="AG52" s="821"/>
      <c r="AH52" s="822"/>
      <c r="AI52" s="818">
        <f t="shared" si="8"/>
        <v>0</v>
      </c>
      <c r="AJ52" s="819"/>
      <c r="AK52" s="918"/>
      <c r="AN52" s="903"/>
      <c r="AO52" s="903"/>
      <c r="AP52" s="903"/>
      <c r="AQ52" s="215"/>
      <c r="AR52" s="215"/>
      <c r="AS52" s="215"/>
    </row>
    <row r="53" spans="1:45" x14ac:dyDescent="0.2">
      <c r="A53" s="882"/>
      <c r="B53" s="883"/>
      <c r="C53" s="884"/>
      <c r="D53" s="926"/>
      <c r="E53" s="927"/>
      <c r="F53" s="928"/>
      <c r="G53" s="926"/>
      <c r="H53" s="927"/>
      <c r="I53" s="928"/>
      <c r="J53" s="929"/>
      <c r="K53" s="930"/>
      <c r="L53" s="931"/>
      <c r="M53" s="932"/>
      <c r="N53" s="933"/>
      <c r="O53" s="934"/>
      <c r="P53" s="929">
        <f t="shared" si="9"/>
        <v>0</v>
      </c>
      <c r="Q53" s="930"/>
      <c r="R53" s="935"/>
      <c r="S53" s="25"/>
      <c r="T53" s="882">
        <f t="shared" si="10"/>
        <v>0</v>
      </c>
      <c r="U53" s="883"/>
      <c r="V53" s="884"/>
      <c r="W53" s="938">
        <f t="shared" si="11"/>
        <v>0</v>
      </c>
      <c r="X53" s="939"/>
      <c r="Y53" s="940"/>
      <c r="Z53" s="926"/>
      <c r="AA53" s="927"/>
      <c r="AB53" s="928"/>
      <c r="AC53" s="929"/>
      <c r="AD53" s="930"/>
      <c r="AE53" s="931"/>
      <c r="AF53" s="932"/>
      <c r="AG53" s="933"/>
      <c r="AH53" s="934"/>
      <c r="AI53" s="929">
        <f t="shared" si="8"/>
        <v>0</v>
      </c>
      <c r="AJ53" s="930"/>
      <c r="AK53" s="935"/>
      <c r="AN53" s="903"/>
      <c r="AO53" s="903"/>
      <c r="AP53" s="903"/>
      <c r="AQ53" s="215"/>
      <c r="AR53" s="215"/>
      <c r="AS53" s="215"/>
    </row>
    <row r="54" spans="1:45" ht="13.5" thickBot="1" x14ac:dyDescent="0.25">
      <c r="A54" s="185"/>
      <c r="B54" s="898" t="s">
        <v>184</v>
      </c>
      <c r="C54" s="898"/>
      <c r="D54" s="898"/>
      <c r="E54" s="898"/>
      <c r="F54" s="898"/>
      <c r="G54" s="898"/>
      <c r="H54" s="898"/>
      <c r="I54" s="898"/>
      <c r="J54" s="898"/>
      <c r="K54" s="898"/>
      <c r="L54" s="898"/>
      <c r="M54" s="898"/>
      <c r="N54" s="898"/>
      <c r="O54" s="898"/>
      <c r="P54" s="936">
        <f>SUM(P47:R53)</f>
        <v>144</v>
      </c>
      <c r="Q54" s="936"/>
      <c r="R54" s="937">
        <f>SUM(R47:R53)</f>
        <v>0</v>
      </c>
      <c r="T54" s="185"/>
      <c r="U54" s="898" t="s">
        <v>184</v>
      </c>
      <c r="V54" s="898"/>
      <c r="W54" s="898"/>
      <c r="X54" s="898"/>
      <c r="Y54" s="898"/>
      <c r="Z54" s="898"/>
      <c r="AA54" s="898"/>
      <c r="AB54" s="898"/>
      <c r="AC54" s="898"/>
      <c r="AD54" s="898"/>
      <c r="AE54" s="898"/>
      <c r="AF54" s="898"/>
      <c r="AG54" s="898"/>
      <c r="AH54" s="898"/>
      <c r="AI54" s="936">
        <f>SUM(AI47:AK53)</f>
        <v>219</v>
      </c>
      <c r="AJ54" s="936"/>
      <c r="AK54" s="937">
        <f>SUM(AK47:AK53)</f>
        <v>0</v>
      </c>
      <c r="AN54" s="903"/>
      <c r="AO54" s="903"/>
      <c r="AP54" s="903"/>
      <c r="AQ54" s="215"/>
      <c r="AR54" s="215"/>
      <c r="AS54" s="215"/>
    </row>
    <row r="55" spans="1:45" x14ac:dyDescent="0.2">
      <c r="AN55" s="903"/>
      <c r="AO55" s="903"/>
      <c r="AP55" s="903"/>
      <c r="AQ55" s="215"/>
      <c r="AR55" s="215"/>
      <c r="AS55" s="215"/>
    </row>
    <row r="56" spans="1:45" x14ac:dyDescent="0.2">
      <c r="AN56" s="903"/>
      <c r="AO56" s="903"/>
      <c r="AP56" s="903"/>
      <c r="AQ56" s="215"/>
      <c r="AR56" s="215"/>
      <c r="AS56" s="215"/>
    </row>
    <row r="57" spans="1:45" x14ac:dyDescent="0.2">
      <c r="AN57" s="903"/>
      <c r="AO57" s="903"/>
      <c r="AP57" s="903"/>
      <c r="AQ57" s="215"/>
      <c r="AR57" s="215"/>
      <c r="AS57" s="215"/>
    </row>
    <row r="58" spans="1:45" x14ac:dyDescent="0.2">
      <c r="AN58" s="903"/>
      <c r="AO58" s="903"/>
      <c r="AP58" s="903"/>
      <c r="AQ58" s="215"/>
      <c r="AR58" s="215"/>
      <c r="AS58" s="215"/>
    </row>
    <row r="59" spans="1:45" x14ac:dyDescent="0.2">
      <c r="AN59" s="903"/>
      <c r="AO59" s="903"/>
      <c r="AP59" s="903"/>
      <c r="AQ59" s="215"/>
      <c r="AR59" s="215"/>
      <c r="AS59" s="215"/>
    </row>
    <row r="60" spans="1:45" x14ac:dyDescent="0.2">
      <c r="AN60" s="903"/>
      <c r="AO60" s="903"/>
      <c r="AP60" s="903"/>
      <c r="AQ60" s="215"/>
      <c r="AR60" s="215"/>
      <c r="AS60" s="215"/>
    </row>
    <row r="61" spans="1:45" x14ac:dyDescent="0.2">
      <c r="AN61" s="903"/>
      <c r="AO61" s="903"/>
      <c r="AP61" s="903"/>
      <c r="AQ61" s="215"/>
      <c r="AR61" s="215"/>
      <c r="AS61" s="215"/>
    </row>
    <row r="62" spans="1:45" x14ac:dyDescent="0.2">
      <c r="AN62" s="903"/>
      <c r="AO62" s="903"/>
      <c r="AP62" s="903"/>
      <c r="AQ62" s="215"/>
      <c r="AR62" s="215"/>
      <c r="AS62" s="215"/>
    </row>
    <row r="63" spans="1:45" x14ac:dyDescent="0.2">
      <c r="AN63" s="903"/>
      <c r="AO63" s="903"/>
      <c r="AP63" s="903"/>
      <c r="AQ63" s="215"/>
      <c r="AR63" s="215"/>
      <c r="AS63" s="215"/>
    </row>
    <row r="64" spans="1:45" x14ac:dyDescent="0.2">
      <c r="AN64" s="903"/>
      <c r="AO64" s="903"/>
      <c r="AP64" s="903"/>
      <c r="AQ64" s="215"/>
      <c r="AR64" s="215"/>
      <c r="AS64" s="215"/>
    </row>
    <row r="65" spans="40:45" x14ac:dyDescent="0.2">
      <c r="AN65" s="903"/>
      <c r="AO65" s="903"/>
      <c r="AP65" s="903"/>
      <c r="AQ65" s="215"/>
      <c r="AR65" s="215"/>
      <c r="AS65" s="215"/>
    </row>
    <row r="66" spans="40:45" x14ac:dyDescent="0.2">
      <c r="AN66" s="903"/>
      <c r="AO66" s="903"/>
      <c r="AP66" s="903"/>
      <c r="AQ66" s="215"/>
      <c r="AR66" s="215"/>
      <c r="AS66" s="215"/>
    </row>
    <row r="67" spans="40:45" x14ac:dyDescent="0.2">
      <c r="AN67" s="903"/>
      <c r="AO67" s="903"/>
      <c r="AP67" s="903"/>
      <c r="AQ67" s="215"/>
      <c r="AR67" s="215"/>
      <c r="AS67" s="215"/>
    </row>
    <row r="68" spans="40:45" x14ac:dyDescent="0.2">
      <c r="AN68" s="903"/>
      <c r="AO68" s="903"/>
      <c r="AP68" s="903"/>
      <c r="AQ68" s="215"/>
      <c r="AR68" s="215"/>
      <c r="AS68" s="215"/>
    </row>
    <row r="69" spans="40:45" x14ac:dyDescent="0.2">
      <c r="AN69" s="903"/>
      <c r="AO69" s="903"/>
      <c r="AP69" s="903"/>
      <c r="AQ69" s="215"/>
      <c r="AR69" s="215"/>
      <c r="AS69" s="215"/>
    </row>
    <row r="70" spans="40:45" x14ac:dyDescent="0.2">
      <c r="AN70" s="903"/>
      <c r="AO70" s="903"/>
      <c r="AP70" s="903"/>
      <c r="AQ70" s="215"/>
      <c r="AR70" s="215"/>
      <c r="AS70" s="215"/>
    </row>
  </sheetData>
  <mergeCells count="538">
    <mergeCell ref="AN67:AP67"/>
    <mergeCell ref="AN68:AP68"/>
    <mergeCell ref="AN69:AP69"/>
    <mergeCell ref="AN70:AP70"/>
    <mergeCell ref="AN61:AP61"/>
    <mergeCell ref="AN62:AP62"/>
    <mergeCell ref="AN63:AP63"/>
    <mergeCell ref="AN64:AP64"/>
    <mergeCell ref="AN65:AP65"/>
    <mergeCell ref="AN66:AP66"/>
    <mergeCell ref="AN55:AP55"/>
    <mergeCell ref="AN56:AP56"/>
    <mergeCell ref="AN57:AP57"/>
    <mergeCell ref="AN58:AP58"/>
    <mergeCell ref="AN59:AP59"/>
    <mergeCell ref="AN60:AP60"/>
    <mergeCell ref="AN53:AP53"/>
    <mergeCell ref="B54:O54"/>
    <mergeCell ref="P54:R54"/>
    <mergeCell ref="U54:AH54"/>
    <mergeCell ref="AI54:AK54"/>
    <mergeCell ref="AN54:AP54"/>
    <mergeCell ref="T53:V53"/>
    <mergeCell ref="W53:Y53"/>
    <mergeCell ref="Z53:AB53"/>
    <mergeCell ref="AC53:AE53"/>
    <mergeCell ref="AF53:AH53"/>
    <mergeCell ref="AI53:AK53"/>
    <mergeCell ref="AC52:AE52"/>
    <mergeCell ref="AF52:AH52"/>
    <mergeCell ref="AI52:AK52"/>
    <mergeCell ref="AN52:AP52"/>
    <mergeCell ref="A53:C53"/>
    <mergeCell ref="D53:F53"/>
    <mergeCell ref="G53:I53"/>
    <mergeCell ref="J53:L53"/>
    <mergeCell ref="M53:O53"/>
    <mergeCell ref="P53:R53"/>
    <mergeCell ref="A52:C52"/>
    <mergeCell ref="D52:F52"/>
    <mergeCell ref="G52:I52"/>
    <mergeCell ref="J52:L52"/>
    <mergeCell ref="M52:O52"/>
    <mergeCell ref="P52:R52"/>
    <mergeCell ref="T52:V52"/>
    <mergeCell ref="W52:Y52"/>
    <mergeCell ref="Z52:AB52"/>
    <mergeCell ref="AI50:AK50"/>
    <mergeCell ref="AN50:AP50"/>
    <mergeCell ref="A51:C51"/>
    <mergeCell ref="D51:F51"/>
    <mergeCell ref="G51:I51"/>
    <mergeCell ref="J51:L51"/>
    <mergeCell ref="M51:O51"/>
    <mergeCell ref="P51:R51"/>
    <mergeCell ref="AN51:AP51"/>
    <mergeCell ref="T51:V51"/>
    <mergeCell ref="W51:Y51"/>
    <mergeCell ref="Z51:AB51"/>
    <mergeCell ref="AC51:AE51"/>
    <mergeCell ref="AF51:AH51"/>
    <mergeCell ref="AI51:AK51"/>
    <mergeCell ref="A49:C49"/>
    <mergeCell ref="D49:F49"/>
    <mergeCell ref="G49:I49"/>
    <mergeCell ref="J49:L49"/>
    <mergeCell ref="M49:O49"/>
    <mergeCell ref="P49:R49"/>
    <mergeCell ref="AN49:AP49"/>
    <mergeCell ref="A50:C50"/>
    <mergeCell ref="D50:F50"/>
    <mergeCell ref="G50:I50"/>
    <mergeCell ref="J50:L50"/>
    <mergeCell ref="M50:O50"/>
    <mergeCell ref="P50:R50"/>
    <mergeCell ref="T50:V50"/>
    <mergeCell ref="W50:Y50"/>
    <mergeCell ref="Z50:AB50"/>
    <mergeCell ref="T49:V49"/>
    <mergeCell ref="W49:Y49"/>
    <mergeCell ref="Z49:AB49"/>
    <mergeCell ref="AC49:AE49"/>
    <mergeCell ref="AF49:AH49"/>
    <mergeCell ref="AI49:AK49"/>
    <mergeCell ref="AC50:AE50"/>
    <mergeCell ref="AF50:AH50"/>
    <mergeCell ref="W47:Y47"/>
    <mergeCell ref="Z47:AB47"/>
    <mergeCell ref="AC47:AE47"/>
    <mergeCell ref="AF47:AH47"/>
    <mergeCell ref="AI47:AK47"/>
    <mergeCell ref="AC48:AE48"/>
    <mergeCell ref="AF48:AH48"/>
    <mergeCell ref="AI48:AK48"/>
    <mergeCell ref="AN48:AP48"/>
    <mergeCell ref="A48:C48"/>
    <mergeCell ref="D48:F48"/>
    <mergeCell ref="G48:I48"/>
    <mergeCell ref="J48:L48"/>
    <mergeCell ref="M48:O48"/>
    <mergeCell ref="P48:R48"/>
    <mergeCell ref="T48:V48"/>
    <mergeCell ref="W48:Y48"/>
    <mergeCell ref="Z48:AB48"/>
    <mergeCell ref="AN45:AP45"/>
    <mergeCell ref="A46:R46"/>
    <mergeCell ref="T46:AK46"/>
    <mergeCell ref="AN46:AP46"/>
    <mergeCell ref="A47:C47"/>
    <mergeCell ref="D47:F47"/>
    <mergeCell ref="G47:I47"/>
    <mergeCell ref="J47:L47"/>
    <mergeCell ref="M47:O47"/>
    <mergeCell ref="P47:R47"/>
    <mergeCell ref="T44:V45"/>
    <mergeCell ref="W44:Y45"/>
    <mergeCell ref="Z44:AB45"/>
    <mergeCell ref="AC44:AE45"/>
    <mergeCell ref="AF44:AH45"/>
    <mergeCell ref="AI44:AK45"/>
    <mergeCell ref="A44:C45"/>
    <mergeCell ref="D44:F45"/>
    <mergeCell ref="G44:I45"/>
    <mergeCell ref="J44:L45"/>
    <mergeCell ref="M44:O45"/>
    <mergeCell ref="P44:R45"/>
    <mergeCell ref="AN47:AP47"/>
    <mergeCell ref="T47:V47"/>
    <mergeCell ref="AN41:AP41"/>
    <mergeCell ref="B42:O42"/>
    <mergeCell ref="P42:R42"/>
    <mergeCell ref="U42:AH42"/>
    <mergeCell ref="AI42:AK42"/>
    <mergeCell ref="AN42:AP42"/>
    <mergeCell ref="T41:V41"/>
    <mergeCell ref="W41:Y41"/>
    <mergeCell ref="Z41:AB41"/>
    <mergeCell ref="AC41:AE41"/>
    <mergeCell ref="AF41:AH41"/>
    <mergeCell ref="AI41:AK41"/>
    <mergeCell ref="AC40:AE40"/>
    <mergeCell ref="AF40:AH40"/>
    <mergeCell ref="AI40:AK40"/>
    <mergeCell ref="A41:C41"/>
    <mergeCell ref="D41:F41"/>
    <mergeCell ref="G41:I41"/>
    <mergeCell ref="J41:L41"/>
    <mergeCell ref="M41:O41"/>
    <mergeCell ref="P41:R41"/>
    <mergeCell ref="A40:C40"/>
    <mergeCell ref="D40:F40"/>
    <mergeCell ref="G40:I40"/>
    <mergeCell ref="J40:L40"/>
    <mergeCell ref="M40:O40"/>
    <mergeCell ref="P40:R40"/>
    <mergeCell ref="T40:V40"/>
    <mergeCell ref="W40:Y40"/>
    <mergeCell ref="Z40:AB40"/>
    <mergeCell ref="T39:V39"/>
    <mergeCell ref="W39:Y39"/>
    <mergeCell ref="Z39:AB39"/>
    <mergeCell ref="AC39:AE39"/>
    <mergeCell ref="AF39:AH39"/>
    <mergeCell ref="AI39:AK39"/>
    <mergeCell ref="A39:C39"/>
    <mergeCell ref="D39:F39"/>
    <mergeCell ref="G39:I39"/>
    <mergeCell ref="J39:L39"/>
    <mergeCell ref="M39:O39"/>
    <mergeCell ref="P39:R39"/>
    <mergeCell ref="A38:C38"/>
    <mergeCell ref="D38:F38"/>
    <mergeCell ref="G38:I38"/>
    <mergeCell ref="J38:L38"/>
    <mergeCell ref="M38:O38"/>
    <mergeCell ref="P38:R38"/>
    <mergeCell ref="T38:V38"/>
    <mergeCell ref="W38:Y38"/>
    <mergeCell ref="T37:V37"/>
    <mergeCell ref="W37:Y37"/>
    <mergeCell ref="A37:C37"/>
    <mergeCell ref="D37:F37"/>
    <mergeCell ref="G37:I37"/>
    <mergeCell ref="J37:L37"/>
    <mergeCell ref="M37:O37"/>
    <mergeCell ref="P37:R37"/>
    <mergeCell ref="Z36:AB36"/>
    <mergeCell ref="AC36:AE36"/>
    <mergeCell ref="AF36:AH36"/>
    <mergeCell ref="AI36:AK36"/>
    <mergeCell ref="Z38:AB38"/>
    <mergeCell ref="AC38:AE38"/>
    <mergeCell ref="AF38:AH38"/>
    <mergeCell ref="AI38:AK38"/>
    <mergeCell ref="Z37:AB37"/>
    <mergeCell ref="AC37:AE37"/>
    <mergeCell ref="AF37:AH37"/>
    <mergeCell ref="AI37:AK37"/>
    <mergeCell ref="Z35:AB35"/>
    <mergeCell ref="AC35:AE35"/>
    <mergeCell ref="AF35:AH35"/>
    <mergeCell ref="AI35:AK35"/>
    <mergeCell ref="A35:C35"/>
    <mergeCell ref="D35:F35"/>
    <mergeCell ref="G35:I35"/>
    <mergeCell ref="J35:L35"/>
    <mergeCell ref="M35:O35"/>
    <mergeCell ref="P35:R35"/>
    <mergeCell ref="A36:C36"/>
    <mergeCell ref="D36:F36"/>
    <mergeCell ref="G36:I36"/>
    <mergeCell ref="J36:L36"/>
    <mergeCell ref="M36:O36"/>
    <mergeCell ref="P36:R36"/>
    <mergeCell ref="T36:V36"/>
    <mergeCell ref="W36:Y36"/>
    <mergeCell ref="T35:V35"/>
    <mergeCell ref="W35:Y35"/>
    <mergeCell ref="A34:C34"/>
    <mergeCell ref="D34:F34"/>
    <mergeCell ref="G34:I34"/>
    <mergeCell ref="J34:L34"/>
    <mergeCell ref="M34:O34"/>
    <mergeCell ref="P34:R34"/>
    <mergeCell ref="T34:V34"/>
    <mergeCell ref="W34:Y34"/>
    <mergeCell ref="T33:V33"/>
    <mergeCell ref="W33:Y33"/>
    <mergeCell ref="A33:C33"/>
    <mergeCell ref="D33:F33"/>
    <mergeCell ref="G33:I33"/>
    <mergeCell ref="J33:L33"/>
    <mergeCell ref="M33:O33"/>
    <mergeCell ref="P33:R33"/>
    <mergeCell ref="Z32:AB32"/>
    <mergeCell ref="AC32:AE32"/>
    <mergeCell ref="AF32:AH32"/>
    <mergeCell ref="AI32:AK32"/>
    <mergeCell ref="Z34:AB34"/>
    <mergeCell ref="AC34:AE34"/>
    <mergeCell ref="AF34:AH34"/>
    <mergeCell ref="AI34:AK34"/>
    <mergeCell ref="Z33:AB33"/>
    <mergeCell ref="AC33:AE33"/>
    <mergeCell ref="AF33:AH33"/>
    <mergeCell ref="AI33:AK33"/>
    <mergeCell ref="Z31:AB31"/>
    <mergeCell ref="AC31:AE31"/>
    <mergeCell ref="AF31:AH31"/>
    <mergeCell ref="AI31:AK31"/>
    <mergeCell ref="A31:C31"/>
    <mergeCell ref="D31:F31"/>
    <mergeCell ref="G31:I31"/>
    <mergeCell ref="J31:L31"/>
    <mergeCell ref="M31:O31"/>
    <mergeCell ref="P31:R31"/>
    <mergeCell ref="A32:C32"/>
    <mergeCell ref="D32:F32"/>
    <mergeCell ref="G32:I32"/>
    <mergeCell ref="J32:L32"/>
    <mergeCell ref="M32:O32"/>
    <mergeCell ref="P32:R32"/>
    <mergeCell ref="T32:V32"/>
    <mergeCell ref="W32:Y32"/>
    <mergeCell ref="T31:V31"/>
    <mergeCell ref="W31:Y31"/>
    <mergeCell ref="A30:C30"/>
    <mergeCell ref="D30:F30"/>
    <mergeCell ref="G30:I30"/>
    <mergeCell ref="J30:L30"/>
    <mergeCell ref="M30:O30"/>
    <mergeCell ref="P30:R30"/>
    <mergeCell ref="T30:V30"/>
    <mergeCell ref="W30:Y30"/>
    <mergeCell ref="T29:V29"/>
    <mergeCell ref="W29:Y29"/>
    <mergeCell ref="A29:C29"/>
    <mergeCell ref="D29:F29"/>
    <mergeCell ref="G29:I29"/>
    <mergeCell ref="J29:L29"/>
    <mergeCell ref="M29:O29"/>
    <mergeCell ref="P29:R29"/>
    <mergeCell ref="Z28:AB28"/>
    <mergeCell ref="AC28:AE28"/>
    <mergeCell ref="AF28:AH28"/>
    <mergeCell ref="AI28:AK28"/>
    <mergeCell ref="Z30:AB30"/>
    <mergeCell ref="AC30:AE30"/>
    <mergeCell ref="AF30:AH30"/>
    <mergeCell ref="AI30:AK30"/>
    <mergeCell ref="Z29:AB29"/>
    <mergeCell ref="AC29:AE29"/>
    <mergeCell ref="AF29:AH29"/>
    <mergeCell ref="AI29:AK29"/>
    <mergeCell ref="Z27:AB27"/>
    <mergeCell ref="AC27:AE27"/>
    <mergeCell ref="AF27:AH27"/>
    <mergeCell ref="AI27:AK27"/>
    <mergeCell ref="A27:C27"/>
    <mergeCell ref="D27:F27"/>
    <mergeCell ref="G27:I27"/>
    <mergeCell ref="J27:L27"/>
    <mergeCell ref="M27:O27"/>
    <mergeCell ref="P27:R27"/>
    <mergeCell ref="A28:C28"/>
    <mergeCell ref="D28:F28"/>
    <mergeCell ref="G28:I28"/>
    <mergeCell ref="J28:L28"/>
    <mergeCell ref="M28:O28"/>
    <mergeCell ref="P28:R28"/>
    <mergeCell ref="T28:V28"/>
    <mergeCell ref="W28:Y28"/>
    <mergeCell ref="T27:V27"/>
    <mergeCell ref="W27:Y27"/>
    <mergeCell ref="A26:C26"/>
    <mergeCell ref="D26:F26"/>
    <mergeCell ref="G26:I26"/>
    <mergeCell ref="J26:L26"/>
    <mergeCell ref="M26:O26"/>
    <mergeCell ref="P26:R26"/>
    <mergeCell ref="T26:V26"/>
    <mergeCell ref="W26:Y26"/>
    <mergeCell ref="T25:V25"/>
    <mergeCell ref="W25:Y25"/>
    <mergeCell ref="A25:C25"/>
    <mergeCell ref="D25:F25"/>
    <mergeCell ref="G25:I25"/>
    <mergeCell ref="J25:L25"/>
    <mergeCell ref="M25:O25"/>
    <mergeCell ref="P25:R25"/>
    <mergeCell ref="Z24:AB24"/>
    <mergeCell ref="AC24:AE24"/>
    <mergeCell ref="AF24:AH24"/>
    <mergeCell ref="AI24:AK24"/>
    <mergeCell ref="Z26:AB26"/>
    <mergeCell ref="AC26:AE26"/>
    <mergeCell ref="AF26:AH26"/>
    <mergeCell ref="AI26:AK26"/>
    <mergeCell ref="Z25:AB25"/>
    <mergeCell ref="AC25:AE25"/>
    <mergeCell ref="AF25:AH25"/>
    <mergeCell ref="AI25:AK25"/>
    <mergeCell ref="Z23:AB23"/>
    <mergeCell ref="AC23:AE23"/>
    <mergeCell ref="AF23:AH23"/>
    <mergeCell ref="AI23:AK23"/>
    <mergeCell ref="A23:C23"/>
    <mergeCell ref="D23:F23"/>
    <mergeCell ref="G23:I23"/>
    <mergeCell ref="J23:L23"/>
    <mergeCell ref="M23:O23"/>
    <mergeCell ref="P23:R23"/>
    <mergeCell ref="A24:C24"/>
    <mergeCell ref="D24:F24"/>
    <mergeCell ref="G24:I24"/>
    <mergeCell ref="J24:L24"/>
    <mergeCell ref="M24:O24"/>
    <mergeCell ref="P24:R24"/>
    <mergeCell ref="T24:V24"/>
    <mergeCell ref="W24:Y24"/>
    <mergeCell ref="T23:V23"/>
    <mergeCell ref="W23:Y23"/>
    <mergeCell ref="A22:C22"/>
    <mergeCell ref="D22:F22"/>
    <mergeCell ref="G22:I22"/>
    <mergeCell ref="J22:L22"/>
    <mergeCell ref="M22:O22"/>
    <mergeCell ref="P22:R22"/>
    <mergeCell ref="T22:V22"/>
    <mergeCell ref="W22:Y22"/>
    <mergeCell ref="T21:V21"/>
    <mergeCell ref="W21:Y21"/>
    <mergeCell ref="A21:C21"/>
    <mergeCell ref="D21:F21"/>
    <mergeCell ref="G21:I21"/>
    <mergeCell ref="J21:L21"/>
    <mergeCell ref="M21:O21"/>
    <mergeCell ref="P21:R21"/>
    <mergeCell ref="Z20:AB20"/>
    <mergeCell ref="AC20:AE20"/>
    <mergeCell ref="AF20:AH20"/>
    <mergeCell ref="AI20:AK20"/>
    <mergeCell ref="Z22:AB22"/>
    <mergeCell ref="AC22:AE22"/>
    <mergeCell ref="AF22:AH22"/>
    <mergeCell ref="AI22:AK22"/>
    <mergeCell ref="Z21:AB21"/>
    <mergeCell ref="AC21:AE21"/>
    <mergeCell ref="AF21:AH21"/>
    <mergeCell ref="AI21:AK21"/>
    <mergeCell ref="Z19:AB19"/>
    <mergeCell ref="AC19:AE19"/>
    <mergeCell ref="AF19:AH19"/>
    <mergeCell ref="AI19:AK19"/>
    <mergeCell ref="A19:C19"/>
    <mergeCell ref="D19:F19"/>
    <mergeCell ref="G19:I19"/>
    <mergeCell ref="J19:L19"/>
    <mergeCell ref="M19:O19"/>
    <mergeCell ref="P19:R19"/>
    <mergeCell ref="A20:C20"/>
    <mergeCell ref="D20:F20"/>
    <mergeCell ref="G20:I20"/>
    <mergeCell ref="J20:L20"/>
    <mergeCell ref="M20:O20"/>
    <mergeCell ref="P20:R20"/>
    <mergeCell ref="T20:V20"/>
    <mergeCell ref="W20:Y20"/>
    <mergeCell ref="T19:V19"/>
    <mergeCell ref="W19:Y19"/>
    <mergeCell ref="Z18:AB18"/>
    <mergeCell ref="AC18:AE18"/>
    <mergeCell ref="AF18:AH18"/>
    <mergeCell ref="AI18:AK18"/>
    <mergeCell ref="Z17:AB17"/>
    <mergeCell ref="AC17:AE17"/>
    <mergeCell ref="AF17:AH17"/>
    <mergeCell ref="AI17:AK17"/>
    <mergeCell ref="A18:C18"/>
    <mergeCell ref="D18:F18"/>
    <mergeCell ref="G18:I18"/>
    <mergeCell ref="J18:L18"/>
    <mergeCell ref="M18:O18"/>
    <mergeCell ref="P18:R18"/>
    <mergeCell ref="T18:V18"/>
    <mergeCell ref="W18:Y18"/>
    <mergeCell ref="T17:V17"/>
    <mergeCell ref="W17:Y17"/>
    <mergeCell ref="A17:C17"/>
    <mergeCell ref="D17:F17"/>
    <mergeCell ref="G17:I17"/>
    <mergeCell ref="J17:L17"/>
    <mergeCell ref="M17:O17"/>
    <mergeCell ref="P17:R17"/>
    <mergeCell ref="W16:Y16"/>
    <mergeCell ref="T15:V15"/>
    <mergeCell ref="W15:Y15"/>
    <mergeCell ref="Z15:AB15"/>
    <mergeCell ref="AC15:AE15"/>
    <mergeCell ref="AF15:AH15"/>
    <mergeCell ref="AI15:AK15"/>
    <mergeCell ref="A15:C15"/>
    <mergeCell ref="D15:F15"/>
    <mergeCell ref="G15:I15"/>
    <mergeCell ref="J15:L15"/>
    <mergeCell ref="M15:O15"/>
    <mergeCell ref="P15:R15"/>
    <mergeCell ref="Z16:AB16"/>
    <mergeCell ref="AC16:AE16"/>
    <mergeCell ref="AF16:AH16"/>
    <mergeCell ref="AI16:AK16"/>
    <mergeCell ref="A13:C13"/>
    <mergeCell ref="D13:F13"/>
    <mergeCell ref="A16:C16"/>
    <mergeCell ref="D16:F16"/>
    <mergeCell ref="G16:I16"/>
    <mergeCell ref="J16:L16"/>
    <mergeCell ref="M16:O16"/>
    <mergeCell ref="P16:R16"/>
    <mergeCell ref="T16:V16"/>
    <mergeCell ref="Z14:AB14"/>
    <mergeCell ref="AC14:AE14"/>
    <mergeCell ref="AF14:AH14"/>
    <mergeCell ref="AI14:AK14"/>
    <mergeCell ref="A14:C14"/>
    <mergeCell ref="D14:F14"/>
    <mergeCell ref="G14:I14"/>
    <mergeCell ref="J14:L14"/>
    <mergeCell ref="M14:O14"/>
    <mergeCell ref="P14:R14"/>
    <mergeCell ref="T14:V14"/>
    <mergeCell ref="W14:Y14"/>
    <mergeCell ref="A8:C9"/>
    <mergeCell ref="D8:F9"/>
    <mergeCell ref="G8:I9"/>
    <mergeCell ref="J8:L9"/>
    <mergeCell ref="M8:O9"/>
    <mergeCell ref="P8:R9"/>
    <mergeCell ref="AR11:AS11"/>
    <mergeCell ref="G13:I13"/>
    <mergeCell ref="J13:L13"/>
    <mergeCell ref="M13:O13"/>
    <mergeCell ref="P13:R13"/>
    <mergeCell ref="Z12:AB12"/>
    <mergeCell ref="AC12:AE12"/>
    <mergeCell ref="AF12:AH12"/>
    <mergeCell ref="AI12:AK12"/>
    <mergeCell ref="T13:V13"/>
    <mergeCell ref="W13:Y13"/>
    <mergeCell ref="Z13:AB13"/>
    <mergeCell ref="AC13:AE13"/>
    <mergeCell ref="AF13:AH13"/>
    <mergeCell ref="AI13:AK13"/>
    <mergeCell ref="W12:Y12"/>
    <mergeCell ref="T11:V11"/>
    <mergeCell ref="W11:Y11"/>
    <mergeCell ref="A12:C12"/>
    <mergeCell ref="D12:F12"/>
    <mergeCell ref="G12:I12"/>
    <mergeCell ref="J12:L12"/>
    <mergeCell ref="M12:O12"/>
    <mergeCell ref="P12:R12"/>
    <mergeCell ref="T12:V12"/>
    <mergeCell ref="AR12:AS12"/>
    <mergeCell ref="A11:C11"/>
    <mergeCell ref="D11:F11"/>
    <mergeCell ref="G11:I11"/>
    <mergeCell ref="J11:L11"/>
    <mergeCell ref="M11:O11"/>
    <mergeCell ref="P11:R11"/>
    <mergeCell ref="Z11:AB11"/>
    <mergeCell ref="AC11:AE11"/>
    <mergeCell ref="AF11:AH11"/>
    <mergeCell ref="AI11:AK11"/>
    <mergeCell ref="AR18:AS18"/>
    <mergeCell ref="AR19:AS19"/>
    <mergeCell ref="AR20:AS20"/>
    <mergeCell ref="A1:AK1"/>
    <mergeCell ref="A2:C2"/>
    <mergeCell ref="D2:F2"/>
    <mergeCell ref="H2:J2"/>
    <mergeCell ref="K2:M2"/>
    <mergeCell ref="N2:O2"/>
    <mergeCell ref="P2:R2"/>
    <mergeCell ref="T2:V2"/>
    <mergeCell ref="W2:Y2"/>
    <mergeCell ref="AA2:AC2"/>
    <mergeCell ref="W8:Y9"/>
    <mergeCell ref="Z8:AB9"/>
    <mergeCell ref="AC8:AE9"/>
    <mergeCell ref="AF8:AH9"/>
    <mergeCell ref="AI8:AK9"/>
    <mergeCell ref="A10:R10"/>
    <mergeCell ref="T10:AK10"/>
    <mergeCell ref="AD2:AF2"/>
    <mergeCell ref="AG2:AH2"/>
    <mergeCell ref="AI2:AK2"/>
    <mergeCell ref="T8:V9"/>
  </mergeCells>
  <printOptions horizontalCentered="1" verticalCentered="1"/>
  <pageMargins left="0.75" right="0.75" top="0.45" bottom="1" header="0" footer="0"/>
  <pageSetup orientation="portrait" horizontalDpi="300" verticalDpi="300" r:id="rId1"/>
  <headerFooter alignWithMargins="0"/>
  <ignoredErrors>
    <ignoredError sqref="M38:O38 P47:R53 AI47:AK53 N33:O33 N34:O34 N35:O35 N36:O36 N37:O37 N41:O41 N39:O39 N40:O40" unlockedFormula="1"/>
  </ignoredError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F4F364-3879-4213-A52E-0FBB793E95BD}">
  <sheetPr>
    <tabColor indexed="11"/>
  </sheetPr>
  <dimension ref="A1:AGT641"/>
  <sheetViews>
    <sheetView showGridLines="0" view="pageBreakPreview" zoomScaleNormal="100" zoomScaleSheetLayoutView="100" workbookViewId="0">
      <selection activeCell="B15" sqref="B15"/>
    </sheetView>
  </sheetViews>
  <sheetFormatPr baseColWidth="10" defaultRowHeight="12.75" x14ac:dyDescent="0.2"/>
  <cols>
    <col min="1" max="8" width="3.42578125" customWidth="1"/>
    <col min="9" max="9" width="6.7109375" customWidth="1"/>
    <col min="10" max="22" width="3.42578125" customWidth="1"/>
    <col min="23" max="23" width="4.7109375" customWidth="1"/>
    <col min="24" max="24" width="5.28515625" customWidth="1"/>
    <col min="25" max="25" width="3.42578125" customWidth="1"/>
    <col min="26" max="26" width="5.140625" customWidth="1"/>
    <col min="27" max="182" width="3.42578125" customWidth="1"/>
    <col min="257" max="264" width="3.42578125" customWidth="1"/>
    <col min="265" max="265" width="6.7109375" customWidth="1"/>
    <col min="266" max="278" width="3.42578125" customWidth="1"/>
    <col min="279" max="279" width="4.7109375" customWidth="1"/>
    <col min="280" max="280" width="5.28515625" customWidth="1"/>
    <col min="281" max="281" width="3.42578125" customWidth="1"/>
    <col min="282" max="282" width="5.140625" customWidth="1"/>
    <col min="283" max="438" width="3.42578125" customWidth="1"/>
    <col min="513" max="520" width="3.42578125" customWidth="1"/>
    <col min="521" max="521" width="6.7109375" customWidth="1"/>
    <col min="522" max="534" width="3.42578125" customWidth="1"/>
    <col min="535" max="535" width="4.7109375" customWidth="1"/>
    <col min="536" max="536" width="5.28515625" customWidth="1"/>
    <col min="537" max="537" width="3.42578125" customWidth="1"/>
    <col min="538" max="538" width="5.140625" customWidth="1"/>
    <col min="539" max="694" width="3.42578125" customWidth="1"/>
    <col min="769" max="776" width="3.42578125" customWidth="1"/>
    <col min="777" max="777" width="6.7109375" customWidth="1"/>
    <col min="778" max="790" width="3.42578125" customWidth="1"/>
    <col min="791" max="791" width="4.7109375" customWidth="1"/>
    <col min="792" max="792" width="5.28515625" customWidth="1"/>
    <col min="793" max="793" width="3.42578125" customWidth="1"/>
    <col min="794" max="794" width="5.140625" customWidth="1"/>
    <col min="795" max="950" width="3.42578125" customWidth="1"/>
    <col min="1025" max="1032" width="3.42578125" customWidth="1"/>
    <col min="1033" max="1033" width="6.7109375" customWidth="1"/>
    <col min="1034" max="1046" width="3.42578125" customWidth="1"/>
    <col min="1047" max="1047" width="4.7109375" customWidth="1"/>
    <col min="1048" max="1048" width="5.28515625" customWidth="1"/>
    <col min="1049" max="1049" width="3.42578125" customWidth="1"/>
    <col min="1050" max="1050" width="5.140625" customWidth="1"/>
    <col min="1051" max="1206" width="3.42578125" customWidth="1"/>
    <col min="1281" max="1288" width="3.42578125" customWidth="1"/>
    <col min="1289" max="1289" width="6.7109375" customWidth="1"/>
    <col min="1290" max="1302" width="3.42578125" customWidth="1"/>
    <col min="1303" max="1303" width="4.7109375" customWidth="1"/>
    <col min="1304" max="1304" width="5.28515625" customWidth="1"/>
    <col min="1305" max="1305" width="3.42578125" customWidth="1"/>
    <col min="1306" max="1306" width="5.140625" customWidth="1"/>
    <col min="1307" max="1462" width="3.42578125" customWidth="1"/>
    <col min="1537" max="1544" width="3.42578125" customWidth="1"/>
    <col min="1545" max="1545" width="6.7109375" customWidth="1"/>
    <col min="1546" max="1558" width="3.42578125" customWidth="1"/>
    <col min="1559" max="1559" width="4.7109375" customWidth="1"/>
    <col min="1560" max="1560" width="5.28515625" customWidth="1"/>
    <col min="1561" max="1561" width="3.42578125" customWidth="1"/>
    <col min="1562" max="1562" width="5.140625" customWidth="1"/>
    <col min="1563" max="1718" width="3.42578125" customWidth="1"/>
    <col min="1793" max="1800" width="3.42578125" customWidth="1"/>
    <col min="1801" max="1801" width="6.7109375" customWidth="1"/>
    <col min="1802" max="1814" width="3.42578125" customWidth="1"/>
    <col min="1815" max="1815" width="4.7109375" customWidth="1"/>
    <col min="1816" max="1816" width="5.28515625" customWidth="1"/>
    <col min="1817" max="1817" width="3.42578125" customWidth="1"/>
    <col min="1818" max="1818" width="5.140625" customWidth="1"/>
    <col min="1819" max="1974" width="3.42578125" customWidth="1"/>
    <col min="2049" max="2056" width="3.42578125" customWidth="1"/>
    <col min="2057" max="2057" width="6.7109375" customWidth="1"/>
    <col min="2058" max="2070" width="3.42578125" customWidth="1"/>
    <col min="2071" max="2071" width="4.7109375" customWidth="1"/>
    <col min="2072" max="2072" width="5.28515625" customWidth="1"/>
    <col min="2073" max="2073" width="3.42578125" customWidth="1"/>
    <col min="2074" max="2074" width="5.140625" customWidth="1"/>
    <col min="2075" max="2230" width="3.42578125" customWidth="1"/>
    <col min="2305" max="2312" width="3.42578125" customWidth="1"/>
    <col min="2313" max="2313" width="6.7109375" customWidth="1"/>
    <col min="2314" max="2326" width="3.42578125" customWidth="1"/>
    <col min="2327" max="2327" width="4.7109375" customWidth="1"/>
    <col min="2328" max="2328" width="5.28515625" customWidth="1"/>
    <col min="2329" max="2329" width="3.42578125" customWidth="1"/>
    <col min="2330" max="2330" width="5.140625" customWidth="1"/>
    <col min="2331" max="2486" width="3.42578125" customWidth="1"/>
    <col min="2561" max="2568" width="3.42578125" customWidth="1"/>
    <col min="2569" max="2569" width="6.7109375" customWidth="1"/>
    <col min="2570" max="2582" width="3.42578125" customWidth="1"/>
    <col min="2583" max="2583" width="4.7109375" customWidth="1"/>
    <col min="2584" max="2584" width="5.28515625" customWidth="1"/>
    <col min="2585" max="2585" width="3.42578125" customWidth="1"/>
    <col min="2586" max="2586" width="5.140625" customWidth="1"/>
    <col min="2587" max="2742" width="3.42578125" customWidth="1"/>
    <col min="2817" max="2824" width="3.42578125" customWidth="1"/>
    <col min="2825" max="2825" width="6.7109375" customWidth="1"/>
    <col min="2826" max="2838" width="3.42578125" customWidth="1"/>
    <col min="2839" max="2839" width="4.7109375" customWidth="1"/>
    <col min="2840" max="2840" width="5.28515625" customWidth="1"/>
    <col min="2841" max="2841" width="3.42578125" customWidth="1"/>
    <col min="2842" max="2842" width="5.140625" customWidth="1"/>
    <col min="2843" max="2998" width="3.42578125" customWidth="1"/>
    <col min="3073" max="3080" width="3.42578125" customWidth="1"/>
    <col min="3081" max="3081" width="6.7109375" customWidth="1"/>
    <col min="3082" max="3094" width="3.42578125" customWidth="1"/>
    <col min="3095" max="3095" width="4.7109375" customWidth="1"/>
    <col min="3096" max="3096" width="5.28515625" customWidth="1"/>
    <col min="3097" max="3097" width="3.42578125" customWidth="1"/>
    <col min="3098" max="3098" width="5.140625" customWidth="1"/>
    <col min="3099" max="3254" width="3.42578125" customWidth="1"/>
    <col min="3329" max="3336" width="3.42578125" customWidth="1"/>
    <col min="3337" max="3337" width="6.7109375" customWidth="1"/>
    <col min="3338" max="3350" width="3.42578125" customWidth="1"/>
    <col min="3351" max="3351" width="4.7109375" customWidth="1"/>
    <col min="3352" max="3352" width="5.28515625" customWidth="1"/>
    <col min="3353" max="3353" width="3.42578125" customWidth="1"/>
    <col min="3354" max="3354" width="5.140625" customWidth="1"/>
    <col min="3355" max="3510" width="3.42578125" customWidth="1"/>
    <col min="3585" max="3592" width="3.42578125" customWidth="1"/>
    <col min="3593" max="3593" width="6.7109375" customWidth="1"/>
    <col min="3594" max="3606" width="3.42578125" customWidth="1"/>
    <col min="3607" max="3607" width="4.7109375" customWidth="1"/>
    <col min="3608" max="3608" width="5.28515625" customWidth="1"/>
    <col min="3609" max="3609" width="3.42578125" customWidth="1"/>
    <col min="3610" max="3610" width="5.140625" customWidth="1"/>
    <col min="3611" max="3766" width="3.42578125" customWidth="1"/>
    <col min="3841" max="3848" width="3.42578125" customWidth="1"/>
    <col min="3849" max="3849" width="6.7109375" customWidth="1"/>
    <col min="3850" max="3862" width="3.42578125" customWidth="1"/>
    <col min="3863" max="3863" width="4.7109375" customWidth="1"/>
    <col min="3864" max="3864" width="5.28515625" customWidth="1"/>
    <col min="3865" max="3865" width="3.42578125" customWidth="1"/>
    <col min="3866" max="3866" width="5.140625" customWidth="1"/>
    <col min="3867" max="4022" width="3.42578125" customWidth="1"/>
    <col min="4097" max="4104" width="3.42578125" customWidth="1"/>
    <col min="4105" max="4105" width="6.7109375" customWidth="1"/>
    <col min="4106" max="4118" width="3.42578125" customWidth="1"/>
    <col min="4119" max="4119" width="4.7109375" customWidth="1"/>
    <col min="4120" max="4120" width="5.28515625" customWidth="1"/>
    <col min="4121" max="4121" width="3.42578125" customWidth="1"/>
    <col min="4122" max="4122" width="5.140625" customWidth="1"/>
    <col min="4123" max="4278" width="3.42578125" customWidth="1"/>
    <col min="4353" max="4360" width="3.42578125" customWidth="1"/>
    <col min="4361" max="4361" width="6.7109375" customWidth="1"/>
    <col min="4362" max="4374" width="3.42578125" customWidth="1"/>
    <col min="4375" max="4375" width="4.7109375" customWidth="1"/>
    <col min="4376" max="4376" width="5.28515625" customWidth="1"/>
    <col min="4377" max="4377" width="3.42578125" customWidth="1"/>
    <col min="4378" max="4378" width="5.140625" customWidth="1"/>
    <col min="4379" max="4534" width="3.42578125" customWidth="1"/>
    <col min="4609" max="4616" width="3.42578125" customWidth="1"/>
    <col min="4617" max="4617" width="6.7109375" customWidth="1"/>
    <col min="4618" max="4630" width="3.42578125" customWidth="1"/>
    <col min="4631" max="4631" width="4.7109375" customWidth="1"/>
    <col min="4632" max="4632" width="5.28515625" customWidth="1"/>
    <col min="4633" max="4633" width="3.42578125" customWidth="1"/>
    <col min="4634" max="4634" width="5.140625" customWidth="1"/>
    <col min="4635" max="4790" width="3.42578125" customWidth="1"/>
    <col min="4865" max="4872" width="3.42578125" customWidth="1"/>
    <col min="4873" max="4873" width="6.7109375" customWidth="1"/>
    <col min="4874" max="4886" width="3.42578125" customWidth="1"/>
    <col min="4887" max="4887" width="4.7109375" customWidth="1"/>
    <col min="4888" max="4888" width="5.28515625" customWidth="1"/>
    <col min="4889" max="4889" width="3.42578125" customWidth="1"/>
    <col min="4890" max="4890" width="5.140625" customWidth="1"/>
    <col min="4891" max="5046" width="3.42578125" customWidth="1"/>
    <col min="5121" max="5128" width="3.42578125" customWidth="1"/>
    <col min="5129" max="5129" width="6.7109375" customWidth="1"/>
    <col min="5130" max="5142" width="3.42578125" customWidth="1"/>
    <col min="5143" max="5143" width="4.7109375" customWidth="1"/>
    <col min="5144" max="5144" width="5.28515625" customWidth="1"/>
    <col min="5145" max="5145" width="3.42578125" customWidth="1"/>
    <col min="5146" max="5146" width="5.140625" customWidth="1"/>
    <col min="5147" max="5302" width="3.42578125" customWidth="1"/>
    <col min="5377" max="5384" width="3.42578125" customWidth="1"/>
    <col min="5385" max="5385" width="6.7109375" customWidth="1"/>
    <col min="5386" max="5398" width="3.42578125" customWidth="1"/>
    <col min="5399" max="5399" width="4.7109375" customWidth="1"/>
    <col min="5400" max="5400" width="5.28515625" customWidth="1"/>
    <col min="5401" max="5401" width="3.42578125" customWidth="1"/>
    <col min="5402" max="5402" width="5.140625" customWidth="1"/>
    <col min="5403" max="5558" width="3.42578125" customWidth="1"/>
    <col min="5633" max="5640" width="3.42578125" customWidth="1"/>
    <col min="5641" max="5641" width="6.7109375" customWidth="1"/>
    <col min="5642" max="5654" width="3.42578125" customWidth="1"/>
    <col min="5655" max="5655" width="4.7109375" customWidth="1"/>
    <col min="5656" max="5656" width="5.28515625" customWidth="1"/>
    <col min="5657" max="5657" width="3.42578125" customWidth="1"/>
    <col min="5658" max="5658" width="5.140625" customWidth="1"/>
    <col min="5659" max="5814" width="3.42578125" customWidth="1"/>
    <col min="5889" max="5896" width="3.42578125" customWidth="1"/>
    <col min="5897" max="5897" width="6.7109375" customWidth="1"/>
    <col min="5898" max="5910" width="3.42578125" customWidth="1"/>
    <col min="5911" max="5911" width="4.7109375" customWidth="1"/>
    <col min="5912" max="5912" width="5.28515625" customWidth="1"/>
    <col min="5913" max="5913" width="3.42578125" customWidth="1"/>
    <col min="5914" max="5914" width="5.140625" customWidth="1"/>
    <col min="5915" max="6070" width="3.42578125" customWidth="1"/>
    <col min="6145" max="6152" width="3.42578125" customWidth="1"/>
    <col min="6153" max="6153" width="6.7109375" customWidth="1"/>
    <col min="6154" max="6166" width="3.42578125" customWidth="1"/>
    <col min="6167" max="6167" width="4.7109375" customWidth="1"/>
    <col min="6168" max="6168" width="5.28515625" customWidth="1"/>
    <col min="6169" max="6169" width="3.42578125" customWidth="1"/>
    <col min="6170" max="6170" width="5.140625" customWidth="1"/>
    <col min="6171" max="6326" width="3.42578125" customWidth="1"/>
    <col min="6401" max="6408" width="3.42578125" customWidth="1"/>
    <col min="6409" max="6409" width="6.7109375" customWidth="1"/>
    <col min="6410" max="6422" width="3.42578125" customWidth="1"/>
    <col min="6423" max="6423" width="4.7109375" customWidth="1"/>
    <col min="6424" max="6424" width="5.28515625" customWidth="1"/>
    <col min="6425" max="6425" width="3.42578125" customWidth="1"/>
    <col min="6426" max="6426" width="5.140625" customWidth="1"/>
    <col min="6427" max="6582" width="3.42578125" customWidth="1"/>
    <col min="6657" max="6664" width="3.42578125" customWidth="1"/>
    <col min="6665" max="6665" width="6.7109375" customWidth="1"/>
    <col min="6666" max="6678" width="3.42578125" customWidth="1"/>
    <col min="6679" max="6679" width="4.7109375" customWidth="1"/>
    <col min="6680" max="6680" width="5.28515625" customWidth="1"/>
    <col min="6681" max="6681" width="3.42578125" customWidth="1"/>
    <col min="6682" max="6682" width="5.140625" customWidth="1"/>
    <col min="6683" max="6838" width="3.42578125" customWidth="1"/>
    <col min="6913" max="6920" width="3.42578125" customWidth="1"/>
    <col min="6921" max="6921" width="6.7109375" customWidth="1"/>
    <col min="6922" max="6934" width="3.42578125" customWidth="1"/>
    <col min="6935" max="6935" width="4.7109375" customWidth="1"/>
    <col min="6936" max="6936" width="5.28515625" customWidth="1"/>
    <col min="6937" max="6937" width="3.42578125" customWidth="1"/>
    <col min="6938" max="6938" width="5.140625" customWidth="1"/>
    <col min="6939" max="7094" width="3.42578125" customWidth="1"/>
    <col min="7169" max="7176" width="3.42578125" customWidth="1"/>
    <col min="7177" max="7177" width="6.7109375" customWidth="1"/>
    <col min="7178" max="7190" width="3.42578125" customWidth="1"/>
    <col min="7191" max="7191" width="4.7109375" customWidth="1"/>
    <col min="7192" max="7192" width="5.28515625" customWidth="1"/>
    <col min="7193" max="7193" width="3.42578125" customWidth="1"/>
    <col min="7194" max="7194" width="5.140625" customWidth="1"/>
    <col min="7195" max="7350" width="3.42578125" customWidth="1"/>
    <col min="7425" max="7432" width="3.42578125" customWidth="1"/>
    <col min="7433" max="7433" width="6.7109375" customWidth="1"/>
    <col min="7434" max="7446" width="3.42578125" customWidth="1"/>
    <col min="7447" max="7447" width="4.7109375" customWidth="1"/>
    <col min="7448" max="7448" width="5.28515625" customWidth="1"/>
    <col min="7449" max="7449" width="3.42578125" customWidth="1"/>
    <col min="7450" max="7450" width="5.140625" customWidth="1"/>
    <col min="7451" max="7606" width="3.42578125" customWidth="1"/>
    <col min="7681" max="7688" width="3.42578125" customWidth="1"/>
    <col min="7689" max="7689" width="6.7109375" customWidth="1"/>
    <col min="7690" max="7702" width="3.42578125" customWidth="1"/>
    <col min="7703" max="7703" width="4.7109375" customWidth="1"/>
    <col min="7704" max="7704" width="5.28515625" customWidth="1"/>
    <col min="7705" max="7705" width="3.42578125" customWidth="1"/>
    <col min="7706" max="7706" width="5.140625" customWidth="1"/>
    <col min="7707" max="7862" width="3.42578125" customWidth="1"/>
    <col min="7937" max="7944" width="3.42578125" customWidth="1"/>
    <col min="7945" max="7945" width="6.7109375" customWidth="1"/>
    <col min="7946" max="7958" width="3.42578125" customWidth="1"/>
    <col min="7959" max="7959" width="4.7109375" customWidth="1"/>
    <col min="7960" max="7960" width="5.28515625" customWidth="1"/>
    <col min="7961" max="7961" width="3.42578125" customWidth="1"/>
    <col min="7962" max="7962" width="5.140625" customWidth="1"/>
    <col min="7963" max="8118" width="3.42578125" customWidth="1"/>
    <col min="8193" max="8200" width="3.42578125" customWidth="1"/>
    <col min="8201" max="8201" width="6.7109375" customWidth="1"/>
    <col min="8202" max="8214" width="3.42578125" customWidth="1"/>
    <col min="8215" max="8215" width="4.7109375" customWidth="1"/>
    <col min="8216" max="8216" width="5.28515625" customWidth="1"/>
    <col min="8217" max="8217" width="3.42578125" customWidth="1"/>
    <col min="8218" max="8218" width="5.140625" customWidth="1"/>
    <col min="8219" max="8374" width="3.42578125" customWidth="1"/>
    <col min="8449" max="8456" width="3.42578125" customWidth="1"/>
    <col min="8457" max="8457" width="6.7109375" customWidth="1"/>
    <col min="8458" max="8470" width="3.42578125" customWidth="1"/>
    <col min="8471" max="8471" width="4.7109375" customWidth="1"/>
    <col min="8472" max="8472" width="5.28515625" customWidth="1"/>
    <col min="8473" max="8473" width="3.42578125" customWidth="1"/>
    <col min="8474" max="8474" width="5.140625" customWidth="1"/>
    <col min="8475" max="8630" width="3.42578125" customWidth="1"/>
    <col min="8705" max="8712" width="3.42578125" customWidth="1"/>
    <col min="8713" max="8713" width="6.7109375" customWidth="1"/>
    <col min="8714" max="8726" width="3.42578125" customWidth="1"/>
    <col min="8727" max="8727" width="4.7109375" customWidth="1"/>
    <col min="8728" max="8728" width="5.28515625" customWidth="1"/>
    <col min="8729" max="8729" width="3.42578125" customWidth="1"/>
    <col min="8730" max="8730" width="5.140625" customWidth="1"/>
    <col min="8731" max="8886" width="3.42578125" customWidth="1"/>
    <col min="8961" max="8968" width="3.42578125" customWidth="1"/>
    <col min="8969" max="8969" width="6.7109375" customWidth="1"/>
    <col min="8970" max="8982" width="3.42578125" customWidth="1"/>
    <col min="8983" max="8983" width="4.7109375" customWidth="1"/>
    <col min="8984" max="8984" width="5.28515625" customWidth="1"/>
    <col min="8985" max="8985" width="3.42578125" customWidth="1"/>
    <col min="8986" max="8986" width="5.140625" customWidth="1"/>
    <col min="8987" max="9142" width="3.42578125" customWidth="1"/>
    <col min="9217" max="9224" width="3.42578125" customWidth="1"/>
    <col min="9225" max="9225" width="6.7109375" customWidth="1"/>
    <col min="9226" max="9238" width="3.42578125" customWidth="1"/>
    <col min="9239" max="9239" width="4.7109375" customWidth="1"/>
    <col min="9240" max="9240" width="5.28515625" customWidth="1"/>
    <col min="9241" max="9241" width="3.42578125" customWidth="1"/>
    <col min="9242" max="9242" width="5.140625" customWidth="1"/>
    <col min="9243" max="9398" width="3.42578125" customWidth="1"/>
    <col min="9473" max="9480" width="3.42578125" customWidth="1"/>
    <col min="9481" max="9481" width="6.7109375" customWidth="1"/>
    <col min="9482" max="9494" width="3.42578125" customWidth="1"/>
    <col min="9495" max="9495" width="4.7109375" customWidth="1"/>
    <col min="9496" max="9496" width="5.28515625" customWidth="1"/>
    <col min="9497" max="9497" width="3.42578125" customWidth="1"/>
    <col min="9498" max="9498" width="5.140625" customWidth="1"/>
    <col min="9499" max="9654" width="3.42578125" customWidth="1"/>
    <col min="9729" max="9736" width="3.42578125" customWidth="1"/>
    <col min="9737" max="9737" width="6.7109375" customWidth="1"/>
    <col min="9738" max="9750" width="3.42578125" customWidth="1"/>
    <col min="9751" max="9751" width="4.7109375" customWidth="1"/>
    <col min="9752" max="9752" width="5.28515625" customWidth="1"/>
    <col min="9753" max="9753" width="3.42578125" customWidth="1"/>
    <col min="9754" max="9754" width="5.140625" customWidth="1"/>
    <col min="9755" max="9910" width="3.42578125" customWidth="1"/>
    <col min="9985" max="9992" width="3.42578125" customWidth="1"/>
    <col min="9993" max="9993" width="6.7109375" customWidth="1"/>
    <col min="9994" max="10006" width="3.42578125" customWidth="1"/>
    <col min="10007" max="10007" width="4.7109375" customWidth="1"/>
    <col min="10008" max="10008" width="5.28515625" customWidth="1"/>
    <col min="10009" max="10009" width="3.42578125" customWidth="1"/>
    <col min="10010" max="10010" width="5.140625" customWidth="1"/>
    <col min="10011" max="10166" width="3.42578125" customWidth="1"/>
    <col min="10241" max="10248" width="3.42578125" customWidth="1"/>
    <col min="10249" max="10249" width="6.7109375" customWidth="1"/>
    <col min="10250" max="10262" width="3.42578125" customWidth="1"/>
    <col min="10263" max="10263" width="4.7109375" customWidth="1"/>
    <col min="10264" max="10264" width="5.28515625" customWidth="1"/>
    <col min="10265" max="10265" width="3.42578125" customWidth="1"/>
    <col min="10266" max="10266" width="5.140625" customWidth="1"/>
    <col min="10267" max="10422" width="3.42578125" customWidth="1"/>
    <col min="10497" max="10504" width="3.42578125" customWidth="1"/>
    <col min="10505" max="10505" width="6.7109375" customWidth="1"/>
    <col min="10506" max="10518" width="3.42578125" customWidth="1"/>
    <col min="10519" max="10519" width="4.7109375" customWidth="1"/>
    <col min="10520" max="10520" width="5.28515625" customWidth="1"/>
    <col min="10521" max="10521" width="3.42578125" customWidth="1"/>
    <col min="10522" max="10522" width="5.140625" customWidth="1"/>
    <col min="10523" max="10678" width="3.42578125" customWidth="1"/>
    <col min="10753" max="10760" width="3.42578125" customWidth="1"/>
    <col min="10761" max="10761" width="6.7109375" customWidth="1"/>
    <col min="10762" max="10774" width="3.42578125" customWidth="1"/>
    <col min="10775" max="10775" width="4.7109375" customWidth="1"/>
    <col min="10776" max="10776" width="5.28515625" customWidth="1"/>
    <col min="10777" max="10777" width="3.42578125" customWidth="1"/>
    <col min="10778" max="10778" width="5.140625" customWidth="1"/>
    <col min="10779" max="10934" width="3.42578125" customWidth="1"/>
    <col min="11009" max="11016" width="3.42578125" customWidth="1"/>
    <col min="11017" max="11017" width="6.7109375" customWidth="1"/>
    <col min="11018" max="11030" width="3.42578125" customWidth="1"/>
    <col min="11031" max="11031" width="4.7109375" customWidth="1"/>
    <col min="11032" max="11032" width="5.28515625" customWidth="1"/>
    <col min="11033" max="11033" width="3.42578125" customWidth="1"/>
    <col min="11034" max="11034" width="5.140625" customWidth="1"/>
    <col min="11035" max="11190" width="3.42578125" customWidth="1"/>
    <col min="11265" max="11272" width="3.42578125" customWidth="1"/>
    <col min="11273" max="11273" width="6.7109375" customWidth="1"/>
    <col min="11274" max="11286" width="3.42578125" customWidth="1"/>
    <col min="11287" max="11287" width="4.7109375" customWidth="1"/>
    <col min="11288" max="11288" width="5.28515625" customWidth="1"/>
    <col min="11289" max="11289" width="3.42578125" customWidth="1"/>
    <col min="11290" max="11290" width="5.140625" customWidth="1"/>
    <col min="11291" max="11446" width="3.42578125" customWidth="1"/>
    <col min="11521" max="11528" width="3.42578125" customWidth="1"/>
    <col min="11529" max="11529" width="6.7109375" customWidth="1"/>
    <col min="11530" max="11542" width="3.42578125" customWidth="1"/>
    <col min="11543" max="11543" width="4.7109375" customWidth="1"/>
    <col min="11544" max="11544" width="5.28515625" customWidth="1"/>
    <col min="11545" max="11545" width="3.42578125" customWidth="1"/>
    <col min="11546" max="11546" width="5.140625" customWidth="1"/>
    <col min="11547" max="11702" width="3.42578125" customWidth="1"/>
    <col min="11777" max="11784" width="3.42578125" customWidth="1"/>
    <col min="11785" max="11785" width="6.7109375" customWidth="1"/>
    <col min="11786" max="11798" width="3.42578125" customWidth="1"/>
    <col min="11799" max="11799" width="4.7109375" customWidth="1"/>
    <col min="11800" max="11800" width="5.28515625" customWidth="1"/>
    <col min="11801" max="11801" width="3.42578125" customWidth="1"/>
    <col min="11802" max="11802" width="5.140625" customWidth="1"/>
    <col min="11803" max="11958" width="3.42578125" customWidth="1"/>
    <col min="12033" max="12040" width="3.42578125" customWidth="1"/>
    <col min="12041" max="12041" width="6.7109375" customWidth="1"/>
    <col min="12042" max="12054" width="3.42578125" customWidth="1"/>
    <col min="12055" max="12055" width="4.7109375" customWidth="1"/>
    <col min="12056" max="12056" width="5.28515625" customWidth="1"/>
    <col min="12057" max="12057" width="3.42578125" customWidth="1"/>
    <col min="12058" max="12058" width="5.140625" customWidth="1"/>
    <col min="12059" max="12214" width="3.42578125" customWidth="1"/>
    <col min="12289" max="12296" width="3.42578125" customWidth="1"/>
    <col min="12297" max="12297" width="6.7109375" customWidth="1"/>
    <col min="12298" max="12310" width="3.42578125" customWidth="1"/>
    <col min="12311" max="12311" width="4.7109375" customWidth="1"/>
    <col min="12312" max="12312" width="5.28515625" customWidth="1"/>
    <col min="12313" max="12313" width="3.42578125" customWidth="1"/>
    <col min="12314" max="12314" width="5.140625" customWidth="1"/>
    <col min="12315" max="12470" width="3.42578125" customWidth="1"/>
    <col min="12545" max="12552" width="3.42578125" customWidth="1"/>
    <col min="12553" max="12553" width="6.7109375" customWidth="1"/>
    <col min="12554" max="12566" width="3.42578125" customWidth="1"/>
    <col min="12567" max="12567" width="4.7109375" customWidth="1"/>
    <col min="12568" max="12568" width="5.28515625" customWidth="1"/>
    <col min="12569" max="12569" width="3.42578125" customWidth="1"/>
    <col min="12570" max="12570" width="5.140625" customWidth="1"/>
    <col min="12571" max="12726" width="3.42578125" customWidth="1"/>
    <col min="12801" max="12808" width="3.42578125" customWidth="1"/>
    <col min="12809" max="12809" width="6.7109375" customWidth="1"/>
    <col min="12810" max="12822" width="3.42578125" customWidth="1"/>
    <col min="12823" max="12823" width="4.7109375" customWidth="1"/>
    <col min="12824" max="12824" width="5.28515625" customWidth="1"/>
    <col min="12825" max="12825" width="3.42578125" customWidth="1"/>
    <col min="12826" max="12826" width="5.140625" customWidth="1"/>
    <col min="12827" max="12982" width="3.42578125" customWidth="1"/>
    <col min="13057" max="13064" width="3.42578125" customWidth="1"/>
    <col min="13065" max="13065" width="6.7109375" customWidth="1"/>
    <col min="13066" max="13078" width="3.42578125" customWidth="1"/>
    <col min="13079" max="13079" width="4.7109375" customWidth="1"/>
    <col min="13080" max="13080" width="5.28515625" customWidth="1"/>
    <col min="13081" max="13081" width="3.42578125" customWidth="1"/>
    <col min="13082" max="13082" width="5.140625" customWidth="1"/>
    <col min="13083" max="13238" width="3.42578125" customWidth="1"/>
    <col min="13313" max="13320" width="3.42578125" customWidth="1"/>
    <col min="13321" max="13321" width="6.7109375" customWidth="1"/>
    <col min="13322" max="13334" width="3.42578125" customWidth="1"/>
    <col min="13335" max="13335" width="4.7109375" customWidth="1"/>
    <col min="13336" max="13336" width="5.28515625" customWidth="1"/>
    <col min="13337" max="13337" width="3.42578125" customWidth="1"/>
    <col min="13338" max="13338" width="5.140625" customWidth="1"/>
    <col min="13339" max="13494" width="3.42578125" customWidth="1"/>
    <col min="13569" max="13576" width="3.42578125" customWidth="1"/>
    <col min="13577" max="13577" width="6.7109375" customWidth="1"/>
    <col min="13578" max="13590" width="3.42578125" customWidth="1"/>
    <col min="13591" max="13591" width="4.7109375" customWidth="1"/>
    <col min="13592" max="13592" width="5.28515625" customWidth="1"/>
    <col min="13593" max="13593" width="3.42578125" customWidth="1"/>
    <col min="13594" max="13594" width="5.140625" customWidth="1"/>
    <col min="13595" max="13750" width="3.42578125" customWidth="1"/>
    <col min="13825" max="13832" width="3.42578125" customWidth="1"/>
    <col min="13833" max="13833" width="6.7109375" customWidth="1"/>
    <col min="13834" max="13846" width="3.42578125" customWidth="1"/>
    <col min="13847" max="13847" width="4.7109375" customWidth="1"/>
    <col min="13848" max="13848" width="5.28515625" customWidth="1"/>
    <col min="13849" max="13849" width="3.42578125" customWidth="1"/>
    <col min="13850" max="13850" width="5.140625" customWidth="1"/>
    <col min="13851" max="14006" width="3.42578125" customWidth="1"/>
    <col min="14081" max="14088" width="3.42578125" customWidth="1"/>
    <col min="14089" max="14089" width="6.7109375" customWidth="1"/>
    <col min="14090" max="14102" width="3.42578125" customWidth="1"/>
    <col min="14103" max="14103" width="4.7109375" customWidth="1"/>
    <col min="14104" max="14104" width="5.28515625" customWidth="1"/>
    <col min="14105" max="14105" width="3.42578125" customWidth="1"/>
    <col min="14106" max="14106" width="5.140625" customWidth="1"/>
    <col min="14107" max="14262" width="3.42578125" customWidth="1"/>
    <col min="14337" max="14344" width="3.42578125" customWidth="1"/>
    <col min="14345" max="14345" width="6.7109375" customWidth="1"/>
    <col min="14346" max="14358" width="3.42578125" customWidth="1"/>
    <col min="14359" max="14359" width="4.7109375" customWidth="1"/>
    <col min="14360" max="14360" width="5.28515625" customWidth="1"/>
    <col min="14361" max="14361" width="3.42578125" customWidth="1"/>
    <col min="14362" max="14362" width="5.140625" customWidth="1"/>
    <col min="14363" max="14518" width="3.42578125" customWidth="1"/>
    <col min="14593" max="14600" width="3.42578125" customWidth="1"/>
    <col min="14601" max="14601" width="6.7109375" customWidth="1"/>
    <col min="14602" max="14614" width="3.42578125" customWidth="1"/>
    <col min="14615" max="14615" width="4.7109375" customWidth="1"/>
    <col min="14616" max="14616" width="5.28515625" customWidth="1"/>
    <col min="14617" max="14617" width="3.42578125" customWidth="1"/>
    <col min="14618" max="14618" width="5.140625" customWidth="1"/>
    <col min="14619" max="14774" width="3.42578125" customWidth="1"/>
    <col min="14849" max="14856" width="3.42578125" customWidth="1"/>
    <col min="14857" max="14857" width="6.7109375" customWidth="1"/>
    <col min="14858" max="14870" width="3.42578125" customWidth="1"/>
    <col min="14871" max="14871" width="4.7109375" customWidth="1"/>
    <col min="14872" max="14872" width="5.28515625" customWidth="1"/>
    <col min="14873" max="14873" width="3.42578125" customWidth="1"/>
    <col min="14874" max="14874" width="5.140625" customWidth="1"/>
    <col min="14875" max="15030" width="3.42578125" customWidth="1"/>
    <col min="15105" max="15112" width="3.42578125" customWidth="1"/>
    <col min="15113" max="15113" width="6.7109375" customWidth="1"/>
    <col min="15114" max="15126" width="3.42578125" customWidth="1"/>
    <col min="15127" max="15127" width="4.7109375" customWidth="1"/>
    <col min="15128" max="15128" width="5.28515625" customWidth="1"/>
    <col min="15129" max="15129" width="3.42578125" customWidth="1"/>
    <col min="15130" max="15130" width="5.140625" customWidth="1"/>
    <col min="15131" max="15286" width="3.42578125" customWidth="1"/>
    <col min="15361" max="15368" width="3.42578125" customWidth="1"/>
    <col min="15369" max="15369" width="6.7109375" customWidth="1"/>
    <col min="15370" max="15382" width="3.42578125" customWidth="1"/>
    <col min="15383" max="15383" width="4.7109375" customWidth="1"/>
    <col min="15384" max="15384" width="5.28515625" customWidth="1"/>
    <col min="15385" max="15385" width="3.42578125" customWidth="1"/>
    <col min="15386" max="15386" width="5.140625" customWidth="1"/>
    <col min="15387" max="15542" width="3.42578125" customWidth="1"/>
    <col min="15617" max="15624" width="3.42578125" customWidth="1"/>
    <col min="15625" max="15625" width="6.7109375" customWidth="1"/>
    <col min="15626" max="15638" width="3.42578125" customWidth="1"/>
    <col min="15639" max="15639" width="4.7109375" customWidth="1"/>
    <col min="15640" max="15640" width="5.28515625" customWidth="1"/>
    <col min="15641" max="15641" width="3.42578125" customWidth="1"/>
    <col min="15642" max="15642" width="5.140625" customWidth="1"/>
    <col min="15643" max="15798" width="3.42578125" customWidth="1"/>
    <col min="15873" max="15880" width="3.42578125" customWidth="1"/>
    <col min="15881" max="15881" width="6.7109375" customWidth="1"/>
    <col min="15882" max="15894" width="3.42578125" customWidth="1"/>
    <col min="15895" max="15895" width="4.7109375" customWidth="1"/>
    <col min="15896" max="15896" width="5.28515625" customWidth="1"/>
    <col min="15897" max="15897" width="3.42578125" customWidth="1"/>
    <col min="15898" max="15898" width="5.140625" customWidth="1"/>
    <col min="15899" max="16054" width="3.42578125" customWidth="1"/>
    <col min="16129" max="16136" width="3.42578125" customWidth="1"/>
    <col min="16137" max="16137" width="6.7109375" customWidth="1"/>
    <col min="16138" max="16150" width="3.42578125" customWidth="1"/>
    <col min="16151" max="16151" width="4.7109375" customWidth="1"/>
    <col min="16152" max="16152" width="5.28515625" customWidth="1"/>
    <col min="16153" max="16153" width="3.42578125" customWidth="1"/>
    <col min="16154" max="16154" width="5.140625" customWidth="1"/>
    <col min="16155" max="16310" width="3.42578125" customWidth="1"/>
  </cols>
  <sheetData>
    <row r="1" spans="1:26" ht="18" customHeight="1" x14ac:dyDescent="0.2"/>
    <row r="2" spans="1:26" ht="18" customHeight="1" x14ac:dyDescent="0.2"/>
    <row r="3" spans="1:26" ht="18" customHeight="1" x14ac:dyDescent="0.2">
      <c r="Z3" s="201"/>
    </row>
    <row r="4" spans="1:26" ht="18" customHeight="1" x14ac:dyDescent="0.2">
      <c r="W4" s="202"/>
      <c r="X4" s="201"/>
      <c r="Y4" s="201"/>
      <c r="Z4" s="201"/>
    </row>
    <row r="5" spans="1:26" ht="18" customHeight="1" x14ac:dyDescent="0.2">
      <c r="W5" s="202"/>
      <c r="X5" s="201"/>
      <c r="Y5" s="201"/>
    </row>
    <row r="6" spans="1:26" ht="18" customHeight="1" x14ac:dyDescent="0.25">
      <c r="A6" s="964" t="s">
        <v>364</v>
      </c>
      <c r="B6" s="964"/>
      <c r="C6" s="964"/>
      <c r="D6" s="964"/>
      <c r="E6" s="964"/>
      <c r="F6" s="964"/>
      <c r="G6" s="964"/>
      <c r="H6" s="964"/>
      <c r="I6" s="964"/>
      <c r="J6" s="964"/>
      <c r="K6" s="964"/>
      <c r="L6" s="964"/>
      <c r="M6" s="964"/>
      <c r="N6" s="964"/>
      <c r="O6" s="964"/>
      <c r="P6" s="964"/>
      <c r="Q6" s="964"/>
      <c r="R6" s="964"/>
      <c r="S6" s="964"/>
      <c r="T6" s="964"/>
      <c r="U6" s="964"/>
      <c r="V6" s="964"/>
      <c r="W6" s="964"/>
      <c r="X6" s="964"/>
      <c r="Y6" s="964"/>
      <c r="Z6" s="964"/>
    </row>
    <row r="7" spans="1:26" ht="18" customHeight="1" x14ac:dyDescent="0.2"/>
    <row r="8" spans="1:26" ht="18" customHeight="1" thickBot="1" x14ac:dyDescent="0.25">
      <c r="A8" t="s">
        <v>365</v>
      </c>
      <c r="E8" t="s">
        <v>366</v>
      </c>
      <c r="F8" s="965" t="str">
        <f>Draft!AB1</f>
        <v>MV SANTA CAROLINA</v>
      </c>
      <c r="G8" s="965"/>
      <c r="H8" s="965"/>
      <c r="I8" s="965"/>
      <c r="J8" s="965"/>
      <c r="K8" s="965"/>
      <c r="L8" s="965"/>
      <c r="M8" s="965"/>
      <c r="N8" s="965"/>
      <c r="O8" s="965"/>
      <c r="P8" s="965"/>
      <c r="Q8" s="965"/>
      <c r="R8" s="965"/>
      <c r="S8" s="965"/>
      <c r="T8" s="203"/>
      <c r="U8" s="203"/>
      <c r="W8" s="201"/>
    </row>
    <row r="9" spans="1:26" ht="18" customHeight="1" thickBot="1" x14ac:dyDescent="0.25">
      <c r="A9" t="s">
        <v>251</v>
      </c>
      <c r="E9" t="s">
        <v>366</v>
      </c>
      <c r="F9" s="966">
        <f>Draft!AS2</f>
        <v>46221</v>
      </c>
      <c r="G9" s="966"/>
      <c r="H9" s="966"/>
      <c r="I9" s="966"/>
      <c r="J9" s="966"/>
      <c r="K9" s="966"/>
      <c r="L9" s="966"/>
      <c r="M9" s="966"/>
      <c r="N9" s="966"/>
      <c r="O9" s="966"/>
      <c r="P9" s="966"/>
      <c r="Q9" s="966"/>
      <c r="R9" s="966"/>
      <c r="S9" s="966"/>
      <c r="T9" s="204"/>
      <c r="U9" s="204"/>
      <c r="W9" s="201"/>
    </row>
    <row r="10" spans="1:26" ht="18" customHeight="1" thickBot="1" x14ac:dyDescent="0.25">
      <c r="A10" t="s">
        <v>268</v>
      </c>
      <c r="E10" t="s">
        <v>366</v>
      </c>
      <c r="F10" s="962" t="s">
        <v>395</v>
      </c>
      <c r="G10" s="967"/>
      <c r="H10" s="967"/>
      <c r="I10" s="967"/>
      <c r="J10" s="967"/>
      <c r="K10" s="967"/>
      <c r="L10" s="967"/>
      <c r="M10" s="967"/>
      <c r="N10" s="967"/>
      <c r="O10" s="967"/>
      <c r="P10" s="967"/>
      <c r="Q10" s="967"/>
      <c r="R10" s="967"/>
      <c r="S10" s="967"/>
      <c r="T10" s="204"/>
      <c r="U10" s="204"/>
      <c r="W10" s="201"/>
    </row>
    <row r="11" spans="1:26" ht="18" customHeight="1" thickBot="1" x14ac:dyDescent="0.25">
      <c r="A11" t="s">
        <v>367</v>
      </c>
      <c r="E11" t="s">
        <v>366</v>
      </c>
      <c r="F11" s="962" t="s">
        <v>411</v>
      </c>
      <c r="G11" s="967"/>
      <c r="H11" s="967"/>
      <c r="I11" s="967"/>
      <c r="J11" s="967"/>
      <c r="K11" s="967"/>
      <c r="L11" s="967"/>
      <c r="M11" s="967"/>
      <c r="N11" s="967"/>
      <c r="O11" s="967"/>
      <c r="P11" s="967"/>
      <c r="Q11" s="967"/>
      <c r="R11" s="967"/>
      <c r="S11" s="967"/>
      <c r="T11" s="204"/>
      <c r="U11" s="204"/>
      <c r="W11" s="201"/>
    </row>
    <row r="12" spans="1:26" ht="18" customHeight="1" thickBot="1" x14ac:dyDescent="0.25">
      <c r="A12" s="189" t="s">
        <v>368</v>
      </c>
      <c r="E12" t="s">
        <v>366</v>
      </c>
      <c r="F12" s="962" t="s">
        <v>413</v>
      </c>
      <c r="G12" s="963"/>
      <c r="H12" s="963"/>
      <c r="I12" s="963"/>
      <c r="J12" s="963"/>
      <c r="K12" s="963"/>
      <c r="L12" s="963"/>
      <c r="M12" s="963"/>
      <c r="N12" s="963"/>
      <c r="O12" s="963"/>
      <c r="P12" s="963"/>
      <c r="Q12" s="963"/>
      <c r="R12" s="963"/>
      <c r="S12" s="963"/>
      <c r="T12" s="963"/>
      <c r="U12" s="963"/>
      <c r="W12" s="201"/>
    </row>
    <row r="13" spans="1:26" ht="18" customHeight="1" thickBot="1" x14ac:dyDescent="0.25">
      <c r="A13" t="s">
        <v>369</v>
      </c>
      <c r="E13" t="s">
        <v>366</v>
      </c>
      <c r="F13" s="266" t="s">
        <v>414</v>
      </c>
      <c r="G13" s="176"/>
      <c r="H13" s="176"/>
      <c r="I13" s="176"/>
      <c r="J13" s="176"/>
      <c r="K13" s="176"/>
      <c r="L13" s="176"/>
      <c r="M13" s="176"/>
      <c r="N13" s="176"/>
      <c r="O13" s="176"/>
      <c r="P13" s="176"/>
      <c r="Q13" s="176"/>
      <c r="R13" s="176"/>
      <c r="S13" s="176"/>
      <c r="T13" s="204"/>
      <c r="U13" s="204"/>
      <c r="W13" s="201"/>
    </row>
    <row r="14" spans="1:26" ht="18" customHeight="1" x14ac:dyDescent="0.2"/>
    <row r="15" spans="1:26" ht="18" customHeight="1" x14ac:dyDescent="0.2">
      <c r="A15" s="205" t="s">
        <v>390</v>
      </c>
      <c r="B15" s="260" t="s">
        <v>415</v>
      </c>
      <c r="D15" s="205"/>
      <c r="F15" s="201"/>
      <c r="G15" s="201"/>
      <c r="H15" s="201"/>
      <c r="I15" s="201"/>
      <c r="J15" s="201"/>
      <c r="K15" s="201"/>
      <c r="L15" s="201"/>
      <c r="M15" s="201"/>
      <c r="N15" s="201"/>
      <c r="O15" s="201"/>
      <c r="P15" s="201"/>
      <c r="Q15" s="201"/>
      <c r="R15" s="201"/>
      <c r="S15" s="201"/>
    </row>
    <row r="16" spans="1:26" ht="18" customHeight="1" x14ac:dyDescent="0.2">
      <c r="B16" s="206"/>
      <c r="F16" s="201"/>
      <c r="G16" s="201"/>
      <c r="H16" s="201"/>
      <c r="I16" s="201"/>
      <c r="J16" s="201"/>
      <c r="K16" s="201"/>
      <c r="L16" s="201"/>
      <c r="M16" s="201"/>
      <c r="N16" s="201"/>
      <c r="O16" s="201"/>
      <c r="P16" s="201"/>
      <c r="Q16" s="201"/>
      <c r="R16" s="201"/>
      <c r="S16" s="201"/>
    </row>
    <row r="17" spans="1:878" ht="18" customHeight="1" x14ac:dyDescent="0.2"/>
    <row r="18" spans="1:878" ht="18" customHeight="1" x14ac:dyDescent="0.2">
      <c r="A18" t="s">
        <v>391</v>
      </c>
    </row>
    <row r="19" spans="1:878" ht="18" customHeight="1" x14ac:dyDescent="0.2">
      <c r="A19" t="s">
        <v>370</v>
      </c>
    </row>
    <row r="20" spans="1:878" ht="18" customHeight="1" x14ac:dyDescent="0.2">
      <c r="A20" s="205" t="s">
        <v>371</v>
      </c>
    </row>
    <row r="21" spans="1:878" ht="18" customHeight="1" x14ac:dyDescent="0.2">
      <c r="A21" s="205"/>
    </row>
    <row r="22" spans="1:878" ht="18" customHeight="1" thickBot="1" x14ac:dyDescent="0.25">
      <c r="T22" s="207"/>
      <c r="U22" s="207"/>
      <c r="V22" s="207"/>
      <c r="W22" s="207"/>
      <c r="X22" s="207"/>
      <c r="Y22" s="207"/>
      <c r="Z22" s="208"/>
    </row>
    <row r="23" spans="1:878" ht="18" customHeight="1" thickBot="1" x14ac:dyDescent="0.25">
      <c r="A23" s="954" t="str">
        <f>Draft!AB2</f>
        <v>DDGS-SOYABEANS-YELLOW CORN</v>
      </c>
      <c r="B23" s="955"/>
      <c r="C23" s="955"/>
      <c r="D23" s="955"/>
      <c r="E23" s="955"/>
      <c r="F23" s="955"/>
      <c r="G23" s="955"/>
      <c r="H23" s="955"/>
      <c r="I23" s="955"/>
      <c r="J23" s="955"/>
      <c r="K23" s="955"/>
      <c r="L23" s="955"/>
      <c r="M23" s="955"/>
      <c r="N23" s="955"/>
      <c r="O23" s="955"/>
      <c r="P23" s="955"/>
      <c r="Q23" s="955"/>
      <c r="R23" s="955"/>
      <c r="S23" s="956"/>
      <c r="AK23" s="609"/>
      <c r="AL23" s="609"/>
      <c r="AM23" s="609"/>
      <c r="AN23" s="609"/>
      <c r="AO23" s="609"/>
      <c r="AP23" s="609"/>
      <c r="AQ23" s="609"/>
      <c r="AR23" s="609"/>
    </row>
    <row r="24" spans="1:878" ht="18" customHeight="1" x14ac:dyDescent="0.2">
      <c r="A24" s="35" t="s">
        <v>372</v>
      </c>
      <c r="B24" s="209"/>
      <c r="C24" s="209"/>
      <c r="D24" s="209"/>
      <c r="E24" s="209"/>
      <c r="F24" s="209"/>
      <c r="G24" s="209"/>
      <c r="H24" s="209"/>
      <c r="I24" s="209"/>
      <c r="J24" s="957">
        <v>6000</v>
      </c>
      <c r="K24" s="958"/>
      <c r="L24" s="958"/>
      <c r="M24" s="958"/>
      <c r="N24" s="958"/>
      <c r="O24" s="958"/>
      <c r="P24" s="958"/>
      <c r="Q24" s="958"/>
      <c r="R24" s="958"/>
      <c r="S24" s="210" t="s">
        <v>373</v>
      </c>
      <c r="AK24" s="959"/>
      <c r="AL24" s="959"/>
      <c r="AM24" s="959"/>
      <c r="AN24" s="959"/>
      <c r="AO24" s="959"/>
      <c r="AP24" s="959"/>
      <c r="AQ24" s="959"/>
      <c r="AR24" s="959"/>
    </row>
    <row r="25" spans="1:878" ht="18" customHeight="1" x14ac:dyDescent="0.2">
      <c r="A25" s="35" t="s">
        <v>393</v>
      </c>
      <c r="B25" s="5"/>
      <c r="C25" s="5"/>
      <c r="D25" s="5"/>
      <c r="E25" s="5"/>
      <c r="F25" s="5"/>
      <c r="G25" s="5"/>
      <c r="H25" s="5"/>
      <c r="I25" s="5"/>
      <c r="J25" s="960">
        <v>6069.22</v>
      </c>
      <c r="K25" s="961"/>
      <c r="L25" s="961"/>
      <c r="M25" s="961"/>
      <c r="N25" s="961"/>
      <c r="O25" s="961"/>
      <c r="P25" s="961"/>
      <c r="Q25" s="961"/>
      <c r="R25" s="961"/>
      <c r="S25" s="210" t="s">
        <v>373</v>
      </c>
      <c r="AK25" s="959"/>
      <c r="AL25" s="959"/>
      <c r="AM25" s="959"/>
      <c r="AN25" s="959"/>
      <c r="AO25" s="959"/>
      <c r="AP25" s="959"/>
      <c r="AQ25" s="959"/>
      <c r="AR25" s="959"/>
    </row>
    <row r="26" spans="1:878" ht="18" customHeight="1" x14ac:dyDescent="0.2">
      <c r="A26" s="199" t="s">
        <v>374</v>
      </c>
      <c r="B26" s="211"/>
      <c r="C26" s="211"/>
      <c r="D26" s="211"/>
      <c r="E26" s="211"/>
      <c r="F26" s="211"/>
      <c r="G26" s="211"/>
      <c r="H26" s="211"/>
      <c r="I26" s="211"/>
      <c r="J26" s="942">
        <f>+J25-J24</f>
        <v>69.220000000000255</v>
      </c>
      <c r="K26" s="943"/>
      <c r="L26" s="943"/>
      <c r="M26" s="943"/>
      <c r="N26" s="943"/>
      <c r="O26" s="943"/>
      <c r="P26" s="943"/>
      <c r="Q26" s="943"/>
      <c r="R26" s="943"/>
      <c r="S26" s="212" t="s">
        <v>373</v>
      </c>
    </row>
    <row r="27" spans="1:878" ht="18" customHeight="1" x14ac:dyDescent="0.2">
      <c r="A27" s="35" t="s">
        <v>375</v>
      </c>
      <c r="B27" s="211"/>
      <c r="C27" s="211"/>
      <c r="D27" s="211"/>
      <c r="E27" s="211"/>
      <c r="F27" s="211"/>
      <c r="G27" s="211"/>
      <c r="H27" s="211"/>
      <c r="I27" s="211"/>
      <c r="J27" s="944">
        <f>+J26/J24</f>
        <v>1.1536666666666709E-2</v>
      </c>
      <c r="K27" s="945"/>
      <c r="L27" s="945"/>
      <c r="M27" s="945"/>
      <c r="N27" s="945"/>
      <c r="O27" s="945"/>
      <c r="P27" s="945"/>
      <c r="Q27" s="945"/>
      <c r="R27" s="945"/>
      <c r="S27" s="212" t="s">
        <v>373</v>
      </c>
      <c r="AK27" s="946"/>
      <c r="AL27" s="946"/>
      <c r="AM27" s="946"/>
      <c r="AN27" s="946"/>
      <c r="AO27" s="946"/>
      <c r="AP27" s="946"/>
      <c r="AQ27" s="946"/>
      <c r="AR27" s="946"/>
    </row>
    <row r="28" spans="1:878" s="203" customFormat="1" ht="18" customHeight="1" thickBot="1" x14ac:dyDescent="0.25">
      <c r="A28" s="29"/>
      <c r="B28" s="24"/>
      <c r="C28" s="24"/>
      <c r="D28" s="24"/>
      <c r="E28" s="24"/>
      <c r="F28" s="24"/>
      <c r="G28" s="24"/>
      <c r="H28" s="24"/>
      <c r="I28" s="24"/>
      <c r="J28" s="947"/>
      <c r="K28" s="948"/>
      <c r="L28" s="948"/>
      <c r="M28" s="948"/>
      <c r="N28" s="948"/>
      <c r="O28" s="948"/>
      <c r="P28" s="948"/>
      <c r="Q28" s="948"/>
      <c r="R28" s="948"/>
      <c r="S28" s="205"/>
      <c r="T28"/>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c r="BI28"/>
      <c r="BJ28"/>
      <c r="BK28"/>
      <c r="BL28"/>
      <c r="BM28"/>
      <c r="BN28"/>
      <c r="BO28"/>
      <c r="BP28"/>
      <c r="BQ28"/>
      <c r="BR28"/>
      <c r="BS28"/>
      <c r="BT28"/>
      <c r="BU28"/>
      <c r="BV28"/>
      <c r="BW28"/>
      <c r="BX28"/>
      <c r="BY28"/>
      <c r="BZ28"/>
      <c r="CA28"/>
      <c r="CB28"/>
      <c r="CC28"/>
      <c r="CD28"/>
      <c r="CE28"/>
      <c r="CF28"/>
      <c r="CG28"/>
      <c r="CH28"/>
      <c r="CI28"/>
      <c r="CJ28"/>
      <c r="CK28"/>
      <c r="CL28"/>
      <c r="CM28"/>
      <c r="CN28"/>
      <c r="CO28"/>
      <c r="CP28"/>
      <c r="CQ28"/>
      <c r="CR28"/>
      <c r="CS28"/>
      <c r="CT28"/>
      <c r="CU28"/>
      <c r="CV28"/>
      <c r="CW28"/>
      <c r="CX28"/>
      <c r="CY28"/>
      <c r="CZ28"/>
      <c r="DA28"/>
      <c r="DB28"/>
      <c r="DC28"/>
      <c r="DD28"/>
      <c r="DE28"/>
      <c r="DF28"/>
      <c r="DG28"/>
      <c r="DH28"/>
      <c r="DI28"/>
      <c r="DJ28"/>
      <c r="DK28"/>
      <c r="DL28"/>
      <c r="DM28"/>
      <c r="DN28"/>
      <c r="DO28"/>
      <c r="DP28"/>
      <c r="DQ28"/>
      <c r="DR28"/>
      <c r="DS28"/>
      <c r="DT28"/>
      <c r="DU28"/>
      <c r="DV28"/>
      <c r="DW28"/>
      <c r="DX28"/>
      <c r="DY28"/>
      <c r="DZ28"/>
      <c r="EA28"/>
      <c r="EB28"/>
      <c r="EC28"/>
      <c r="ED28"/>
      <c r="EE28"/>
      <c r="EF28"/>
      <c r="EG28"/>
      <c r="EH28"/>
      <c r="EI28"/>
      <c r="EJ28"/>
      <c r="EK28"/>
      <c r="EL28"/>
      <c r="EM28"/>
      <c r="EN28"/>
      <c r="EO28"/>
      <c r="EP28"/>
      <c r="EQ28"/>
      <c r="ER28"/>
      <c r="ES28"/>
      <c r="ET28"/>
      <c r="EU28"/>
      <c r="EV28"/>
      <c r="EW28"/>
      <c r="EX28"/>
      <c r="EY28"/>
      <c r="EZ28"/>
      <c r="FA28"/>
      <c r="FB28"/>
      <c r="FC28"/>
      <c r="FD28"/>
      <c r="FE28"/>
      <c r="FF28"/>
      <c r="FG28"/>
      <c r="FH28"/>
      <c r="FI28"/>
      <c r="FJ28"/>
      <c r="FK28"/>
      <c r="FL28"/>
      <c r="FM28"/>
      <c r="FN28"/>
      <c r="FO28"/>
      <c r="FP28"/>
      <c r="FQ28"/>
      <c r="FR28"/>
      <c r="FS28"/>
      <c r="FT28"/>
      <c r="FU28"/>
      <c r="FV28"/>
      <c r="FW28"/>
      <c r="FX28"/>
      <c r="FY28"/>
      <c r="FZ28"/>
      <c r="GA28"/>
      <c r="GB28"/>
      <c r="GC28"/>
      <c r="GD28"/>
      <c r="GE28"/>
      <c r="GF28"/>
      <c r="GG28"/>
      <c r="GH28"/>
      <c r="GI28"/>
      <c r="GJ28"/>
      <c r="GK28"/>
      <c r="GL28"/>
      <c r="GM28"/>
      <c r="GN28"/>
      <c r="GO28"/>
      <c r="GP28"/>
      <c r="GQ28"/>
      <c r="GR28"/>
      <c r="GS28"/>
      <c r="GT28"/>
      <c r="GU28"/>
      <c r="GV28"/>
      <c r="GW28"/>
      <c r="GX28"/>
      <c r="GY28"/>
      <c r="GZ28"/>
      <c r="HA28"/>
      <c r="HB28"/>
      <c r="HC28"/>
      <c r="HD28"/>
      <c r="HE28"/>
      <c r="HF28"/>
      <c r="HG28"/>
      <c r="HH28"/>
      <c r="HI28"/>
      <c r="HJ28"/>
      <c r="HK28"/>
      <c r="HL28"/>
      <c r="HM28"/>
      <c r="HN28"/>
      <c r="HO28"/>
      <c r="HP28"/>
      <c r="HQ28"/>
      <c r="HR28"/>
      <c r="HS28"/>
      <c r="HT28"/>
      <c r="HU28"/>
      <c r="HV28"/>
      <c r="HW28"/>
      <c r="HX28"/>
      <c r="HY28"/>
      <c r="HZ28"/>
      <c r="IA28"/>
      <c r="IB28"/>
      <c r="IC28"/>
      <c r="ID28"/>
      <c r="IE28"/>
      <c r="IF28"/>
      <c r="IG28"/>
      <c r="IH28"/>
      <c r="II28"/>
      <c r="IJ28"/>
      <c r="IK28"/>
      <c r="IL28"/>
      <c r="IM28"/>
      <c r="IN28"/>
      <c r="IO28"/>
      <c r="IP28"/>
      <c r="IQ28"/>
      <c r="IR28"/>
      <c r="IS28"/>
      <c r="IT28"/>
      <c r="IU28"/>
      <c r="IV28"/>
      <c r="IW28"/>
      <c r="IX28"/>
      <c r="IY28"/>
      <c r="IZ28"/>
      <c r="JA28"/>
      <c r="JB28"/>
      <c r="JC28"/>
      <c r="JD28"/>
      <c r="JE28"/>
      <c r="JF28"/>
      <c r="JG28"/>
      <c r="JH28"/>
      <c r="JI28"/>
      <c r="JJ28"/>
      <c r="JK28"/>
      <c r="JL28"/>
      <c r="JM28"/>
      <c r="JN28"/>
      <c r="JO28"/>
      <c r="JP28"/>
      <c r="JQ28"/>
      <c r="JR28"/>
      <c r="JS28"/>
      <c r="JT28"/>
      <c r="JU28"/>
      <c r="JV28"/>
      <c r="JW28"/>
      <c r="JX28"/>
      <c r="JY28"/>
      <c r="JZ28"/>
      <c r="KA28"/>
      <c r="KB28"/>
      <c r="KC28"/>
      <c r="KD28"/>
      <c r="KE28"/>
      <c r="KF28"/>
      <c r="KG28"/>
      <c r="KH28"/>
      <c r="KI28"/>
      <c r="KJ28"/>
      <c r="KK28"/>
      <c r="KL28"/>
      <c r="KM28"/>
      <c r="KN28"/>
      <c r="KO28"/>
      <c r="KP28"/>
      <c r="KQ28"/>
      <c r="KR28"/>
      <c r="KS28"/>
      <c r="KT28"/>
      <c r="KU28"/>
      <c r="KV28"/>
      <c r="KW28"/>
      <c r="KX28"/>
      <c r="KY28"/>
      <c r="KZ28"/>
      <c r="LA28"/>
      <c r="LB28"/>
      <c r="LC28"/>
      <c r="LD28"/>
      <c r="LE28"/>
      <c r="LF28"/>
      <c r="LG28"/>
      <c r="LH28"/>
      <c r="LI28"/>
      <c r="LJ28"/>
      <c r="LK28"/>
      <c r="LL28"/>
      <c r="LM28"/>
      <c r="LN28"/>
      <c r="LO28"/>
      <c r="LP28"/>
      <c r="LQ28"/>
      <c r="LR28"/>
      <c r="LS28"/>
      <c r="LT28"/>
      <c r="LU28"/>
      <c r="LV28"/>
      <c r="LW28"/>
      <c r="LX28"/>
      <c r="LY28"/>
      <c r="LZ28"/>
      <c r="MA28"/>
      <c r="MB28"/>
      <c r="MC28"/>
      <c r="MD28"/>
      <c r="ME28"/>
      <c r="MF28"/>
      <c r="MG28"/>
      <c r="MH28"/>
      <c r="MI28"/>
      <c r="MJ28"/>
      <c r="MK28"/>
      <c r="ML28"/>
      <c r="MM28"/>
      <c r="MN28"/>
      <c r="MO28"/>
      <c r="MP28"/>
      <c r="MQ28"/>
      <c r="MR28"/>
      <c r="MS28"/>
      <c r="MT28"/>
      <c r="MU28"/>
      <c r="MV28"/>
      <c r="MW28"/>
      <c r="MX28"/>
      <c r="MY28"/>
      <c r="MZ28"/>
      <c r="NA28"/>
      <c r="NB28"/>
      <c r="NC28"/>
      <c r="ND28"/>
      <c r="NE28"/>
      <c r="NF28"/>
      <c r="NG28"/>
      <c r="NH28"/>
      <c r="NI28"/>
      <c r="NJ28"/>
      <c r="NK28"/>
      <c r="NL28"/>
      <c r="NM28"/>
      <c r="NN28"/>
      <c r="NO28"/>
      <c r="NP28"/>
      <c r="NQ28"/>
      <c r="NR28"/>
      <c r="NS28"/>
      <c r="NT28"/>
      <c r="NU28"/>
      <c r="NV28"/>
      <c r="NW28"/>
      <c r="NX28"/>
      <c r="NY28"/>
      <c r="NZ28"/>
      <c r="OA28"/>
      <c r="OB28"/>
      <c r="OC28"/>
      <c r="OD28"/>
      <c r="OE28"/>
      <c r="OF28"/>
      <c r="OG28"/>
      <c r="OH28"/>
      <c r="OI28"/>
      <c r="OJ28"/>
      <c r="OK28"/>
      <c r="OL28"/>
      <c r="OM28"/>
      <c r="ON28"/>
      <c r="OO28"/>
      <c r="OP28"/>
      <c r="OQ28"/>
      <c r="OR28"/>
      <c r="OS28"/>
      <c r="OT28"/>
      <c r="OU28"/>
      <c r="OV28"/>
      <c r="OW28"/>
      <c r="OX28"/>
      <c r="OY28"/>
      <c r="OZ28"/>
      <c r="PA28"/>
      <c r="PB28"/>
      <c r="PC28"/>
      <c r="PD28"/>
      <c r="PE28"/>
      <c r="PF28"/>
      <c r="PG28"/>
      <c r="PH28"/>
      <c r="PI28"/>
      <c r="PJ28"/>
      <c r="PK28"/>
      <c r="PL28"/>
      <c r="PM28"/>
      <c r="PN28"/>
      <c r="PO28"/>
      <c r="PP28"/>
      <c r="PQ28"/>
      <c r="PR28"/>
      <c r="PS28"/>
      <c r="PT28"/>
      <c r="PU28"/>
      <c r="PV28"/>
      <c r="PW28"/>
      <c r="PX28"/>
      <c r="PY28"/>
      <c r="PZ28"/>
      <c r="QA28"/>
      <c r="QB28"/>
      <c r="QC28"/>
      <c r="QD28"/>
      <c r="QE28"/>
      <c r="QF28"/>
      <c r="QG28"/>
      <c r="QH28"/>
      <c r="QI28"/>
      <c r="QJ28"/>
      <c r="QK28"/>
      <c r="QL28"/>
      <c r="QM28"/>
      <c r="QN28"/>
      <c r="QO28"/>
      <c r="QP28"/>
      <c r="QQ28"/>
      <c r="QR28"/>
      <c r="QS28"/>
      <c r="QT28"/>
      <c r="QU28"/>
      <c r="QV28"/>
      <c r="QW28"/>
      <c r="QX28"/>
      <c r="QY28"/>
      <c r="QZ28"/>
      <c r="RA28"/>
      <c r="RB28"/>
      <c r="RC28"/>
      <c r="RD28"/>
      <c r="RE28"/>
      <c r="RF28"/>
      <c r="RG28"/>
      <c r="RH28"/>
      <c r="RI28"/>
      <c r="RJ28"/>
      <c r="RK28"/>
      <c r="RL28"/>
      <c r="RM28"/>
      <c r="RN28"/>
      <c r="RO28"/>
      <c r="RP28"/>
      <c r="RQ28"/>
      <c r="RR28"/>
      <c r="RS28"/>
      <c r="RT28"/>
      <c r="RU28"/>
      <c r="RV28"/>
      <c r="RW28"/>
      <c r="RX28"/>
      <c r="RY28"/>
      <c r="RZ28"/>
      <c r="SA28"/>
      <c r="SB28"/>
      <c r="SC28"/>
      <c r="SD28"/>
      <c r="SE28"/>
      <c r="SF28"/>
      <c r="SG28"/>
      <c r="SH28"/>
      <c r="SI28"/>
      <c r="SJ28"/>
      <c r="SK28"/>
      <c r="SL28"/>
      <c r="SM28"/>
      <c r="SN28"/>
      <c r="SO28"/>
      <c r="SP28"/>
      <c r="SQ28"/>
      <c r="SR28"/>
      <c r="SS28"/>
      <c r="ST28"/>
      <c r="SU28"/>
      <c r="SV28"/>
      <c r="SW28"/>
      <c r="SX28"/>
      <c r="SY28"/>
      <c r="SZ28"/>
      <c r="TA28"/>
      <c r="TB28"/>
      <c r="TC28"/>
      <c r="TD28"/>
      <c r="TE28"/>
      <c r="TF28"/>
      <c r="TG28"/>
      <c r="TH28"/>
      <c r="TI28"/>
      <c r="TJ28"/>
      <c r="TK28"/>
      <c r="TL28"/>
      <c r="TM28"/>
      <c r="TN28"/>
      <c r="TO28"/>
      <c r="TP28"/>
      <c r="TQ28"/>
      <c r="TR28"/>
      <c r="TS28"/>
      <c r="TT28"/>
      <c r="TU28"/>
      <c r="TV28"/>
      <c r="TW28"/>
      <c r="TX28"/>
      <c r="TY28"/>
      <c r="TZ28"/>
      <c r="UA28"/>
      <c r="UB28"/>
      <c r="UC28"/>
      <c r="UD28"/>
      <c r="UE28"/>
      <c r="UF28"/>
      <c r="UG28"/>
      <c r="UH28"/>
      <c r="UI28"/>
      <c r="UJ28"/>
      <c r="UK28"/>
      <c r="UL28"/>
      <c r="UM28"/>
      <c r="UN28"/>
      <c r="UO28"/>
      <c r="UP28"/>
      <c r="UQ28"/>
      <c r="UR28"/>
      <c r="US28"/>
      <c r="UT28"/>
      <c r="UU28"/>
      <c r="UV28"/>
      <c r="UW28"/>
      <c r="UX28"/>
      <c r="UY28"/>
      <c r="UZ28"/>
      <c r="VA28"/>
      <c r="VB28"/>
      <c r="VC28"/>
      <c r="VD28"/>
      <c r="VE28"/>
      <c r="VF28"/>
      <c r="VG28"/>
      <c r="VH28"/>
      <c r="VI28"/>
      <c r="VJ28"/>
      <c r="VK28"/>
      <c r="VL28"/>
      <c r="VM28"/>
      <c r="VN28"/>
      <c r="VO28"/>
      <c r="VP28"/>
      <c r="VQ28"/>
      <c r="VR28"/>
      <c r="VS28"/>
      <c r="VT28"/>
      <c r="VU28"/>
      <c r="VV28"/>
      <c r="VW28"/>
      <c r="VX28"/>
      <c r="VY28"/>
      <c r="VZ28"/>
      <c r="WA28"/>
      <c r="WB28"/>
      <c r="WC28"/>
      <c r="WD28"/>
      <c r="WE28"/>
      <c r="WF28"/>
      <c r="WG28"/>
      <c r="WH28"/>
      <c r="WI28"/>
      <c r="WJ28"/>
      <c r="WK28"/>
      <c r="WL28"/>
      <c r="WM28"/>
      <c r="WN28"/>
      <c r="WO28"/>
      <c r="WP28"/>
      <c r="WQ28"/>
      <c r="WR28"/>
      <c r="WS28"/>
      <c r="WT28"/>
      <c r="WU28"/>
      <c r="WV28"/>
      <c r="WW28"/>
      <c r="WX28"/>
      <c r="WY28"/>
      <c r="WZ28"/>
      <c r="XA28"/>
      <c r="XB28"/>
      <c r="XC28"/>
      <c r="XD28"/>
      <c r="XE28"/>
      <c r="XF28"/>
      <c r="XG28"/>
      <c r="XH28"/>
      <c r="XI28"/>
      <c r="XJ28"/>
      <c r="XK28"/>
      <c r="XL28"/>
      <c r="XM28"/>
      <c r="XN28"/>
      <c r="XO28"/>
      <c r="XP28"/>
      <c r="XQ28"/>
      <c r="XR28"/>
      <c r="XS28"/>
      <c r="XT28"/>
      <c r="XU28"/>
      <c r="XV28"/>
      <c r="XW28"/>
      <c r="XX28"/>
      <c r="XY28"/>
      <c r="XZ28"/>
      <c r="YA28"/>
      <c r="YB28"/>
      <c r="YC28"/>
      <c r="YD28"/>
      <c r="YE28"/>
      <c r="YF28"/>
      <c r="YG28"/>
      <c r="YH28"/>
      <c r="YI28"/>
      <c r="YJ28"/>
      <c r="YK28"/>
      <c r="YL28"/>
      <c r="YM28"/>
      <c r="YN28"/>
      <c r="YO28"/>
      <c r="YP28"/>
      <c r="YQ28"/>
      <c r="YR28"/>
      <c r="YS28"/>
      <c r="YT28"/>
      <c r="YU28"/>
      <c r="YV28"/>
      <c r="YW28"/>
      <c r="YX28"/>
      <c r="YY28"/>
      <c r="YZ28"/>
      <c r="ZA28"/>
      <c r="ZB28"/>
      <c r="ZC28"/>
      <c r="ZD28"/>
      <c r="ZE28"/>
      <c r="ZF28"/>
      <c r="ZG28"/>
      <c r="ZH28"/>
      <c r="ZI28"/>
      <c r="ZJ28"/>
      <c r="ZK28"/>
      <c r="ZL28"/>
      <c r="ZM28"/>
      <c r="ZN28"/>
      <c r="ZO28"/>
      <c r="ZP28"/>
      <c r="ZQ28"/>
      <c r="ZR28"/>
      <c r="ZS28"/>
      <c r="ZT28"/>
      <c r="ZU28"/>
      <c r="ZV28"/>
      <c r="ZW28"/>
      <c r="ZX28"/>
      <c r="ZY28"/>
      <c r="ZZ28"/>
      <c r="AAA28"/>
      <c r="AAB28"/>
      <c r="AAC28"/>
      <c r="AAD28"/>
      <c r="AAE28"/>
      <c r="AAF28"/>
      <c r="AAG28"/>
      <c r="AAH28"/>
      <c r="AAI28"/>
      <c r="AAJ28"/>
      <c r="AAK28"/>
      <c r="AAL28"/>
      <c r="AAM28"/>
      <c r="AAN28"/>
      <c r="AAO28"/>
      <c r="AAP28"/>
      <c r="AAQ28"/>
      <c r="AAR28"/>
      <c r="AAS28"/>
      <c r="AAT28"/>
      <c r="AAU28"/>
      <c r="AAV28"/>
      <c r="AAW28"/>
      <c r="AAX28"/>
      <c r="AAY28"/>
      <c r="AAZ28"/>
      <c r="ABA28"/>
      <c r="ABB28"/>
      <c r="ABC28"/>
      <c r="ABD28"/>
      <c r="ABE28"/>
      <c r="ABF28"/>
      <c r="ABG28"/>
      <c r="ABH28"/>
      <c r="ABI28"/>
      <c r="ABJ28"/>
      <c r="ABK28"/>
      <c r="ABL28"/>
      <c r="ABM28"/>
      <c r="ABN28"/>
      <c r="ABO28"/>
      <c r="ABP28"/>
      <c r="ABQ28"/>
      <c r="ABR28"/>
      <c r="ABS28"/>
      <c r="ABT28"/>
      <c r="ABU28"/>
      <c r="ABV28"/>
      <c r="ABW28"/>
      <c r="ABX28"/>
      <c r="ABY28"/>
      <c r="ABZ28"/>
      <c r="ACA28"/>
      <c r="ACB28"/>
      <c r="ACC28"/>
      <c r="ACD28"/>
      <c r="ACE28"/>
      <c r="ACF28"/>
      <c r="ACG28"/>
      <c r="ACH28"/>
      <c r="ACI28"/>
      <c r="ACJ28"/>
      <c r="ACK28"/>
      <c r="ACL28"/>
      <c r="ACM28"/>
      <c r="ACN28"/>
      <c r="ACO28"/>
      <c r="ACP28"/>
      <c r="ACQ28"/>
      <c r="ACR28"/>
      <c r="ACS28"/>
      <c r="ACT28"/>
      <c r="ACU28"/>
      <c r="ACV28"/>
      <c r="ACW28"/>
      <c r="ACX28"/>
      <c r="ACY28"/>
      <c r="ACZ28"/>
      <c r="ADA28"/>
      <c r="ADB28"/>
      <c r="ADC28"/>
      <c r="ADD28"/>
      <c r="ADE28"/>
      <c r="ADF28"/>
      <c r="ADG28"/>
      <c r="ADH28"/>
      <c r="ADI28"/>
      <c r="ADJ28"/>
      <c r="ADK28"/>
      <c r="ADL28"/>
      <c r="ADM28"/>
      <c r="ADN28"/>
      <c r="ADO28"/>
      <c r="ADP28"/>
      <c r="ADQ28"/>
      <c r="ADR28"/>
      <c r="ADS28"/>
      <c r="ADT28"/>
      <c r="ADU28"/>
      <c r="ADV28"/>
      <c r="ADW28"/>
      <c r="ADX28"/>
      <c r="ADY28"/>
      <c r="ADZ28"/>
      <c r="AEA28"/>
      <c r="AEB28"/>
      <c r="AEC28"/>
      <c r="AED28"/>
      <c r="AEE28"/>
      <c r="AEF28"/>
      <c r="AEG28"/>
      <c r="AEH28"/>
      <c r="AEI28"/>
      <c r="AEJ28"/>
      <c r="AEK28"/>
      <c r="AEL28"/>
      <c r="AEM28"/>
      <c r="AEN28"/>
      <c r="AEO28"/>
      <c r="AEP28"/>
      <c r="AEQ28"/>
      <c r="AER28"/>
      <c r="AES28"/>
      <c r="AET28"/>
      <c r="AEU28"/>
      <c r="AEV28"/>
      <c r="AEW28"/>
      <c r="AEX28"/>
      <c r="AEY28"/>
      <c r="AEZ28"/>
      <c r="AFA28"/>
      <c r="AFB28"/>
      <c r="AFC28"/>
      <c r="AFD28"/>
      <c r="AFE28"/>
      <c r="AFF28"/>
      <c r="AFG28"/>
      <c r="AFH28"/>
      <c r="AFI28"/>
      <c r="AFJ28"/>
      <c r="AFK28"/>
      <c r="AFL28"/>
      <c r="AFM28"/>
      <c r="AFN28"/>
      <c r="AFO28"/>
      <c r="AFP28"/>
      <c r="AFQ28"/>
      <c r="AFR28"/>
      <c r="AFS28"/>
      <c r="AFT28"/>
      <c r="AFU28"/>
      <c r="AFV28"/>
      <c r="AFW28"/>
      <c r="AFX28"/>
      <c r="AFY28"/>
      <c r="AFZ28"/>
      <c r="AGA28"/>
      <c r="AGB28"/>
      <c r="AGC28"/>
      <c r="AGD28"/>
      <c r="AGE28"/>
      <c r="AGF28"/>
      <c r="AGG28"/>
      <c r="AGH28"/>
      <c r="AGI28"/>
      <c r="AGJ28"/>
      <c r="AGK28"/>
      <c r="AGL28"/>
      <c r="AGM28"/>
      <c r="AGN28"/>
      <c r="AGO28"/>
      <c r="AGP28"/>
      <c r="AGQ28"/>
      <c r="AGR28"/>
      <c r="AGS28"/>
      <c r="AGT28"/>
    </row>
    <row r="29" spans="1:878" ht="18" customHeight="1" x14ac:dyDescent="0.2">
      <c r="A29" s="24"/>
      <c r="B29" s="24"/>
      <c r="C29" s="24"/>
      <c r="D29" s="24"/>
      <c r="E29" s="24"/>
      <c r="F29" s="24"/>
      <c r="G29" s="24"/>
      <c r="H29" s="24"/>
      <c r="I29" s="24"/>
      <c r="J29" s="949"/>
      <c r="K29" s="949"/>
      <c r="L29" s="949"/>
      <c r="M29" s="949"/>
      <c r="N29" s="949"/>
      <c r="O29" s="949"/>
      <c r="P29" s="949"/>
      <c r="Q29" s="949"/>
      <c r="R29" s="949"/>
      <c r="S29" s="205"/>
    </row>
    <row r="30" spans="1:878" ht="18" customHeight="1" x14ac:dyDescent="0.2">
      <c r="A30" s="26" t="s">
        <v>376</v>
      </c>
    </row>
    <row r="31" spans="1:878" ht="18" customHeight="1" x14ac:dyDescent="0.2"/>
    <row r="32" spans="1:878" ht="18" customHeight="1" x14ac:dyDescent="0.2">
      <c r="A32" t="s">
        <v>377</v>
      </c>
      <c r="R32" s="24" t="s">
        <v>378</v>
      </c>
    </row>
    <row r="33" spans="1:26" ht="18" customHeight="1" x14ac:dyDescent="0.2"/>
    <row r="34" spans="1:26" ht="18" customHeight="1" x14ac:dyDescent="0.2">
      <c r="R34" s="24"/>
    </row>
    <row r="35" spans="1:26" ht="18" customHeight="1" thickBot="1" x14ac:dyDescent="0.25">
      <c r="A35" s="203"/>
      <c r="B35" s="203"/>
      <c r="C35" s="203"/>
      <c r="D35" s="203"/>
      <c r="E35" s="203"/>
      <c r="F35" s="203"/>
      <c r="G35" s="203"/>
      <c r="H35" s="203"/>
      <c r="I35" s="203"/>
      <c r="J35" s="203"/>
      <c r="K35" s="203"/>
      <c r="L35" s="203"/>
      <c r="M35" s="203"/>
      <c r="Q35" s="203"/>
      <c r="R35" s="213"/>
      <c r="S35" s="203"/>
      <c r="T35" s="203"/>
      <c r="U35" s="203"/>
      <c r="V35" s="203"/>
      <c r="W35" s="203"/>
      <c r="X35" s="203"/>
      <c r="Y35" s="203"/>
      <c r="Z35" s="203"/>
    </row>
    <row r="36" spans="1:26" ht="18" customHeight="1" x14ac:dyDescent="0.2">
      <c r="A36" s="950" t="s">
        <v>379</v>
      </c>
      <c r="B36" s="950"/>
      <c r="C36" s="950"/>
      <c r="D36" s="950"/>
      <c r="E36" s="950"/>
      <c r="F36" s="950"/>
      <c r="G36" s="950"/>
      <c r="H36" s="950"/>
      <c r="I36" s="950"/>
      <c r="J36" s="950"/>
      <c r="K36" s="950"/>
      <c r="L36" s="950"/>
      <c r="M36" s="950"/>
      <c r="R36" s="951" t="s">
        <v>380</v>
      </c>
      <c r="S36" s="951"/>
      <c r="T36" s="951"/>
      <c r="U36" s="951"/>
      <c r="V36" s="951"/>
      <c r="W36" s="951"/>
      <c r="X36" s="951"/>
      <c r="Y36" s="951"/>
      <c r="Z36" s="951"/>
    </row>
    <row r="37" spans="1:26" ht="18" customHeight="1" x14ac:dyDescent="0.2"/>
    <row r="38" spans="1:26" ht="18" customHeight="1" x14ac:dyDescent="0.2"/>
    <row r="39" spans="1:26" ht="18" customHeight="1" thickBot="1" x14ac:dyDescent="0.25">
      <c r="A39" s="214"/>
      <c r="B39" s="200"/>
      <c r="C39" s="200"/>
      <c r="D39" s="200"/>
      <c r="E39" s="200"/>
      <c r="F39" s="200"/>
      <c r="G39" s="200"/>
      <c r="H39" s="200"/>
      <c r="I39" s="200"/>
      <c r="J39" s="200"/>
      <c r="K39" s="200"/>
      <c r="L39" s="200"/>
      <c r="M39" s="200"/>
      <c r="Q39" s="203"/>
      <c r="R39" s="214"/>
      <c r="S39" s="214"/>
      <c r="T39" s="214"/>
      <c r="U39" s="214"/>
      <c r="V39" s="214"/>
      <c r="W39" s="214"/>
      <c r="X39" s="214"/>
      <c r="Y39" s="214"/>
      <c r="Z39" s="214"/>
    </row>
    <row r="40" spans="1:26" ht="18" customHeight="1" x14ac:dyDescent="0.2">
      <c r="A40" s="952" t="s">
        <v>397</v>
      </c>
      <c r="B40" s="950"/>
      <c r="C40" s="950"/>
      <c r="D40" s="950"/>
      <c r="E40" s="950"/>
      <c r="F40" s="950"/>
      <c r="G40" s="950"/>
      <c r="H40" s="950"/>
      <c r="I40" s="950"/>
      <c r="J40" s="950"/>
      <c r="K40" s="950"/>
      <c r="L40" s="950"/>
      <c r="M40" s="950"/>
      <c r="R40" s="951" t="s">
        <v>381</v>
      </c>
      <c r="S40" s="951"/>
      <c r="T40" s="951"/>
      <c r="U40" s="951"/>
      <c r="V40" s="951"/>
      <c r="W40" s="951"/>
      <c r="X40" s="951"/>
      <c r="Y40" s="951"/>
      <c r="Z40" s="951"/>
    </row>
    <row r="41" spans="1:26" ht="18" customHeight="1" x14ac:dyDescent="0.2"/>
    <row r="42" spans="1:26" ht="18" customHeight="1" x14ac:dyDescent="0.2"/>
    <row r="43" spans="1:26" ht="18" customHeight="1" x14ac:dyDescent="0.2"/>
    <row r="44" spans="1:26" ht="18" customHeight="1" x14ac:dyDescent="0.2">
      <c r="A44" s="201"/>
    </row>
    <row r="45" spans="1:26" ht="18" customHeight="1" x14ac:dyDescent="0.2">
      <c r="N45" s="953"/>
      <c r="O45" s="953"/>
      <c r="P45" s="953"/>
      <c r="Q45" s="953"/>
      <c r="W45" s="953"/>
      <c r="X45" s="953"/>
      <c r="Y45" s="953"/>
    </row>
    <row r="46" spans="1:26" ht="18" customHeight="1" x14ac:dyDescent="0.2">
      <c r="A46" s="189"/>
      <c r="W46" s="201"/>
      <c r="X46" s="201"/>
      <c r="Y46" s="201"/>
    </row>
    <row r="47" spans="1:26" ht="18" customHeight="1" x14ac:dyDescent="0.2">
      <c r="A47" s="189"/>
      <c r="W47" s="201"/>
      <c r="X47" s="201"/>
      <c r="Y47" s="201"/>
    </row>
    <row r="48" spans="1:26" ht="18" customHeight="1" x14ac:dyDescent="0.2">
      <c r="A48" s="189"/>
      <c r="W48" s="941"/>
      <c r="X48" s="941"/>
      <c r="Y48" s="201"/>
    </row>
    <row r="49" spans="1:25" ht="18" customHeight="1" x14ac:dyDescent="0.2">
      <c r="A49" s="189"/>
      <c r="W49" s="941"/>
      <c r="X49" s="941"/>
      <c r="Y49" s="201"/>
    </row>
    <row r="50" spans="1:25" ht="18" customHeight="1" x14ac:dyDescent="0.2"/>
    <row r="51" spans="1:25" ht="18" customHeight="1" x14ac:dyDescent="0.2"/>
    <row r="52" spans="1:25" ht="18" customHeight="1" x14ac:dyDescent="0.2"/>
    <row r="53" spans="1:25" ht="18" customHeight="1" x14ac:dyDescent="0.2"/>
    <row r="54" spans="1:25" ht="18" customHeight="1" x14ac:dyDescent="0.2"/>
    <row r="55" spans="1:25" ht="18" customHeight="1" x14ac:dyDescent="0.2"/>
    <row r="56" spans="1:25" ht="18" customHeight="1" x14ac:dyDescent="0.2"/>
    <row r="57" spans="1:25" ht="18" customHeight="1" x14ac:dyDescent="0.2"/>
    <row r="58" spans="1:25" ht="18" customHeight="1" x14ac:dyDescent="0.2"/>
    <row r="59" spans="1:25" ht="18" customHeight="1" x14ac:dyDescent="0.2"/>
    <row r="60" spans="1:25" ht="18" customHeight="1" x14ac:dyDescent="0.2"/>
    <row r="61" spans="1:25" ht="18" customHeight="1" x14ac:dyDescent="0.2"/>
    <row r="62" spans="1:25" ht="18" customHeight="1" x14ac:dyDescent="0.2"/>
    <row r="63" spans="1:25" ht="18" customHeight="1" x14ac:dyDescent="0.2"/>
    <row r="64" spans="1:25" ht="18" customHeight="1" x14ac:dyDescent="0.2"/>
    <row r="65" ht="18" customHeight="1" x14ac:dyDescent="0.2"/>
    <row r="66" ht="18" customHeight="1" x14ac:dyDescent="0.2"/>
    <row r="67" ht="18" customHeight="1" x14ac:dyDescent="0.2"/>
    <row r="68" ht="18" customHeight="1" x14ac:dyDescent="0.2"/>
    <row r="69" ht="18" customHeight="1" x14ac:dyDescent="0.2"/>
    <row r="70" ht="18" customHeight="1" x14ac:dyDescent="0.2"/>
    <row r="71" ht="18" customHeight="1" x14ac:dyDescent="0.2"/>
    <row r="72" ht="18" customHeight="1" x14ac:dyDescent="0.2"/>
    <row r="73" ht="18" customHeight="1" x14ac:dyDescent="0.2"/>
    <row r="74" ht="18" customHeight="1" x14ac:dyDescent="0.2"/>
    <row r="75" ht="18" customHeight="1" x14ac:dyDescent="0.2"/>
    <row r="76" ht="18" customHeight="1" x14ac:dyDescent="0.2"/>
    <row r="77" ht="18" customHeight="1" x14ac:dyDescent="0.2"/>
    <row r="78" ht="18" customHeight="1" x14ac:dyDescent="0.2"/>
    <row r="79" ht="18" customHeight="1" x14ac:dyDescent="0.2"/>
    <row r="80" ht="18" customHeight="1" x14ac:dyDescent="0.2"/>
    <row r="81" ht="18" customHeight="1" x14ac:dyDescent="0.2"/>
    <row r="82" ht="18" customHeight="1" x14ac:dyDescent="0.2"/>
    <row r="83" ht="18" customHeight="1" x14ac:dyDescent="0.2"/>
    <row r="84" ht="18" customHeight="1" x14ac:dyDescent="0.2"/>
    <row r="85" ht="18" customHeight="1" x14ac:dyDescent="0.2"/>
    <row r="86" ht="18" customHeight="1" x14ac:dyDescent="0.2"/>
    <row r="87" ht="18" customHeight="1" x14ac:dyDescent="0.2"/>
    <row r="88" ht="18" customHeight="1" x14ac:dyDescent="0.2"/>
    <row r="89" ht="18" customHeight="1" x14ac:dyDescent="0.2"/>
    <row r="90" ht="18" customHeight="1" x14ac:dyDescent="0.2"/>
    <row r="91" ht="18" customHeight="1" x14ac:dyDescent="0.2"/>
    <row r="92" ht="18" customHeight="1" x14ac:dyDescent="0.2"/>
    <row r="93" ht="18" customHeight="1" x14ac:dyDescent="0.2"/>
    <row r="94" ht="18" customHeight="1" x14ac:dyDescent="0.2"/>
    <row r="95" ht="18" customHeight="1" x14ac:dyDescent="0.2"/>
    <row r="96" ht="18" customHeight="1" x14ac:dyDescent="0.2"/>
    <row r="97" ht="18" customHeight="1" x14ac:dyDescent="0.2"/>
    <row r="98" ht="18" customHeight="1" x14ac:dyDescent="0.2"/>
    <row r="99" ht="18" customHeight="1" x14ac:dyDescent="0.2"/>
    <row r="100" ht="18" customHeight="1" x14ac:dyDescent="0.2"/>
    <row r="101" ht="18" customHeight="1" x14ac:dyDescent="0.2"/>
    <row r="102" ht="18" customHeight="1" x14ac:dyDescent="0.2"/>
    <row r="103" ht="18" customHeight="1" x14ac:dyDescent="0.2"/>
    <row r="104" ht="18" customHeight="1" x14ac:dyDescent="0.2"/>
    <row r="105" ht="18" customHeight="1" x14ac:dyDescent="0.2"/>
    <row r="106" ht="18" customHeight="1" x14ac:dyDescent="0.2"/>
    <row r="107" ht="18" customHeight="1" x14ac:dyDescent="0.2"/>
    <row r="108" ht="18" customHeight="1" x14ac:dyDescent="0.2"/>
    <row r="109" ht="18" customHeight="1" x14ac:dyDescent="0.2"/>
    <row r="110" ht="18" customHeight="1" x14ac:dyDescent="0.2"/>
    <row r="111" ht="18" customHeight="1" x14ac:dyDescent="0.2"/>
    <row r="112" ht="18" customHeight="1" x14ac:dyDescent="0.2"/>
    <row r="113" ht="18" customHeight="1" x14ac:dyDescent="0.2"/>
    <row r="114" ht="18" customHeight="1" x14ac:dyDescent="0.2"/>
    <row r="115" ht="18" customHeight="1" x14ac:dyDescent="0.2"/>
    <row r="116" ht="18" customHeight="1" x14ac:dyDescent="0.2"/>
    <row r="117" ht="18" customHeight="1" x14ac:dyDescent="0.2"/>
    <row r="118" ht="18" customHeight="1" x14ac:dyDescent="0.2"/>
    <row r="119" ht="18" customHeight="1" x14ac:dyDescent="0.2"/>
    <row r="120" ht="18" customHeight="1" x14ac:dyDescent="0.2"/>
    <row r="121" ht="18" customHeight="1" x14ac:dyDescent="0.2"/>
    <row r="122" ht="18" customHeight="1" x14ac:dyDescent="0.2"/>
    <row r="123" ht="18" customHeight="1" x14ac:dyDescent="0.2"/>
    <row r="124" ht="18" customHeight="1" x14ac:dyDescent="0.2"/>
    <row r="125" ht="18" customHeight="1" x14ac:dyDescent="0.2"/>
    <row r="126" ht="18" customHeight="1" x14ac:dyDescent="0.2"/>
    <row r="127" ht="18" customHeight="1" x14ac:dyDescent="0.2"/>
    <row r="128" ht="18" customHeight="1" x14ac:dyDescent="0.2"/>
    <row r="129" ht="18" customHeight="1" x14ac:dyDescent="0.2"/>
    <row r="130" ht="18" customHeight="1" x14ac:dyDescent="0.2"/>
    <row r="131" ht="18" customHeight="1" x14ac:dyDescent="0.2"/>
    <row r="132" ht="18" customHeight="1" x14ac:dyDescent="0.2"/>
    <row r="133" ht="18" customHeight="1" x14ac:dyDescent="0.2"/>
    <row r="134" ht="18" customHeight="1" x14ac:dyDescent="0.2"/>
    <row r="135" ht="18" customHeight="1" x14ac:dyDescent="0.2"/>
    <row r="136" ht="18" customHeight="1" x14ac:dyDescent="0.2"/>
    <row r="137" ht="18" customHeight="1" x14ac:dyDescent="0.2"/>
    <row r="138" ht="18" customHeight="1" x14ac:dyDescent="0.2"/>
    <row r="139" ht="18" customHeight="1" x14ac:dyDescent="0.2"/>
    <row r="140" ht="18" customHeight="1" x14ac:dyDescent="0.2"/>
    <row r="141" ht="18" customHeight="1" x14ac:dyDescent="0.2"/>
    <row r="142" ht="18" customHeight="1" x14ac:dyDescent="0.2"/>
    <row r="143" ht="18" customHeight="1" x14ac:dyDescent="0.2"/>
    <row r="144" ht="18" customHeight="1" x14ac:dyDescent="0.2"/>
    <row r="145" ht="18" customHeight="1" x14ac:dyDescent="0.2"/>
    <row r="146" ht="18" customHeight="1" x14ac:dyDescent="0.2"/>
    <row r="147" ht="18" customHeight="1" x14ac:dyDescent="0.2"/>
    <row r="148" ht="18" customHeight="1" x14ac:dyDescent="0.2"/>
    <row r="149" ht="18" customHeight="1" x14ac:dyDescent="0.2"/>
    <row r="150" ht="18" customHeight="1" x14ac:dyDescent="0.2"/>
    <row r="151" ht="18" customHeight="1" x14ac:dyDescent="0.2"/>
    <row r="152" ht="18" customHeight="1" x14ac:dyDescent="0.2"/>
    <row r="153" ht="18" customHeight="1" x14ac:dyDescent="0.2"/>
    <row r="154" ht="18" customHeight="1" x14ac:dyDescent="0.2"/>
    <row r="155" ht="18" customHeight="1" x14ac:dyDescent="0.2"/>
    <row r="156" ht="18" customHeight="1" x14ac:dyDescent="0.2"/>
    <row r="157" ht="18" customHeight="1" x14ac:dyDescent="0.2"/>
    <row r="158" ht="18" customHeight="1" x14ac:dyDescent="0.2"/>
    <row r="159" ht="18" customHeight="1" x14ac:dyDescent="0.2"/>
    <row r="160" ht="18" customHeight="1" x14ac:dyDescent="0.2"/>
    <row r="161" ht="18" customHeight="1" x14ac:dyDescent="0.2"/>
    <row r="162" ht="18" customHeight="1" x14ac:dyDescent="0.2"/>
    <row r="163" ht="18" customHeight="1" x14ac:dyDescent="0.2"/>
    <row r="164" ht="18" customHeight="1" x14ac:dyDescent="0.2"/>
    <row r="165" ht="18" customHeight="1" x14ac:dyDescent="0.2"/>
    <row r="166" ht="18" customHeight="1" x14ac:dyDescent="0.2"/>
    <row r="167" ht="18" customHeight="1" x14ac:dyDescent="0.2"/>
    <row r="168" ht="18" customHeight="1" x14ac:dyDescent="0.2"/>
    <row r="169" ht="18" customHeight="1" x14ac:dyDescent="0.2"/>
    <row r="170" ht="18" customHeight="1" x14ac:dyDescent="0.2"/>
    <row r="171" ht="18" customHeight="1" x14ac:dyDescent="0.2"/>
    <row r="172" ht="18" customHeight="1" x14ac:dyDescent="0.2"/>
    <row r="173" ht="18" customHeight="1" x14ac:dyDescent="0.2"/>
    <row r="174" ht="18" customHeight="1" x14ac:dyDescent="0.2"/>
    <row r="175" ht="18" customHeight="1" x14ac:dyDescent="0.2"/>
    <row r="176" ht="18" customHeight="1" x14ac:dyDescent="0.2"/>
    <row r="177" ht="18" customHeight="1" x14ac:dyDescent="0.2"/>
    <row r="178" ht="18" customHeight="1" x14ac:dyDescent="0.2"/>
    <row r="179" ht="18" customHeight="1" x14ac:dyDescent="0.2"/>
    <row r="180" ht="18" customHeight="1" x14ac:dyDescent="0.2"/>
    <row r="181" ht="18" customHeight="1" x14ac:dyDescent="0.2"/>
    <row r="182" ht="18" customHeight="1" x14ac:dyDescent="0.2"/>
    <row r="183" ht="18" customHeight="1" x14ac:dyDescent="0.2"/>
    <row r="184" ht="18" customHeight="1" x14ac:dyDescent="0.2"/>
    <row r="185" ht="18" customHeight="1" x14ac:dyDescent="0.2"/>
    <row r="186" ht="18" customHeight="1" x14ac:dyDescent="0.2"/>
    <row r="187" ht="18" customHeight="1" x14ac:dyDescent="0.2"/>
    <row r="188" ht="18" customHeight="1" x14ac:dyDescent="0.2"/>
    <row r="189" ht="18" customHeight="1" x14ac:dyDescent="0.2"/>
    <row r="190" ht="18" customHeight="1" x14ac:dyDescent="0.2"/>
    <row r="191" ht="18" customHeight="1" x14ac:dyDescent="0.2"/>
    <row r="192" ht="18" customHeight="1" x14ac:dyDescent="0.2"/>
    <row r="193" ht="18" customHeight="1" x14ac:dyDescent="0.2"/>
    <row r="194" ht="18" customHeight="1" x14ac:dyDescent="0.2"/>
    <row r="195" ht="18" customHeight="1" x14ac:dyDescent="0.2"/>
    <row r="196" ht="18" customHeight="1" x14ac:dyDescent="0.2"/>
    <row r="197" ht="18" customHeight="1" x14ac:dyDescent="0.2"/>
    <row r="198" ht="18" customHeight="1" x14ac:dyDescent="0.2"/>
    <row r="199" ht="18" customHeight="1" x14ac:dyDescent="0.2"/>
    <row r="200" ht="18" customHeight="1" x14ac:dyDescent="0.2"/>
    <row r="201" ht="18" customHeight="1" x14ac:dyDescent="0.2"/>
    <row r="202" ht="18" customHeight="1" x14ac:dyDescent="0.2"/>
    <row r="203" ht="18" customHeight="1" x14ac:dyDescent="0.2"/>
    <row r="204" ht="18" customHeight="1" x14ac:dyDescent="0.2"/>
    <row r="205" ht="18" customHeight="1" x14ac:dyDescent="0.2"/>
    <row r="206" ht="18" customHeight="1" x14ac:dyDescent="0.2"/>
    <row r="207" ht="18" customHeight="1" x14ac:dyDescent="0.2"/>
    <row r="208" ht="18" customHeight="1" x14ac:dyDescent="0.2"/>
    <row r="209" ht="18" customHeight="1" x14ac:dyDescent="0.2"/>
    <row r="210" ht="18" customHeight="1" x14ac:dyDescent="0.2"/>
    <row r="211" ht="18" customHeight="1" x14ac:dyDescent="0.2"/>
    <row r="212" ht="18" customHeight="1" x14ac:dyDescent="0.2"/>
    <row r="213" ht="18" customHeight="1" x14ac:dyDescent="0.2"/>
    <row r="214" ht="18" customHeight="1" x14ac:dyDescent="0.2"/>
    <row r="215" ht="18" customHeight="1" x14ac:dyDescent="0.2"/>
    <row r="216" ht="18" customHeight="1" x14ac:dyDescent="0.2"/>
    <row r="217" ht="18" customHeight="1" x14ac:dyDescent="0.2"/>
    <row r="218" ht="18" customHeight="1" x14ac:dyDescent="0.2"/>
    <row r="219" ht="18" customHeight="1" x14ac:dyDescent="0.2"/>
    <row r="220" ht="18" customHeight="1" x14ac:dyDescent="0.2"/>
    <row r="221" ht="18" customHeight="1" x14ac:dyDescent="0.2"/>
    <row r="222" ht="18" customHeight="1" x14ac:dyDescent="0.2"/>
    <row r="223" ht="18" customHeight="1" x14ac:dyDescent="0.2"/>
    <row r="224" ht="18" customHeight="1" x14ac:dyDescent="0.2"/>
    <row r="225" ht="18" customHeight="1" x14ac:dyDescent="0.2"/>
    <row r="226" ht="18" customHeight="1" x14ac:dyDescent="0.2"/>
    <row r="227" ht="18" customHeight="1" x14ac:dyDescent="0.2"/>
    <row r="228" ht="18" customHeight="1" x14ac:dyDescent="0.2"/>
    <row r="229" ht="18" customHeight="1" x14ac:dyDescent="0.2"/>
    <row r="230" ht="18" customHeight="1" x14ac:dyDescent="0.2"/>
    <row r="231" ht="18" customHeight="1" x14ac:dyDescent="0.2"/>
    <row r="232" ht="18" customHeight="1" x14ac:dyDescent="0.2"/>
    <row r="233" ht="18" customHeight="1" x14ac:dyDescent="0.2"/>
    <row r="234" ht="18" customHeight="1" x14ac:dyDescent="0.2"/>
    <row r="235" ht="18" customHeight="1" x14ac:dyDescent="0.2"/>
    <row r="236" ht="18" customHeight="1" x14ac:dyDescent="0.2"/>
    <row r="237" ht="18" customHeight="1" x14ac:dyDescent="0.2"/>
    <row r="238" ht="18" customHeight="1" x14ac:dyDescent="0.2"/>
    <row r="239" ht="18" customHeight="1" x14ac:dyDescent="0.2"/>
    <row r="240" ht="18" customHeight="1" x14ac:dyDescent="0.2"/>
    <row r="241" ht="18" customHeight="1" x14ac:dyDescent="0.2"/>
    <row r="242" ht="18" customHeight="1" x14ac:dyDescent="0.2"/>
    <row r="243" ht="18" customHeight="1" x14ac:dyDescent="0.2"/>
    <row r="244" ht="18" customHeight="1" x14ac:dyDescent="0.2"/>
    <row r="245" ht="18" customHeight="1" x14ac:dyDescent="0.2"/>
    <row r="246" ht="18" customHeight="1" x14ac:dyDescent="0.2"/>
    <row r="247" ht="18" customHeight="1" x14ac:dyDescent="0.2"/>
    <row r="248" ht="18" customHeight="1" x14ac:dyDescent="0.2"/>
    <row r="249" ht="18" customHeight="1" x14ac:dyDescent="0.2"/>
    <row r="250" ht="18" customHeight="1" x14ac:dyDescent="0.2"/>
    <row r="251" ht="18" customHeight="1" x14ac:dyDescent="0.2"/>
    <row r="252" ht="18" customHeight="1" x14ac:dyDescent="0.2"/>
    <row r="253" ht="18" customHeight="1" x14ac:dyDescent="0.2"/>
    <row r="254" ht="18" customHeight="1" x14ac:dyDescent="0.2"/>
    <row r="255" ht="18" customHeight="1" x14ac:dyDescent="0.2"/>
    <row r="256" ht="18" customHeight="1" x14ac:dyDescent="0.2"/>
    <row r="257" ht="18" customHeight="1" x14ac:dyDescent="0.2"/>
    <row r="258" ht="18" customHeight="1" x14ac:dyDescent="0.2"/>
    <row r="259" ht="18" customHeight="1" x14ac:dyDescent="0.2"/>
    <row r="260" ht="18" customHeight="1" x14ac:dyDescent="0.2"/>
    <row r="261" ht="18" customHeight="1" x14ac:dyDescent="0.2"/>
    <row r="262" ht="18" customHeight="1" x14ac:dyDescent="0.2"/>
    <row r="263" ht="18" customHeight="1" x14ac:dyDescent="0.2"/>
    <row r="264" ht="18" customHeight="1" x14ac:dyDescent="0.2"/>
    <row r="265" ht="18" customHeight="1" x14ac:dyDescent="0.2"/>
    <row r="266" ht="18" customHeight="1" x14ac:dyDescent="0.2"/>
    <row r="267" ht="18" customHeight="1" x14ac:dyDescent="0.2"/>
    <row r="268" ht="18" customHeight="1" x14ac:dyDescent="0.2"/>
    <row r="269" ht="18" customHeight="1" x14ac:dyDescent="0.2"/>
    <row r="270" ht="18" customHeight="1" x14ac:dyDescent="0.2"/>
    <row r="271" ht="18" customHeight="1" x14ac:dyDescent="0.2"/>
    <row r="272" ht="18" customHeight="1" x14ac:dyDescent="0.2"/>
    <row r="273" ht="18" customHeight="1" x14ac:dyDescent="0.2"/>
    <row r="274" ht="18" customHeight="1" x14ac:dyDescent="0.2"/>
    <row r="275" ht="18" customHeight="1" x14ac:dyDescent="0.2"/>
    <row r="276" ht="18" customHeight="1" x14ac:dyDescent="0.2"/>
    <row r="277" ht="18" customHeight="1" x14ac:dyDescent="0.2"/>
    <row r="278" ht="18" customHeight="1" x14ac:dyDescent="0.2"/>
    <row r="279" ht="18" customHeight="1" x14ac:dyDescent="0.2"/>
    <row r="280" ht="18" customHeight="1" x14ac:dyDescent="0.2"/>
    <row r="281" ht="18" customHeight="1" x14ac:dyDescent="0.2"/>
    <row r="282" ht="18" customHeight="1" x14ac:dyDescent="0.2"/>
    <row r="283" ht="18" customHeight="1" x14ac:dyDescent="0.2"/>
    <row r="284" ht="18" customHeight="1" x14ac:dyDescent="0.2"/>
    <row r="285" ht="18" customHeight="1" x14ac:dyDescent="0.2"/>
    <row r="286" ht="18" customHeight="1" x14ac:dyDescent="0.2"/>
    <row r="287" ht="18" customHeight="1" x14ac:dyDescent="0.2"/>
    <row r="288" ht="18" customHeight="1" x14ac:dyDescent="0.2"/>
    <row r="289" ht="18" customHeight="1" x14ac:dyDescent="0.2"/>
    <row r="290" ht="18" customHeight="1" x14ac:dyDescent="0.2"/>
    <row r="291" ht="18" customHeight="1" x14ac:dyDescent="0.2"/>
    <row r="292" ht="18" customHeight="1" x14ac:dyDescent="0.2"/>
    <row r="293" ht="18" customHeight="1" x14ac:dyDescent="0.2"/>
    <row r="294" ht="18" customHeight="1" x14ac:dyDescent="0.2"/>
    <row r="295" ht="18" customHeight="1" x14ac:dyDescent="0.2"/>
    <row r="296" ht="18" customHeight="1" x14ac:dyDescent="0.2"/>
    <row r="297" ht="18" customHeight="1" x14ac:dyDescent="0.2"/>
    <row r="298" ht="18" customHeight="1" x14ac:dyDescent="0.2"/>
    <row r="299" ht="18" customHeight="1" x14ac:dyDescent="0.2"/>
    <row r="300" ht="18" customHeight="1" x14ac:dyDescent="0.2"/>
    <row r="301" ht="18" customHeight="1" x14ac:dyDescent="0.2"/>
    <row r="302" ht="18" customHeight="1" x14ac:dyDescent="0.2"/>
    <row r="303" ht="18" customHeight="1" x14ac:dyDescent="0.2"/>
    <row r="304" ht="18" customHeight="1" x14ac:dyDescent="0.2"/>
    <row r="305" ht="18" customHeight="1" x14ac:dyDescent="0.2"/>
    <row r="306" ht="18" customHeight="1" x14ac:dyDescent="0.2"/>
    <row r="307" ht="18" customHeight="1" x14ac:dyDescent="0.2"/>
    <row r="308" ht="18" customHeight="1" x14ac:dyDescent="0.2"/>
    <row r="309" ht="18" customHeight="1" x14ac:dyDescent="0.2"/>
    <row r="310" ht="18" customHeight="1" x14ac:dyDescent="0.2"/>
    <row r="311" ht="18" customHeight="1" x14ac:dyDescent="0.2"/>
    <row r="312" ht="18" customHeight="1" x14ac:dyDescent="0.2"/>
    <row r="313" ht="18" customHeight="1" x14ac:dyDescent="0.2"/>
    <row r="314" ht="18" customHeight="1" x14ac:dyDescent="0.2"/>
    <row r="315" ht="18" customHeight="1" x14ac:dyDescent="0.2"/>
    <row r="316" ht="18" customHeight="1" x14ac:dyDescent="0.2"/>
    <row r="317" ht="18" customHeight="1" x14ac:dyDescent="0.2"/>
    <row r="318" ht="18" customHeight="1" x14ac:dyDescent="0.2"/>
    <row r="319" ht="18" customHeight="1" x14ac:dyDescent="0.2"/>
    <row r="320" ht="18" customHeight="1" x14ac:dyDescent="0.2"/>
    <row r="321" ht="18" customHeight="1" x14ac:dyDescent="0.2"/>
    <row r="322" ht="18" customHeight="1" x14ac:dyDescent="0.2"/>
    <row r="323" ht="18" customHeight="1" x14ac:dyDescent="0.2"/>
    <row r="324" ht="18" customHeight="1" x14ac:dyDescent="0.2"/>
    <row r="325" ht="18" customHeight="1" x14ac:dyDescent="0.2"/>
    <row r="326" ht="18" customHeight="1" x14ac:dyDescent="0.2"/>
    <row r="327" ht="18" customHeight="1" x14ac:dyDescent="0.2"/>
    <row r="328" ht="18" customHeight="1" x14ac:dyDescent="0.2"/>
    <row r="329" ht="18" customHeight="1" x14ac:dyDescent="0.2"/>
    <row r="330" ht="18" customHeight="1" x14ac:dyDescent="0.2"/>
    <row r="331" ht="18" customHeight="1" x14ac:dyDescent="0.2"/>
    <row r="332" ht="18" customHeight="1" x14ac:dyDescent="0.2"/>
    <row r="333" ht="18" customHeight="1" x14ac:dyDescent="0.2"/>
    <row r="334" ht="18" customHeight="1" x14ac:dyDescent="0.2"/>
    <row r="335" ht="18" customHeight="1" x14ac:dyDescent="0.2"/>
    <row r="336" ht="18" customHeight="1" x14ac:dyDescent="0.2"/>
    <row r="337" ht="18" customHeight="1" x14ac:dyDescent="0.2"/>
    <row r="338" ht="18" customHeight="1" x14ac:dyDescent="0.2"/>
    <row r="339" ht="18" customHeight="1" x14ac:dyDescent="0.2"/>
    <row r="340" ht="18" customHeight="1" x14ac:dyDescent="0.2"/>
    <row r="341" ht="18" customHeight="1" x14ac:dyDescent="0.2"/>
    <row r="342" ht="18" customHeight="1" x14ac:dyDescent="0.2"/>
    <row r="343" ht="18" customHeight="1" x14ac:dyDescent="0.2"/>
    <row r="344" ht="18" customHeight="1" x14ac:dyDescent="0.2"/>
    <row r="345" ht="18" customHeight="1" x14ac:dyDescent="0.2"/>
    <row r="346" ht="18" customHeight="1" x14ac:dyDescent="0.2"/>
    <row r="347" ht="18" customHeight="1" x14ac:dyDescent="0.2"/>
    <row r="348" ht="18" customHeight="1" x14ac:dyDescent="0.2"/>
    <row r="349" ht="18" customHeight="1" x14ac:dyDescent="0.2"/>
    <row r="350" ht="18" customHeight="1" x14ac:dyDescent="0.2"/>
    <row r="351" ht="18" customHeight="1" x14ac:dyDescent="0.2"/>
    <row r="352" ht="18" customHeight="1" x14ac:dyDescent="0.2"/>
    <row r="353" ht="18" customHeight="1" x14ac:dyDescent="0.2"/>
    <row r="354" ht="18" customHeight="1" x14ac:dyDescent="0.2"/>
    <row r="355" ht="18" customHeight="1" x14ac:dyDescent="0.2"/>
    <row r="356" ht="18" customHeight="1" x14ac:dyDescent="0.2"/>
    <row r="357" ht="18" customHeight="1" x14ac:dyDescent="0.2"/>
    <row r="358" ht="18" customHeight="1" x14ac:dyDescent="0.2"/>
    <row r="359" ht="18" customHeight="1" x14ac:dyDescent="0.2"/>
    <row r="360" ht="18" customHeight="1" x14ac:dyDescent="0.2"/>
    <row r="361" ht="18" customHeight="1" x14ac:dyDescent="0.2"/>
    <row r="362" ht="18" customHeight="1" x14ac:dyDescent="0.2"/>
    <row r="363" ht="18" customHeight="1" x14ac:dyDescent="0.2"/>
    <row r="364" ht="18" customHeight="1" x14ac:dyDescent="0.2"/>
    <row r="365" ht="18" customHeight="1" x14ac:dyDescent="0.2"/>
    <row r="366" ht="18" customHeight="1" x14ac:dyDescent="0.2"/>
    <row r="367" ht="18" customHeight="1" x14ac:dyDescent="0.2"/>
    <row r="368" ht="18" customHeight="1" x14ac:dyDescent="0.2"/>
    <row r="369" ht="18" customHeight="1" x14ac:dyDescent="0.2"/>
    <row r="370" ht="18" customHeight="1" x14ac:dyDescent="0.2"/>
    <row r="371" ht="18" customHeight="1" x14ac:dyDescent="0.2"/>
    <row r="372" ht="18" customHeight="1" x14ac:dyDescent="0.2"/>
    <row r="373" ht="18" customHeight="1" x14ac:dyDescent="0.2"/>
    <row r="374" ht="18" customHeight="1" x14ac:dyDescent="0.2"/>
    <row r="375" ht="18" customHeight="1" x14ac:dyDescent="0.2"/>
    <row r="376" ht="18" customHeight="1" x14ac:dyDescent="0.2"/>
    <row r="377" ht="18" customHeight="1" x14ac:dyDescent="0.2"/>
    <row r="378" ht="18" customHeight="1" x14ac:dyDescent="0.2"/>
    <row r="379" ht="18" customHeight="1" x14ac:dyDescent="0.2"/>
    <row r="380" ht="18" customHeight="1" x14ac:dyDescent="0.2"/>
    <row r="381" ht="18" customHeight="1" x14ac:dyDescent="0.2"/>
    <row r="382" ht="18" customHeight="1" x14ac:dyDescent="0.2"/>
    <row r="383" ht="18" customHeight="1" x14ac:dyDescent="0.2"/>
    <row r="384" ht="18" customHeight="1" x14ac:dyDescent="0.2"/>
    <row r="385" ht="18" customHeight="1" x14ac:dyDescent="0.2"/>
    <row r="386" ht="18" customHeight="1" x14ac:dyDescent="0.2"/>
    <row r="387" ht="18" customHeight="1" x14ac:dyDescent="0.2"/>
    <row r="388" ht="18" customHeight="1" x14ac:dyDescent="0.2"/>
    <row r="389" ht="18" customHeight="1" x14ac:dyDescent="0.2"/>
    <row r="390" ht="18" customHeight="1" x14ac:dyDescent="0.2"/>
    <row r="391" ht="18" customHeight="1" x14ac:dyDescent="0.2"/>
    <row r="392" ht="18" customHeight="1" x14ac:dyDescent="0.2"/>
    <row r="393" ht="18" customHeight="1" x14ac:dyDescent="0.2"/>
    <row r="394" ht="18" customHeight="1" x14ac:dyDescent="0.2"/>
    <row r="395" ht="18" customHeight="1" x14ac:dyDescent="0.2"/>
    <row r="396" ht="18" customHeight="1" x14ac:dyDescent="0.2"/>
    <row r="397" ht="18" customHeight="1" x14ac:dyDescent="0.2"/>
    <row r="398" ht="18" customHeight="1" x14ac:dyDescent="0.2"/>
    <row r="399" ht="18" customHeight="1" x14ac:dyDescent="0.2"/>
    <row r="400" ht="18" customHeight="1" x14ac:dyDescent="0.2"/>
    <row r="401" ht="18" customHeight="1" x14ac:dyDescent="0.2"/>
    <row r="402" ht="18" customHeight="1" x14ac:dyDescent="0.2"/>
    <row r="403" ht="18" customHeight="1" x14ac:dyDescent="0.2"/>
    <row r="404" ht="18" customHeight="1" x14ac:dyDescent="0.2"/>
    <row r="405" ht="18" customHeight="1" x14ac:dyDescent="0.2"/>
    <row r="406" ht="18" customHeight="1" x14ac:dyDescent="0.2"/>
    <row r="407" ht="18" customHeight="1" x14ac:dyDescent="0.2"/>
    <row r="408" ht="18" customHeight="1" x14ac:dyDescent="0.2"/>
    <row r="409" ht="18" customHeight="1" x14ac:dyDescent="0.2"/>
    <row r="410" ht="18" customHeight="1" x14ac:dyDescent="0.2"/>
    <row r="411" ht="18" customHeight="1" x14ac:dyDescent="0.2"/>
    <row r="412" ht="18" customHeight="1" x14ac:dyDescent="0.2"/>
    <row r="413" ht="18" customHeight="1" x14ac:dyDescent="0.2"/>
    <row r="414" ht="18" customHeight="1" x14ac:dyDescent="0.2"/>
    <row r="415" ht="18" customHeight="1" x14ac:dyDescent="0.2"/>
    <row r="416" ht="18" customHeight="1" x14ac:dyDescent="0.2"/>
    <row r="417" ht="18" customHeight="1" x14ac:dyDescent="0.2"/>
    <row r="418" ht="18" customHeight="1" x14ac:dyDescent="0.2"/>
    <row r="419" ht="18" customHeight="1" x14ac:dyDescent="0.2"/>
    <row r="420" ht="18" customHeight="1" x14ac:dyDescent="0.2"/>
    <row r="421" ht="18" customHeight="1" x14ac:dyDescent="0.2"/>
    <row r="422" ht="18" customHeight="1" x14ac:dyDescent="0.2"/>
    <row r="423" ht="18" customHeight="1" x14ac:dyDescent="0.2"/>
    <row r="424" ht="18" customHeight="1" x14ac:dyDescent="0.2"/>
    <row r="425" ht="18" customHeight="1" x14ac:dyDescent="0.2"/>
    <row r="426" ht="18" customHeight="1" x14ac:dyDescent="0.2"/>
    <row r="427" ht="18" customHeight="1" x14ac:dyDescent="0.2"/>
    <row r="428" ht="18" customHeight="1" x14ac:dyDescent="0.2"/>
    <row r="429" ht="18" customHeight="1" x14ac:dyDescent="0.2"/>
    <row r="430" ht="18" customHeight="1" x14ac:dyDescent="0.2"/>
    <row r="431" ht="18" customHeight="1" x14ac:dyDescent="0.2"/>
    <row r="432" ht="18" customHeight="1" x14ac:dyDescent="0.2"/>
    <row r="433" ht="18" customHeight="1" x14ac:dyDescent="0.2"/>
    <row r="434" ht="18" customHeight="1" x14ac:dyDescent="0.2"/>
    <row r="435" ht="18" customHeight="1" x14ac:dyDescent="0.2"/>
    <row r="436" ht="18" customHeight="1" x14ac:dyDescent="0.2"/>
    <row r="437" ht="18" customHeight="1" x14ac:dyDescent="0.2"/>
    <row r="438" ht="18" customHeight="1" x14ac:dyDescent="0.2"/>
    <row r="439" ht="18" customHeight="1" x14ac:dyDescent="0.2"/>
    <row r="440" ht="18" customHeight="1" x14ac:dyDescent="0.2"/>
    <row r="441" ht="18" customHeight="1" x14ac:dyDescent="0.2"/>
    <row r="442" ht="18" customHeight="1" x14ac:dyDescent="0.2"/>
    <row r="443" ht="18" customHeight="1" x14ac:dyDescent="0.2"/>
    <row r="444" ht="18" customHeight="1" x14ac:dyDescent="0.2"/>
    <row r="445" ht="18" customHeight="1" x14ac:dyDescent="0.2"/>
    <row r="446" ht="18" customHeight="1" x14ac:dyDescent="0.2"/>
    <row r="447" ht="18" customHeight="1" x14ac:dyDescent="0.2"/>
    <row r="448" ht="18" customHeight="1" x14ac:dyDescent="0.2"/>
    <row r="449" ht="18" customHeight="1" x14ac:dyDescent="0.2"/>
    <row r="450" ht="18" customHeight="1" x14ac:dyDescent="0.2"/>
    <row r="451" ht="18" customHeight="1" x14ac:dyDescent="0.2"/>
    <row r="452" ht="18" customHeight="1" x14ac:dyDescent="0.2"/>
    <row r="453" ht="18" customHeight="1" x14ac:dyDescent="0.2"/>
    <row r="454" ht="18" customHeight="1" x14ac:dyDescent="0.2"/>
    <row r="455" ht="18" customHeight="1" x14ac:dyDescent="0.2"/>
    <row r="456" ht="18" customHeight="1" x14ac:dyDescent="0.2"/>
    <row r="457" ht="18" customHeight="1" x14ac:dyDescent="0.2"/>
    <row r="458" ht="18" customHeight="1" x14ac:dyDescent="0.2"/>
    <row r="459" ht="18" customHeight="1" x14ac:dyDescent="0.2"/>
    <row r="460" ht="18" customHeight="1" x14ac:dyDescent="0.2"/>
    <row r="461" ht="18" customHeight="1" x14ac:dyDescent="0.2"/>
    <row r="462" ht="18" customHeight="1" x14ac:dyDescent="0.2"/>
    <row r="463" ht="18" customHeight="1" x14ac:dyDescent="0.2"/>
    <row r="464" ht="18" customHeight="1" x14ac:dyDescent="0.2"/>
    <row r="465" ht="18" customHeight="1" x14ac:dyDescent="0.2"/>
    <row r="466" ht="18" customHeight="1" x14ac:dyDescent="0.2"/>
    <row r="467" ht="18" customHeight="1" x14ac:dyDescent="0.2"/>
    <row r="468" ht="18" customHeight="1" x14ac:dyDescent="0.2"/>
    <row r="469" ht="18" customHeight="1" x14ac:dyDescent="0.2"/>
    <row r="470" ht="18" customHeight="1" x14ac:dyDescent="0.2"/>
    <row r="471" ht="18" customHeight="1" x14ac:dyDescent="0.2"/>
    <row r="472" ht="18" customHeight="1" x14ac:dyDescent="0.2"/>
    <row r="473" ht="18" customHeight="1" x14ac:dyDescent="0.2"/>
    <row r="474" ht="18" customHeight="1" x14ac:dyDescent="0.2"/>
    <row r="475" ht="18" customHeight="1" x14ac:dyDescent="0.2"/>
    <row r="476" ht="18" customHeight="1" x14ac:dyDescent="0.2"/>
    <row r="477" ht="18" customHeight="1" x14ac:dyDescent="0.2"/>
    <row r="478" ht="18" customHeight="1" x14ac:dyDescent="0.2"/>
    <row r="479" ht="18" customHeight="1" x14ac:dyDescent="0.2"/>
    <row r="480" ht="18" customHeight="1" x14ac:dyDescent="0.2"/>
    <row r="481" ht="18" customHeight="1" x14ac:dyDescent="0.2"/>
    <row r="482" ht="18" customHeight="1" x14ac:dyDescent="0.2"/>
    <row r="483" ht="18" customHeight="1" x14ac:dyDescent="0.2"/>
    <row r="484" ht="18" customHeight="1" x14ac:dyDescent="0.2"/>
    <row r="485" ht="18" customHeight="1" x14ac:dyDescent="0.2"/>
    <row r="486" ht="18" customHeight="1" x14ac:dyDescent="0.2"/>
    <row r="487" ht="18" customHeight="1" x14ac:dyDescent="0.2"/>
    <row r="488" ht="18" customHeight="1" x14ac:dyDescent="0.2"/>
    <row r="489" ht="18" customHeight="1" x14ac:dyDescent="0.2"/>
    <row r="490" ht="18" customHeight="1" x14ac:dyDescent="0.2"/>
    <row r="491" ht="18" customHeight="1" x14ac:dyDescent="0.2"/>
    <row r="492" ht="18" customHeight="1" x14ac:dyDescent="0.2"/>
    <row r="493" ht="18" customHeight="1" x14ac:dyDescent="0.2"/>
    <row r="494" ht="18" customHeight="1" x14ac:dyDescent="0.2"/>
    <row r="495" ht="18" customHeight="1" x14ac:dyDescent="0.2"/>
    <row r="496" ht="18" customHeight="1" x14ac:dyDescent="0.2"/>
    <row r="497" ht="18" customHeight="1" x14ac:dyDescent="0.2"/>
    <row r="498" ht="18" customHeight="1" x14ac:dyDescent="0.2"/>
    <row r="499" ht="18" customHeight="1" x14ac:dyDescent="0.2"/>
    <row r="500" ht="18" customHeight="1" x14ac:dyDescent="0.2"/>
    <row r="501" ht="18" customHeight="1" x14ac:dyDescent="0.2"/>
    <row r="502" ht="18" customHeight="1" x14ac:dyDescent="0.2"/>
    <row r="503" ht="18" customHeight="1" x14ac:dyDescent="0.2"/>
    <row r="504" ht="18" customHeight="1" x14ac:dyDescent="0.2"/>
    <row r="505" ht="18" customHeight="1" x14ac:dyDescent="0.2"/>
    <row r="506" ht="18" customHeight="1" x14ac:dyDescent="0.2"/>
    <row r="507" ht="18" customHeight="1" x14ac:dyDescent="0.2"/>
    <row r="508" ht="18" customHeight="1" x14ac:dyDescent="0.2"/>
    <row r="509" ht="18" customHeight="1" x14ac:dyDescent="0.2"/>
    <row r="510" ht="18" customHeight="1" x14ac:dyDescent="0.2"/>
    <row r="511" ht="18" customHeight="1" x14ac:dyDescent="0.2"/>
    <row r="512" ht="18" customHeight="1" x14ac:dyDescent="0.2"/>
    <row r="513" ht="18" customHeight="1" x14ac:dyDescent="0.2"/>
    <row r="514" ht="18" customHeight="1" x14ac:dyDescent="0.2"/>
    <row r="515" ht="18" customHeight="1" x14ac:dyDescent="0.2"/>
    <row r="516" ht="18" customHeight="1" x14ac:dyDescent="0.2"/>
    <row r="517" ht="18" customHeight="1" x14ac:dyDescent="0.2"/>
    <row r="518" ht="18" customHeight="1" x14ac:dyDescent="0.2"/>
    <row r="519" ht="18" customHeight="1" x14ac:dyDescent="0.2"/>
    <row r="520" ht="18" customHeight="1" x14ac:dyDescent="0.2"/>
    <row r="521" ht="18" customHeight="1" x14ac:dyDescent="0.2"/>
    <row r="522" ht="18" customHeight="1" x14ac:dyDescent="0.2"/>
    <row r="523" ht="18" customHeight="1" x14ac:dyDescent="0.2"/>
    <row r="524" ht="18" customHeight="1" x14ac:dyDescent="0.2"/>
    <row r="525" ht="18" customHeight="1" x14ac:dyDescent="0.2"/>
    <row r="526" ht="18" customHeight="1" x14ac:dyDescent="0.2"/>
    <row r="527" ht="18" customHeight="1" x14ac:dyDescent="0.2"/>
    <row r="528" ht="18" customHeight="1" x14ac:dyDescent="0.2"/>
    <row r="529" ht="18" customHeight="1" x14ac:dyDescent="0.2"/>
    <row r="530" ht="18" customHeight="1" x14ac:dyDescent="0.2"/>
    <row r="531" ht="18" customHeight="1" x14ac:dyDescent="0.2"/>
    <row r="532" ht="18" customHeight="1" x14ac:dyDescent="0.2"/>
    <row r="533" ht="18" customHeight="1" x14ac:dyDescent="0.2"/>
    <row r="534" ht="18" customHeight="1" x14ac:dyDescent="0.2"/>
    <row r="535" ht="18" customHeight="1" x14ac:dyDescent="0.2"/>
    <row r="536" ht="18" customHeight="1" x14ac:dyDescent="0.2"/>
    <row r="537" ht="18" customHeight="1" x14ac:dyDescent="0.2"/>
    <row r="538" ht="18" customHeight="1" x14ac:dyDescent="0.2"/>
    <row r="539" ht="18" customHeight="1" x14ac:dyDescent="0.2"/>
    <row r="540" ht="18" customHeight="1" x14ac:dyDescent="0.2"/>
    <row r="541" ht="18" customHeight="1" x14ac:dyDescent="0.2"/>
    <row r="542" ht="18" customHeight="1" x14ac:dyDescent="0.2"/>
    <row r="543" ht="18" customHeight="1" x14ac:dyDescent="0.2"/>
    <row r="544" ht="18" customHeight="1" x14ac:dyDescent="0.2"/>
    <row r="545" ht="18" customHeight="1" x14ac:dyDescent="0.2"/>
    <row r="546" ht="18" customHeight="1" x14ac:dyDescent="0.2"/>
    <row r="547" ht="18" customHeight="1" x14ac:dyDescent="0.2"/>
    <row r="548" ht="18" customHeight="1" x14ac:dyDescent="0.2"/>
    <row r="549" ht="18" customHeight="1" x14ac:dyDescent="0.2"/>
    <row r="550" ht="18" customHeight="1" x14ac:dyDescent="0.2"/>
    <row r="551" ht="18" customHeight="1" x14ac:dyDescent="0.2"/>
    <row r="552" ht="18" customHeight="1" x14ac:dyDescent="0.2"/>
    <row r="553" ht="18" customHeight="1" x14ac:dyDescent="0.2"/>
    <row r="554" ht="18" customHeight="1" x14ac:dyDescent="0.2"/>
    <row r="555" ht="18" customHeight="1" x14ac:dyDescent="0.2"/>
    <row r="556" ht="18" customHeight="1" x14ac:dyDescent="0.2"/>
    <row r="557" ht="18" customHeight="1" x14ac:dyDescent="0.2"/>
    <row r="558" ht="18" customHeight="1" x14ac:dyDescent="0.2"/>
    <row r="559" ht="18" customHeight="1" x14ac:dyDescent="0.2"/>
    <row r="560" ht="18" customHeight="1" x14ac:dyDescent="0.2"/>
    <row r="561" ht="18" customHeight="1" x14ac:dyDescent="0.2"/>
    <row r="562" ht="18" customHeight="1" x14ac:dyDescent="0.2"/>
    <row r="563" ht="18" customHeight="1" x14ac:dyDescent="0.2"/>
    <row r="564" ht="18" customHeight="1" x14ac:dyDescent="0.2"/>
    <row r="565" ht="18" customHeight="1" x14ac:dyDescent="0.2"/>
    <row r="566" ht="18" customHeight="1" x14ac:dyDescent="0.2"/>
    <row r="567" ht="18" customHeight="1" x14ac:dyDescent="0.2"/>
    <row r="568" ht="18" customHeight="1" x14ac:dyDescent="0.2"/>
    <row r="569" ht="18" customHeight="1" x14ac:dyDescent="0.2"/>
    <row r="570" ht="18" customHeight="1" x14ac:dyDescent="0.2"/>
    <row r="571" ht="18" customHeight="1" x14ac:dyDescent="0.2"/>
    <row r="572" ht="18" customHeight="1" x14ac:dyDescent="0.2"/>
    <row r="573" ht="18" customHeight="1" x14ac:dyDescent="0.2"/>
    <row r="574" ht="18" customHeight="1" x14ac:dyDescent="0.2"/>
    <row r="575" ht="18" customHeight="1" x14ac:dyDescent="0.2"/>
    <row r="576" ht="18" customHeight="1" x14ac:dyDescent="0.2"/>
    <row r="577" ht="18" customHeight="1" x14ac:dyDescent="0.2"/>
    <row r="578" ht="18" customHeight="1" x14ac:dyDescent="0.2"/>
    <row r="579" ht="18" customHeight="1" x14ac:dyDescent="0.2"/>
    <row r="580" ht="18" customHeight="1" x14ac:dyDescent="0.2"/>
    <row r="581" ht="18" customHeight="1" x14ac:dyDescent="0.2"/>
    <row r="582" ht="18" customHeight="1" x14ac:dyDescent="0.2"/>
    <row r="583" ht="18" customHeight="1" x14ac:dyDescent="0.2"/>
    <row r="584" ht="18" customHeight="1" x14ac:dyDescent="0.2"/>
    <row r="585" ht="18" customHeight="1" x14ac:dyDescent="0.2"/>
    <row r="586" ht="18" customHeight="1" x14ac:dyDescent="0.2"/>
    <row r="587" ht="18" customHeight="1" x14ac:dyDescent="0.2"/>
    <row r="588" ht="18" customHeight="1" x14ac:dyDescent="0.2"/>
    <row r="589" ht="18" customHeight="1" x14ac:dyDescent="0.2"/>
    <row r="590" ht="18" customHeight="1" x14ac:dyDescent="0.2"/>
    <row r="591" ht="18" customHeight="1" x14ac:dyDescent="0.2"/>
    <row r="592" ht="18" customHeight="1" x14ac:dyDescent="0.2"/>
    <row r="593" ht="18" customHeight="1" x14ac:dyDescent="0.2"/>
    <row r="594" ht="18" customHeight="1" x14ac:dyDescent="0.2"/>
    <row r="595" ht="18" customHeight="1" x14ac:dyDescent="0.2"/>
    <row r="596" ht="18" customHeight="1" x14ac:dyDescent="0.2"/>
    <row r="597" ht="18" customHeight="1" x14ac:dyDescent="0.2"/>
    <row r="598" ht="18" customHeight="1" x14ac:dyDescent="0.2"/>
    <row r="599" ht="18" customHeight="1" x14ac:dyDescent="0.2"/>
    <row r="600" ht="18" customHeight="1" x14ac:dyDescent="0.2"/>
    <row r="601" ht="18" customHeight="1" x14ac:dyDescent="0.2"/>
    <row r="602" ht="18" customHeight="1" x14ac:dyDescent="0.2"/>
    <row r="603" ht="18" customHeight="1" x14ac:dyDescent="0.2"/>
    <row r="604" ht="18" customHeight="1" x14ac:dyDescent="0.2"/>
    <row r="605" ht="18" customHeight="1" x14ac:dyDescent="0.2"/>
    <row r="606" ht="18" customHeight="1" x14ac:dyDescent="0.2"/>
    <row r="607" ht="18" customHeight="1" x14ac:dyDescent="0.2"/>
    <row r="608" ht="18" customHeight="1" x14ac:dyDescent="0.2"/>
    <row r="609" ht="18" customHeight="1" x14ac:dyDescent="0.2"/>
    <row r="610" ht="18" customHeight="1" x14ac:dyDescent="0.2"/>
    <row r="611" ht="18" customHeight="1" x14ac:dyDescent="0.2"/>
    <row r="612" ht="18" customHeight="1" x14ac:dyDescent="0.2"/>
    <row r="613" ht="18" customHeight="1" x14ac:dyDescent="0.2"/>
    <row r="614" ht="18" customHeight="1" x14ac:dyDescent="0.2"/>
    <row r="615" ht="18" customHeight="1" x14ac:dyDescent="0.2"/>
    <row r="616" ht="18" customHeight="1" x14ac:dyDescent="0.2"/>
    <row r="617" ht="18" customHeight="1" x14ac:dyDescent="0.2"/>
    <row r="618" ht="18" customHeight="1" x14ac:dyDescent="0.2"/>
    <row r="619" ht="18" customHeight="1" x14ac:dyDescent="0.2"/>
    <row r="620" ht="18" customHeight="1" x14ac:dyDescent="0.2"/>
    <row r="621" ht="18" customHeight="1" x14ac:dyDescent="0.2"/>
    <row r="622" ht="18" customHeight="1" x14ac:dyDescent="0.2"/>
    <row r="623" ht="18" customHeight="1" x14ac:dyDescent="0.2"/>
    <row r="624" ht="18" customHeight="1" x14ac:dyDescent="0.2"/>
    <row r="625" ht="18" customHeight="1" x14ac:dyDescent="0.2"/>
    <row r="626" ht="18" customHeight="1" x14ac:dyDescent="0.2"/>
    <row r="627" ht="18" customHeight="1" x14ac:dyDescent="0.2"/>
    <row r="628" ht="18" customHeight="1" x14ac:dyDescent="0.2"/>
    <row r="629" ht="18" customHeight="1" x14ac:dyDescent="0.2"/>
    <row r="630" ht="18" customHeight="1" x14ac:dyDescent="0.2"/>
    <row r="631" ht="18" customHeight="1" x14ac:dyDescent="0.2"/>
    <row r="632" ht="18" customHeight="1" x14ac:dyDescent="0.2"/>
    <row r="633" ht="18" customHeight="1" x14ac:dyDescent="0.2"/>
    <row r="634" ht="18" customHeight="1" x14ac:dyDescent="0.2"/>
    <row r="635" ht="18" customHeight="1" x14ac:dyDescent="0.2"/>
    <row r="636" ht="18" customHeight="1" x14ac:dyDescent="0.2"/>
    <row r="637" ht="18" customHeight="1" x14ac:dyDescent="0.2"/>
    <row r="638" ht="18" customHeight="1" x14ac:dyDescent="0.2"/>
    <row r="639" ht="18" customHeight="1" x14ac:dyDescent="0.2"/>
    <row r="640" ht="18" customHeight="1" x14ac:dyDescent="0.2"/>
    <row r="641" ht="18" customHeight="1" x14ac:dyDescent="0.2"/>
  </sheetData>
  <mergeCells count="25">
    <mergeCell ref="F12:U12"/>
    <mergeCell ref="A6:Z6"/>
    <mergeCell ref="F8:S8"/>
    <mergeCell ref="F9:S9"/>
    <mergeCell ref="F10:S10"/>
    <mergeCell ref="F11:S11"/>
    <mergeCell ref="A23:S23"/>
    <mergeCell ref="AK23:AR23"/>
    <mergeCell ref="J24:R24"/>
    <mergeCell ref="AK24:AR24"/>
    <mergeCell ref="J25:R25"/>
    <mergeCell ref="AK25:AR25"/>
    <mergeCell ref="W49:X49"/>
    <mergeCell ref="J26:R26"/>
    <mergeCell ref="J27:R27"/>
    <mergeCell ref="AK27:AR27"/>
    <mergeCell ref="J28:R28"/>
    <mergeCell ref="J29:R29"/>
    <mergeCell ref="A36:M36"/>
    <mergeCell ref="R36:Z36"/>
    <mergeCell ref="A40:M40"/>
    <mergeCell ref="R40:Z40"/>
    <mergeCell ref="N45:Q45"/>
    <mergeCell ref="W45:Y45"/>
    <mergeCell ref="W48:X48"/>
  </mergeCells>
  <pageMargins left="0.74803149606299213" right="0.39370078740157483" top="0.47244094488188981" bottom="0.62992125984251968" header="0" footer="0.23622047244094491"/>
  <pageSetup scale="95" orientation="portrait" horizontalDpi="4294967293" verticalDpi="360" r:id="rId1"/>
  <headerFooter alignWithMargins="0">
    <oddFooter>&amp;LMV ANAHITA LETTER OF APPARENT DISCREPANCY</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27FD58-D5FB-4B20-B792-FC5B974AB233}">
  <sheetPr>
    <tabColor indexed="11"/>
  </sheetPr>
  <dimension ref="A1:AGT641"/>
  <sheetViews>
    <sheetView showGridLines="0" view="pageBreakPreview" topLeftCell="A9" zoomScaleNormal="100" zoomScaleSheetLayoutView="100" workbookViewId="0">
      <selection activeCell="V28" sqref="V28"/>
    </sheetView>
  </sheetViews>
  <sheetFormatPr baseColWidth="10" defaultRowHeight="12.75" x14ac:dyDescent="0.2"/>
  <cols>
    <col min="1" max="8" width="3.42578125" customWidth="1"/>
    <col min="9" max="9" width="6.7109375" customWidth="1"/>
    <col min="10" max="22" width="3.42578125" customWidth="1"/>
    <col min="23" max="23" width="4.7109375" customWidth="1"/>
    <col min="24" max="24" width="5.28515625" customWidth="1"/>
    <col min="25" max="25" width="3.42578125" customWidth="1"/>
    <col min="26" max="26" width="5.140625" customWidth="1"/>
    <col min="27" max="182" width="3.42578125" customWidth="1"/>
    <col min="257" max="264" width="3.42578125" customWidth="1"/>
    <col min="265" max="265" width="6.7109375" customWidth="1"/>
    <col min="266" max="278" width="3.42578125" customWidth="1"/>
    <col min="279" max="279" width="4.7109375" customWidth="1"/>
    <col min="280" max="280" width="5.28515625" customWidth="1"/>
    <col min="281" max="281" width="3.42578125" customWidth="1"/>
    <col min="282" max="282" width="5.140625" customWidth="1"/>
    <col min="283" max="438" width="3.42578125" customWidth="1"/>
    <col min="513" max="520" width="3.42578125" customWidth="1"/>
    <col min="521" max="521" width="6.7109375" customWidth="1"/>
    <col min="522" max="534" width="3.42578125" customWidth="1"/>
    <col min="535" max="535" width="4.7109375" customWidth="1"/>
    <col min="536" max="536" width="5.28515625" customWidth="1"/>
    <col min="537" max="537" width="3.42578125" customWidth="1"/>
    <col min="538" max="538" width="5.140625" customWidth="1"/>
    <col min="539" max="694" width="3.42578125" customWidth="1"/>
    <col min="769" max="776" width="3.42578125" customWidth="1"/>
    <col min="777" max="777" width="6.7109375" customWidth="1"/>
    <col min="778" max="790" width="3.42578125" customWidth="1"/>
    <col min="791" max="791" width="4.7109375" customWidth="1"/>
    <col min="792" max="792" width="5.28515625" customWidth="1"/>
    <col min="793" max="793" width="3.42578125" customWidth="1"/>
    <col min="794" max="794" width="5.140625" customWidth="1"/>
    <col min="795" max="950" width="3.42578125" customWidth="1"/>
    <col min="1025" max="1032" width="3.42578125" customWidth="1"/>
    <col min="1033" max="1033" width="6.7109375" customWidth="1"/>
    <col min="1034" max="1046" width="3.42578125" customWidth="1"/>
    <col min="1047" max="1047" width="4.7109375" customWidth="1"/>
    <col min="1048" max="1048" width="5.28515625" customWidth="1"/>
    <col min="1049" max="1049" width="3.42578125" customWidth="1"/>
    <col min="1050" max="1050" width="5.140625" customWidth="1"/>
    <col min="1051" max="1206" width="3.42578125" customWidth="1"/>
    <col min="1281" max="1288" width="3.42578125" customWidth="1"/>
    <col min="1289" max="1289" width="6.7109375" customWidth="1"/>
    <col min="1290" max="1302" width="3.42578125" customWidth="1"/>
    <col min="1303" max="1303" width="4.7109375" customWidth="1"/>
    <col min="1304" max="1304" width="5.28515625" customWidth="1"/>
    <col min="1305" max="1305" width="3.42578125" customWidth="1"/>
    <col min="1306" max="1306" width="5.140625" customWidth="1"/>
    <col min="1307" max="1462" width="3.42578125" customWidth="1"/>
    <col min="1537" max="1544" width="3.42578125" customWidth="1"/>
    <col min="1545" max="1545" width="6.7109375" customWidth="1"/>
    <col min="1546" max="1558" width="3.42578125" customWidth="1"/>
    <col min="1559" max="1559" width="4.7109375" customWidth="1"/>
    <col min="1560" max="1560" width="5.28515625" customWidth="1"/>
    <col min="1561" max="1561" width="3.42578125" customWidth="1"/>
    <col min="1562" max="1562" width="5.140625" customWidth="1"/>
    <col min="1563" max="1718" width="3.42578125" customWidth="1"/>
    <col min="1793" max="1800" width="3.42578125" customWidth="1"/>
    <col min="1801" max="1801" width="6.7109375" customWidth="1"/>
    <col min="1802" max="1814" width="3.42578125" customWidth="1"/>
    <col min="1815" max="1815" width="4.7109375" customWidth="1"/>
    <col min="1816" max="1816" width="5.28515625" customWidth="1"/>
    <col min="1817" max="1817" width="3.42578125" customWidth="1"/>
    <col min="1818" max="1818" width="5.140625" customWidth="1"/>
    <col min="1819" max="1974" width="3.42578125" customWidth="1"/>
    <col min="2049" max="2056" width="3.42578125" customWidth="1"/>
    <col min="2057" max="2057" width="6.7109375" customWidth="1"/>
    <col min="2058" max="2070" width="3.42578125" customWidth="1"/>
    <col min="2071" max="2071" width="4.7109375" customWidth="1"/>
    <col min="2072" max="2072" width="5.28515625" customWidth="1"/>
    <col min="2073" max="2073" width="3.42578125" customWidth="1"/>
    <col min="2074" max="2074" width="5.140625" customWidth="1"/>
    <col min="2075" max="2230" width="3.42578125" customWidth="1"/>
    <col min="2305" max="2312" width="3.42578125" customWidth="1"/>
    <col min="2313" max="2313" width="6.7109375" customWidth="1"/>
    <col min="2314" max="2326" width="3.42578125" customWidth="1"/>
    <col min="2327" max="2327" width="4.7109375" customWidth="1"/>
    <col min="2328" max="2328" width="5.28515625" customWidth="1"/>
    <col min="2329" max="2329" width="3.42578125" customWidth="1"/>
    <col min="2330" max="2330" width="5.140625" customWidth="1"/>
    <col min="2331" max="2486" width="3.42578125" customWidth="1"/>
    <col min="2561" max="2568" width="3.42578125" customWidth="1"/>
    <col min="2569" max="2569" width="6.7109375" customWidth="1"/>
    <col min="2570" max="2582" width="3.42578125" customWidth="1"/>
    <col min="2583" max="2583" width="4.7109375" customWidth="1"/>
    <col min="2584" max="2584" width="5.28515625" customWidth="1"/>
    <col min="2585" max="2585" width="3.42578125" customWidth="1"/>
    <col min="2586" max="2586" width="5.140625" customWidth="1"/>
    <col min="2587" max="2742" width="3.42578125" customWidth="1"/>
    <col min="2817" max="2824" width="3.42578125" customWidth="1"/>
    <col min="2825" max="2825" width="6.7109375" customWidth="1"/>
    <col min="2826" max="2838" width="3.42578125" customWidth="1"/>
    <col min="2839" max="2839" width="4.7109375" customWidth="1"/>
    <col min="2840" max="2840" width="5.28515625" customWidth="1"/>
    <col min="2841" max="2841" width="3.42578125" customWidth="1"/>
    <col min="2842" max="2842" width="5.140625" customWidth="1"/>
    <col min="2843" max="2998" width="3.42578125" customWidth="1"/>
    <col min="3073" max="3080" width="3.42578125" customWidth="1"/>
    <col min="3081" max="3081" width="6.7109375" customWidth="1"/>
    <col min="3082" max="3094" width="3.42578125" customWidth="1"/>
    <col min="3095" max="3095" width="4.7109375" customWidth="1"/>
    <col min="3096" max="3096" width="5.28515625" customWidth="1"/>
    <col min="3097" max="3097" width="3.42578125" customWidth="1"/>
    <col min="3098" max="3098" width="5.140625" customWidth="1"/>
    <col min="3099" max="3254" width="3.42578125" customWidth="1"/>
    <col min="3329" max="3336" width="3.42578125" customWidth="1"/>
    <col min="3337" max="3337" width="6.7109375" customWidth="1"/>
    <col min="3338" max="3350" width="3.42578125" customWidth="1"/>
    <col min="3351" max="3351" width="4.7109375" customWidth="1"/>
    <col min="3352" max="3352" width="5.28515625" customWidth="1"/>
    <col min="3353" max="3353" width="3.42578125" customWidth="1"/>
    <col min="3354" max="3354" width="5.140625" customWidth="1"/>
    <col min="3355" max="3510" width="3.42578125" customWidth="1"/>
    <col min="3585" max="3592" width="3.42578125" customWidth="1"/>
    <col min="3593" max="3593" width="6.7109375" customWidth="1"/>
    <col min="3594" max="3606" width="3.42578125" customWidth="1"/>
    <col min="3607" max="3607" width="4.7109375" customWidth="1"/>
    <col min="3608" max="3608" width="5.28515625" customWidth="1"/>
    <col min="3609" max="3609" width="3.42578125" customWidth="1"/>
    <col min="3610" max="3610" width="5.140625" customWidth="1"/>
    <col min="3611" max="3766" width="3.42578125" customWidth="1"/>
    <col min="3841" max="3848" width="3.42578125" customWidth="1"/>
    <col min="3849" max="3849" width="6.7109375" customWidth="1"/>
    <col min="3850" max="3862" width="3.42578125" customWidth="1"/>
    <col min="3863" max="3863" width="4.7109375" customWidth="1"/>
    <col min="3864" max="3864" width="5.28515625" customWidth="1"/>
    <col min="3865" max="3865" width="3.42578125" customWidth="1"/>
    <col min="3866" max="3866" width="5.140625" customWidth="1"/>
    <col min="3867" max="4022" width="3.42578125" customWidth="1"/>
    <col min="4097" max="4104" width="3.42578125" customWidth="1"/>
    <col min="4105" max="4105" width="6.7109375" customWidth="1"/>
    <col min="4106" max="4118" width="3.42578125" customWidth="1"/>
    <col min="4119" max="4119" width="4.7109375" customWidth="1"/>
    <col min="4120" max="4120" width="5.28515625" customWidth="1"/>
    <col min="4121" max="4121" width="3.42578125" customWidth="1"/>
    <col min="4122" max="4122" width="5.140625" customWidth="1"/>
    <col min="4123" max="4278" width="3.42578125" customWidth="1"/>
    <col min="4353" max="4360" width="3.42578125" customWidth="1"/>
    <col min="4361" max="4361" width="6.7109375" customWidth="1"/>
    <col min="4362" max="4374" width="3.42578125" customWidth="1"/>
    <col min="4375" max="4375" width="4.7109375" customWidth="1"/>
    <col min="4376" max="4376" width="5.28515625" customWidth="1"/>
    <col min="4377" max="4377" width="3.42578125" customWidth="1"/>
    <col min="4378" max="4378" width="5.140625" customWidth="1"/>
    <col min="4379" max="4534" width="3.42578125" customWidth="1"/>
    <col min="4609" max="4616" width="3.42578125" customWidth="1"/>
    <col min="4617" max="4617" width="6.7109375" customWidth="1"/>
    <col min="4618" max="4630" width="3.42578125" customWidth="1"/>
    <col min="4631" max="4631" width="4.7109375" customWidth="1"/>
    <col min="4632" max="4632" width="5.28515625" customWidth="1"/>
    <col min="4633" max="4633" width="3.42578125" customWidth="1"/>
    <col min="4634" max="4634" width="5.140625" customWidth="1"/>
    <col min="4635" max="4790" width="3.42578125" customWidth="1"/>
    <col min="4865" max="4872" width="3.42578125" customWidth="1"/>
    <col min="4873" max="4873" width="6.7109375" customWidth="1"/>
    <col min="4874" max="4886" width="3.42578125" customWidth="1"/>
    <col min="4887" max="4887" width="4.7109375" customWidth="1"/>
    <col min="4888" max="4888" width="5.28515625" customWidth="1"/>
    <col min="4889" max="4889" width="3.42578125" customWidth="1"/>
    <col min="4890" max="4890" width="5.140625" customWidth="1"/>
    <col min="4891" max="5046" width="3.42578125" customWidth="1"/>
    <col min="5121" max="5128" width="3.42578125" customWidth="1"/>
    <col min="5129" max="5129" width="6.7109375" customWidth="1"/>
    <col min="5130" max="5142" width="3.42578125" customWidth="1"/>
    <col min="5143" max="5143" width="4.7109375" customWidth="1"/>
    <col min="5144" max="5144" width="5.28515625" customWidth="1"/>
    <col min="5145" max="5145" width="3.42578125" customWidth="1"/>
    <col min="5146" max="5146" width="5.140625" customWidth="1"/>
    <col min="5147" max="5302" width="3.42578125" customWidth="1"/>
    <col min="5377" max="5384" width="3.42578125" customWidth="1"/>
    <col min="5385" max="5385" width="6.7109375" customWidth="1"/>
    <col min="5386" max="5398" width="3.42578125" customWidth="1"/>
    <col min="5399" max="5399" width="4.7109375" customWidth="1"/>
    <col min="5400" max="5400" width="5.28515625" customWidth="1"/>
    <col min="5401" max="5401" width="3.42578125" customWidth="1"/>
    <col min="5402" max="5402" width="5.140625" customWidth="1"/>
    <col min="5403" max="5558" width="3.42578125" customWidth="1"/>
    <col min="5633" max="5640" width="3.42578125" customWidth="1"/>
    <col min="5641" max="5641" width="6.7109375" customWidth="1"/>
    <col min="5642" max="5654" width="3.42578125" customWidth="1"/>
    <col min="5655" max="5655" width="4.7109375" customWidth="1"/>
    <col min="5656" max="5656" width="5.28515625" customWidth="1"/>
    <col min="5657" max="5657" width="3.42578125" customWidth="1"/>
    <col min="5658" max="5658" width="5.140625" customWidth="1"/>
    <col min="5659" max="5814" width="3.42578125" customWidth="1"/>
    <col min="5889" max="5896" width="3.42578125" customWidth="1"/>
    <col min="5897" max="5897" width="6.7109375" customWidth="1"/>
    <col min="5898" max="5910" width="3.42578125" customWidth="1"/>
    <col min="5911" max="5911" width="4.7109375" customWidth="1"/>
    <col min="5912" max="5912" width="5.28515625" customWidth="1"/>
    <col min="5913" max="5913" width="3.42578125" customWidth="1"/>
    <col min="5914" max="5914" width="5.140625" customWidth="1"/>
    <col min="5915" max="6070" width="3.42578125" customWidth="1"/>
    <col min="6145" max="6152" width="3.42578125" customWidth="1"/>
    <col min="6153" max="6153" width="6.7109375" customWidth="1"/>
    <col min="6154" max="6166" width="3.42578125" customWidth="1"/>
    <col min="6167" max="6167" width="4.7109375" customWidth="1"/>
    <col min="6168" max="6168" width="5.28515625" customWidth="1"/>
    <col min="6169" max="6169" width="3.42578125" customWidth="1"/>
    <col min="6170" max="6170" width="5.140625" customWidth="1"/>
    <col min="6171" max="6326" width="3.42578125" customWidth="1"/>
    <col min="6401" max="6408" width="3.42578125" customWidth="1"/>
    <col min="6409" max="6409" width="6.7109375" customWidth="1"/>
    <col min="6410" max="6422" width="3.42578125" customWidth="1"/>
    <col min="6423" max="6423" width="4.7109375" customWidth="1"/>
    <col min="6424" max="6424" width="5.28515625" customWidth="1"/>
    <col min="6425" max="6425" width="3.42578125" customWidth="1"/>
    <col min="6426" max="6426" width="5.140625" customWidth="1"/>
    <col min="6427" max="6582" width="3.42578125" customWidth="1"/>
    <col min="6657" max="6664" width="3.42578125" customWidth="1"/>
    <col min="6665" max="6665" width="6.7109375" customWidth="1"/>
    <col min="6666" max="6678" width="3.42578125" customWidth="1"/>
    <col min="6679" max="6679" width="4.7109375" customWidth="1"/>
    <col min="6680" max="6680" width="5.28515625" customWidth="1"/>
    <col min="6681" max="6681" width="3.42578125" customWidth="1"/>
    <col min="6682" max="6682" width="5.140625" customWidth="1"/>
    <col min="6683" max="6838" width="3.42578125" customWidth="1"/>
    <col min="6913" max="6920" width="3.42578125" customWidth="1"/>
    <col min="6921" max="6921" width="6.7109375" customWidth="1"/>
    <col min="6922" max="6934" width="3.42578125" customWidth="1"/>
    <col min="6935" max="6935" width="4.7109375" customWidth="1"/>
    <col min="6936" max="6936" width="5.28515625" customWidth="1"/>
    <col min="6937" max="6937" width="3.42578125" customWidth="1"/>
    <col min="6938" max="6938" width="5.140625" customWidth="1"/>
    <col min="6939" max="7094" width="3.42578125" customWidth="1"/>
    <col min="7169" max="7176" width="3.42578125" customWidth="1"/>
    <col min="7177" max="7177" width="6.7109375" customWidth="1"/>
    <col min="7178" max="7190" width="3.42578125" customWidth="1"/>
    <col min="7191" max="7191" width="4.7109375" customWidth="1"/>
    <col min="7192" max="7192" width="5.28515625" customWidth="1"/>
    <col min="7193" max="7193" width="3.42578125" customWidth="1"/>
    <col min="7194" max="7194" width="5.140625" customWidth="1"/>
    <col min="7195" max="7350" width="3.42578125" customWidth="1"/>
    <col min="7425" max="7432" width="3.42578125" customWidth="1"/>
    <col min="7433" max="7433" width="6.7109375" customWidth="1"/>
    <col min="7434" max="7446" width="3.42578125" customWidth="1"/>
    <col min="7447" max="7447" width="4.7109375" customWidth="1"/>
    <col min="7448" max="7448" width="5.28515625" customWidth="1"/>
    <col min="7449" max="7449" width="3.42578125" customWidth="1"/>
    <col min="7450" max="7450" width="5.140625" customWidth="1"/>
    <col min="7451" max="7606" width="3.42578125" customWidth="1"/>
    <col min="7681" max="7688" width="3.42578125" customWidth="1"/>
    <col min="7689" max="7689" width="6.7109375" customWidth="1"/>
    <col min="7690" max="7702" width="3.42578125" customWidth="1"/>
    <col min="7703" max="7703" width="4.7109375" customWidth="1"/>
    <col min="7704" max="7704" width="5.28515625" customWidth="1"/>
    <col min="7705" max="7705" width="3.42578125" customWidth="1"/>
    <col min="7706" max="7706" width="5.140625" customWidth="1"/>
    <col min="7707" max="7862" width="3.42578125" customWidth="1"/>
    <col min="7937" max="7944" width="3.42578125" customWidth="1"/>
    <col min="7945" max="7945" width="6.7109375" customWidth="1"/>
    <col min="7946" max="7958" width="3.42578125" customWidth="1"/>
    <col min="7959" max="7959" width="4.7109375" customWidth="1"/>
    <col min="7960" max="7960" width="5.28515625" customWidth="1"/>
    <col min="7961" max="7961" width="3.42578125" customWidth="1"/>
    <col min="7962" max="7962" width="5.140625" customWidth="1"/>
    <col min="7963" max="8118" width="3.42578125" customWidth="1"/>
    <col min="8193" max="8200" width="3.42578125" customWidth="1"/>
    <col min="8201" max="8201" width="6.7109375" customWidth="1"/>
    <col min="8202" max="8214" width="3.42578125" customWidth="1"/>
    <col min="8215" max="8215" width="4.7109375" customWidth="1"/>
    <col min="8216" max="8216" width="5.28515625" customWidth="1"/>
    <col min="8217" max="8217" width="3.42578125" customWidth="1"/>
    <col min="8218" max="8218" width="5.140625" customWidth="1"/>
    <col min="8219" max="8374" width="3.42578125" customWidth="1"/>
    <col min="8449" max="8456" width="3.42578125" customWidth="1"/>
    <col min="8457" max="8457" width="6.7109375" customWidth="1"/>
    <col min="8458" max="8470" width="3.42578125" customWidth="1"/>
    <col min="8471" max="8471" width="4.7109375" customWidth="1"/>
    <col min="8472" max="8472" width="5.28515625" customWidth="1"/>
    <col min="8473" max="8473" width="3.42578125" customWidth="1"/>
    <col min="8474" max="8474" width="5.140625" customWidth="1"/>
    <col min="8475" max="8630" width="3.42578125" customWidth="1"/>
    <col min="8705" max="8712" width="3.42578125" customWidth="1"/>
    <col min="8713" max="8713" width="6.7109375" customWidth="1"/>
    <col min="8714" max="8726" width="3.42578125" customWidth="1"/>
    <col min="8727" max="8727" width="4.7109375" customWidth="1"/>
    <col min="8728" max="8728" width="5.28515625" customWidth="1"/>
    <col min="8729" max="8729" width="3.42578125" customWidth="1"/>
    <col min="8730" max="8730" width="5.140625" customWidth="1"/>
    <col min="8731" max="8886" width="3.42578125" customWidth="1"/>
    <col min="8961" max="8968" width="3.42578125" customWidth="1"/>
    <col min="8969" max="8969" width="6.7109375" customWidth="1"/>
    <col min="8970" max="8982" width="3.42578125" customWidth="1"/>
    <col min="8983" max="8983" width="4.7109375" customWidth="1"/>
    <col min="8984" max="8984" width="5.28515625" customWidth="1"/>
    <col min="8985" max="8985" width="3.42578125" customWidth="1"/>
    <col min="8986" max="8986" width="5.140625" customWidth="1"/>
    <col min="8987" max="9142" width="3.42578125" customWidth="1"/>
    <col min="9217" max="9224" width="3.42578125" customWidth="1"/>
    <col min="9225" max="9225" width="6.7109375" customWidth="1"/>
    <col min="9226" max="9238" width="3.42578125" customWidth="1"/>
    <col min="9239" max="9239" width="4.7109375" customWidth="1"/>
    <col min="9240" max="9240" width="5.28515625" customWidth="1"/>
    <col min="9241" max="9241" width="3.42578125" customWidth="1"/>
    <col min="9242" max="9242" width="5.140625" customWidth="1"/>
    <col min="9243" max="9398" width="3.42578125" customWidth="1"/>
    <col min="9473" max="9480" width="3.42578125" customWidth="1"/>
    <col min="9481" max="9481" width="6.7109375" customWidth="1"/>
    <col min="9482" max="9494" width="3.42578125" customWidth="1"/>
    <col min="9495" max="9495" width="4.7109375" customWidth="1"/>
    <col min="9496" max="9496" width="5.28515625" customWidth="1"/>
    <col min="9497" max="9497" width="3.42578125" customWidth="1"/>
    <col min="9498" max="9498" width="5.140625" customWidth="1"/>
    <col min="9499" max="9654" width="3.42578125" customWidth="1"/>
    <col min="9729" max="9736" width="3.42578125" customWidth="1"/>
    <col min="9737" max="9737" width="6.7109375" customWidth="1"/>
    <col min="9738" max="9750" width="3.42578125" customWidth="1"/>
    <col min="9751" max="9751" width="4.7109375" customWidth="1"/>
    <col min="9752" max="9752" width="5.28515625" customWidth="1"/>
    <col min="9753" max="9753" width="3.42578125" customWidth="1"/>
    <col min="9754" max="9754" width="5.140625" customWidth="1"/>
    <col min="9755" max="9910" width="3.42578125" customWidth="1"/>
    <col min="9985" max="9992" width="3.42578125" customWidth="1"/>
    <col min="9993" max="9993" width="6.7109375" customWidth="1"/>
    <col min="9994" max="10006" width="3.42578125" customWidth="1"/>
    <col min="10007" max="10007" width="4.7109375" customWidth="1"/>
    <col min="10008" max="10008" width="5.28515625" customWidth="1"/>
    <col min="10009" max="10009" width="3.42578125" customWidth="1"/>
    <col min="10010" max="10010" width="5.140625" customWidth="1"/>
    <col min="10011" max="10166" width="3.42578125" customWidth="1"/>
    <col min="10241" max="10248" width="3.42578125" customWidth="1"/>
    <col min="10249" max="10249" width="6.7109375" customWidth="1"/>
    <col min="10250" max="10262" width="3.42578125" customWidth="1"/>
    <col min="10263" max="10263" width="4.7109375" customWidth="1"/>
    <col min="10264" max="10264" width="5.28515625" customWidth="1"/>
    <col min="10265" max="10265" width="3.42578125" customWidth="1"/>
    <col min="10266" max="10266" width="5.140625" customWidth="1"/>
    <col min="10267" max="10422" width="3.42578125" customWidth="1"/>
    <col min="10497" max="10504" width="3.42578125" customWidth="1"/>
    <col min="10505" max="10505" width="6.7109375" customWidth="1"/>
    <col min="10506" max="10518" width="3.42578125" customWidth="1"/>
    <col min="10519" max="10519" width="4.7109375" customWidth="1"/>
    <col min="10520" max="10520" width="5.28515625" customWidth="1"/>
    <col min="10521" max="10521" width="3.42578125" customWidth="1"/>
    <col min="10522" max="10522" width="5.140625" customWidth="1"/>
    <col min="10523" max="10678" width="3.42578125" customWidth="1"/>
    <col min="10753" max="10760" width="3.42578125" customWidth="1"/>
    <col min="10761" max="10761" width="6.7109375" customWidth="1"/>
    <col min="10762" max="10774" width="3.42578125" customWidth="1"/>
    <col min="10775" max="10775" width="4.7109375" customWidth="1"/>
    <col min="10776" max="10776" width="5.28515625" customWidth="1"/>
    <col min="10777" max="10777" width="3.42578125" customWidth="1"/>
    <col min="10778" max="10778" width="5.140625" customWidth="1"/>
    <col min="10779" max="10934" width="3.42578125" customWidth="1"/>
    <col min="11009" max="11016" width="3.42578125" customWidth="1"/>
    <col min="11017" max="11017" width="6.7109375" customWidth="1"/>
    <col min="11018" max="11030" width="3.42578125" customWidth="1"/>
    <col min="11031" max="11031" width="4.7109375" customWidth="1"/>
    <col min="11032" max="11032" width="5.28515625" customWidth="1"/>
    <col min="11033" max="11033" width="3.42578125" customWidth="1"/>
    <col min="11034" max="11034" width="5.140625" customWidth="1"/>
    <col min="11035" max="11190" width="3.42578125" customWidth="1"/>
    <col min="11265" max="11272" width="3.42578125" customWidth="1"/>
    <col min="11273" max="11273" width="6.7109375" customWidth="1"/>
    <col min="11274" max="11286" width="3.42578125" customWidth="1"/>
    <col min="11287" max="11287" width="4.7109375" customWidth="1"/>
    <col min="11288" max="11288" width="5.28515625" customWidth="1"/>
    <col min="11289" max="11289" width="3.42578125" customWidth="1"/>
    <col min="11290" max="11290" width="5.140625" customWidth="1"/>
    <col min="11291" max="11446" width="3.42578125" customWidth="1"/>
    <col min="11521" max="11528" width="3.42578125" customWidth="1"/>
    <col min="11529" max="11529" width="6.7109375" customWidth="1"/>
    <col min="11530" max="11542" width="3.42578125" customWidth="1"/>
    <col min="11543" max="11543" width="4.7109375" customWidth="1"/>
    <col min="11544" max="11544" width="5.28515625" customWidth="1"/>
    <col min="11545" max="11545" width="3.42578125" customWidth="1"/>
    <col min="11546" max="11546" width="5.140625" customWidth="1"/>
    <col min="11547" max="11702" width="3.42578125" customWidth="1"/>
    <col min="11777" max="11784" width="3.42578125" customWidth="1"/>
    <col min="11785" max="11785" width="6.7109375" customWidth="1"/>
    <col min="11786" max="11798" width="3.42578125" customWidth="1"/>
    <col min="11799" max="11799" width="4.7109375" customWidth="1"/>
    <col min="11800" max="11800" width="5.28515625" customWidth="1"/>
    <col min="11801" max="11801" width="3.42578125" customWidth="1"/>
    <col min="11802" max="11802" width="5.140625" customWidth="1"/>
    <col min="11803" max="11958" width="3.42578125" customWidth="1"/>
    <col min="12033" max="12040" width="3.42578125" customWidth="1"/>
    <col min="12041" max="12041" width="6.7109375" customWidth="1"/>
    <col min="12042" max="12054" width="3.42578125" customWidth="1"/>
    <col min="12055" max="12055" width="4.7109375" customWidth="1"/>
    <col min="12056" max="12056" width="5.28515625" customWidth="1"/>
    <col min="12057" max="12057" width="3.42578125" customWidth="1"/>
    <col min="12058" max="12058" width="5.140625" customWidth="1"/>
    <col min="12059" max="12214" width="3.42578125" customWidth="1"/>
    <col min="12289" max="12296" width="3.42578125" customWidth="1"/>
    <col min="12297" max="12297" width="6.7109375" customWidth="1"/>
    <col min="12298" max="12310" width="3.42578125" customWidth="1"/>
    <col min="12311" max="12311" width="4.7109375" customWidth="1"/>
    <col min="12312" max="12312" width="5.28515625" customWidth="1"/>
    <col min="12313" max="12313" width="3.42578125" customWidth="1"/>
    <col min="12314" max="12314" width="5.140625" customWidth="1"/>
    <col min="12315" max="12470" width="3.42578125" customWidth="1"/>
    <col min="12545" max="12552" width="3.42578125" customWidth="1"/>
    <col min="12553" max="12553" width="6.7109375" customWidth="1"/>
    <col min="12554" max="12566" width="3.42578125" customWidth="1"/>
    <col min="12567" max="12567" width="4.7109375" customWidth="1"/>
    <col min="12568" max="12568" width="5.28515625" customWidth="1"/>
    <col min="12569" max="12569" width="3.42578125" customWidth="1"/>
    <col min="12570" max="12570" width="5.140625" customWidth="1"/>
    <col min="12571" max="12726" width="3.42578125" customWidth="1"/>
    <col min="12801" max="12808" width="3.42578125" customWidth="1"/>
    <col min="12809" max="12809" width="6.7109375" customWidth="1"/>
    <col min="12810" max="12822" width="3.42578125" customWidth="1"/>
    <col min="12823" max="12823" width="4.7109375" customWidth="1"/>
    <col min="12824" max="12824" width="5.28515625" customWidth="1"/>
    <col min="12825" max="12825" width="3.42578125" customWidth="1"/>
    <col min="12826" max="12826" width="5.140625" customWidth="1"/>
    <col min="12827" max="12982" width="3.42578125" customWidth="1"/>
    <col min="13057" max="13064" width="3.42578125" customWidth="1"/>
    <col min="13065" max="13065" width="6.7109375" customWidth="1"/>
    <col min="13066" max="13078" width="3.42578125" customWidth="1"/>
    <col min="13079" max="13079" width="4.7109375" customWidth="1"/>
    <col min="13080" max="13080" width="5.28515625" customWidth="1"/>
    <col min="13081" max="13081" width="3.42578125" customWidth="1"/>
    <col min="13082" max="13082" width="5.140625" customWidth="1"/>
    <col min="13083" max="13238" width="3.42578125" customWidth="1"/>
    <col min="13313" max="13320" width="3.42578125" customWidth="1"/>
    <col min="13321" max="13321" width="6.7109375" customWidth="1"/>
    <col min="13322" max="13334" width="3.42578125" customWidth="1"/>
    <col min="13335" max="13335" width="4.7109375" customWidth="1"/>
    <col min="13336" max="13336" width="5.28515625" customWidth="1"/>
    <col min="13337" max="13337" width="3.42578125" customWidth="1"/>
    <col min="13338" max="13338" width="5.140625" customWidth="1"/>
    <col min="13339" max="13494" width="3.42578125" customWidth="1"/>
    <col min="13569" max="13576" width="3.42578125" customWidth="1"/>
    <col min="13577" max="13577" width="6.7109375" customWidth="1"/>
    <col min="13578" max="13590" width="3.42578125" customWidth="1"/>
    <col min="13591" max="13591" width="4.7109375" customWidth="1"/>
    <col min="13592" max="13592" width="5.28515625" customWidth="1"/>
    <col min="13593" max="13593" width="3.42578125" customWidth="1"/>
    <col min="13594" max="13594" width="5.140625" customWidth="1"/>
    <col min="13595" max="13750" width="3.42578125" customWidth="1"/>
    <col min="13825" max="13832" width="3.42578125" customWidth="1"/>
    <col min="13833" max="13833" width="6.7109375" customWidth="1"/>
    <col min="13834" max="13846" width="3.42578125" customWidth="1"/>
    <col min="13847" max="13847" width="4.7109375" customWidth="1"/>
    <col min="13848" max="13848" width="5.28515625" customWidth="1"/>
    <col min="13849" max="13849" width="3.42578125" customWidth="1"/>
    <col min="13850" max="13850" width="5.140625" customWidth="1"/>
    <col min="13851" max="14006" width="3.42578125" customWidth="1"/>
    <col min="14081" max="14088" width="3.42578125" customWidth="1"/>
    <col min="14089" max="14089" width="6.7109375" customWidth="1"/>
    <col min="14090" max="14102" width="3.42578125" customWidth="1"/>
    <col min="14103" max="14103" width="4.7109375" customWidth="1"/>
    <col min="14104" max="14104" width="5.28515625" customWidth="1"/>
    <col min="14105" max="14105" width="3.42578125" customWidth="1"/>
    <col min="14106" max="14106" width="5.140625" customWidth="1"/>
    <col min="14107" max="14262" width="3.42578125" customWidth="1"/>
    <col min="14337" max="14344" width="3.42578125" customWidth="1"/>
    <col min="14345" max="14345" width="6.7109375" customWidth="1"/>
    <col min="14346" max="14358" width="3.42578125" customWidth="1"/>
    <col min="14359" max="14359" width="4.7109375" customWidth="1"/>
    <col min="14360" max="14360" width="5.28515625" customWidth="1"/>
    <col min="14361" max="14361" width="3.42578125" customWidth="1"/>
    <col min="14362" max="14362" width="5.140625" customWidth="1"/>
    <col min="14363" max="14518" width="3.42578125" customWidth="1"/>
    <col min="14593" max="14600" width="3.42578125" customWidth="1"/>
    <col min="14601" max="14601" width="6.7109375" customWidth="1"/>
    <col min="14602" max="14614" width="3.42578125" customWidth="1"/>
    <col min="14615" max="14615" width="4.7109375" customWidth="1"/>
    <col min="14616" max="14616" width="5.28515625" customWidth="1"/>
    <col min="14617" max="14617" width="3.42578125" customWidth="1"/>
    <col min="14618" max="14618" width="5.140625" customWidth="1"/>
    <col min="14619" max="14774" width="3.42578125" customWidth="1"/>
    <col min="14849" max="14856" width="3.42578125" customWidth="1"/>
    <col min="14857" max="14857" width="6.7109375" customWidth="1"/>
    <col min="14858" max="14870" width="3.42578125" customWidth="1"/>
    <col min="14871" max="14871" width="4.7109375" customWidth="1"/>
    <col min="14872" max="14872" width="5.28515625" customWidth="1"/>
    <col min="14873" max="14873" width="3.42578125" customWidth="1"/>
    <col min="14874" max="14874" width="5.140625" customWidth="1"/>
    <col min="14875" max="15030" width="3.42578125" customWidth="1"/>
    <col min="15105" max="15112" width="3.42578125" customWidth="1"/>
    <col min="15113" max="15113" width="6.7109375" customWidth="1"/>
    <col min="15114" max="15126" width="3.42578125" customWidth="1"/>
    <col min="15127" max="15127" width="4.7109375" customWidth="1"/>
    <col min="15128" max="15128" width="5.28515625" customWidth="1"/>
    <col min="15129" max="15129" width="3.42578125" customWidth="1"/>
    <col min="15130" max="15130" width="5.140625" customWidth="1"/>
    <col min="15131" max="15286" width="3.42578125" customWidth="1"/>
    <col min="15361" max="15368" width="3.42578125" customWidth="1"/>
    <col min="15369" max="15369" width="6.7109375" customWidth="1"/>
    <col min="15370" max="15382" width="3.42578125" customWidth="1"/>
    <col min="15383" max="15383" width="4.7109375" customWidth="1"/>
    <col min="15384" max="15384" width="5.28515625" customWidth="1"/>
    <col min="15385" max="15385" width="3.42578125" customWidth="1"/>
    <col min="15386" max="15386" width="5.140625" customWidth="1"/>
    <col min="15387" max="15542" width="3.42578125" customWidth="1"/>
    <col min="15617" max="15624" width="3.42578125" customWidth="1"/>
    <col min="15625" max="15625" width="6.7109375" customWidth="1"/>
    <col min="15626" max="15638" width="3.42578125" customWidth="1"/>
    <col min="15639" max="15639" width="4.7109375" customWidth="1"/>
    <col min="15640" max="15640" width="5.28515625" customWidth="1"/>
    <col min="15641" max="15641" width="3.42578125" customWidth="1"/>
    <col min="15642" max="15642" width="5.140625" customWidth="1"/>
    <col min="15643" max="15798" width="3.42578125" customWidth="1"/>
    <col min="15873" max="15880" width="3.42578125" customWidth="1"/>
    <col min="15881" max="15881" width="6.7109375" customWidth="1"/>
    <col min="15882" max="15894" width="3.42578125" customWidth="1"/>
    <col min="15895" max="15895" width="4.7109375" customWidth="1"/>
    <col min="15896" max="15896" width="5.28515625" customWidth="1"/>
    <col min="15897" max="15897" width="3.42578125" customWidth="1"/>
    <col min="15898" max="15898" width="5.140625" customWidth="1"/>
    <col min="15899" max="16054" width="3.42578125" customWidth="1"/>
    <col min="16129" max="16136" width="3.42578125" customWidth="1"/>
    <col min="16137" max="16137" width="6.7109375" customWidth="1"/>
    <col min="16138" max="16150" width="3.42578125" customWidth="1"/>
    <col min="16151" max="16151" width="4.7109375" customWidth="1"/>
    <col min="16152" max="16152" width="5.28515625" customWidth="1"/>
    <col min="16153" max="16153" width="3.42578125" customWidth="1"/>
    <col min="16154" max="16154" width="5.140625" customWidth="1"/>
    <col min="16155" max="16310" width="3.42578125" customWidth="1"/>
  </cols>
  <sheetData>
    <row r="1" spans="1:26" ht="18" customHeight="1" x14ac:dyDescent="0.2"/>
    <row r="2" spans="1:26" ht="18" customHeight="1" x14ac:dyDescent="0.2"/>
    <row r="3" spans="1:26" ht="18" customHeight="1" x14ac:dyDescent="0.2">
      <c r="Z3" s="201"/>
    </row>
    <row r="4" spans="1:26" ht="18" customHeight="1" x14ac:dyDescent="0.2">
      <c r="W4" s="202"/>
      <c r="X4" s="201"/>
      <c r="Y4" s="201"/>
      <c r="Z4" s="201"/>
    </row>
    <row r="5" spans="1:26" ht="18" customHeight="1" x14ac:dyDescent="0.2">
      <c r="W5" s="202"/>
      <c r="X5" s="201"/>
      <c r="Y5" s="201"/>
    </row>
    <row r="6" spans="1:26" ht="18" customHeight="1" x14ac:dyDescent="0.25">
      <c r="A6" s="964" t="s">
        <v>364</v>
      </c>
      <c r="B6" s="964"/>
      <c r="C6" s="964"/>
      <c r="D6" s="964"/>
      <c r="E6" s="964"/>
      <c r="F6" s="964"/>
      <c r="G6" s="964"/>
      <c r="H6" s="964"/>
      <c r="I6" s="964"/>
      <c r="J6" s="964"/>
      <c r="K6" s="964"/>
      <c r="L6" s="964"/>
      <c r="M6" s="964"/>
      <c r="N6" s="964"/>
      <c r="O6" s="964"/>
      <c r="P6" s="964"/>
      <c r="Q6" s="964"/>
      <c r="R6" s="964"/>
      <c r="S6" s="964"/>
      <c r="T6" s="964"/>
      <c r="U6" s="964"/>
      <c r="V6" s="964"/>
      <c r="W6" s="964"/>
      <c r="X6" s="964"/>
      <c r="Y6" s="964"/>
      <c r="Z6" s="964"/>
    </row>
    <row r="7" spans="1:26" ht="18" customHeight="1" x14ac:dyDescent="0.2"/>
    <row r="8" spans="1:26" ht="18" customHeight="1" thickBot="1" x14ac:dyDescent="0.25">
      <c r="A8" t="s">
        <v>365</v>
      </c>
      <c r="E8" t="s">
        <v>366</v>
      </c>
      <c r="F8" s="965" t="str">
        <f>Draft!AB1</f>
        <v>MV SANTA CAROLINA</v>
      </c>
      <c r="G8" s="965"/>
      <c r="H8" s="965"/>
      <c r="I8" s="965"/>
      <c r="J8" s="965"/>
      <c r="K8" s="965"/>
      <c r="L8" s="965"/>
      <c r="M8" s="965"/>
      <c r="N8" s="965"/>
      <c r="O8" s="965"/>
      <c r="P8" s="965"/>
      <c r="Q8" s="965"/>
      <c r="R8" s="965"/>
      <c r="S8" s="965"/>
      <c r="T8" s="203"/>
      <c r="U8" s="203"/>
      <c r="W8" s="201"/>
    </row>
    <row r="9" spans="1:26" ht="18" customHeight="1" thickBot="1" x14ac:dyDescent="0.25">
      <c r="A9" t="s">
        <v>251</v>
      </c>
      <c r="E9" t="s">
        <v>366</v>
      </c>
      <c r="F9" s="966">
        <f>Draft!AS2</f>
        <v>46221</v>
      </c>
      <c r="G9" s="966"/>
      <c r="H9" s="966"/>
      <c r="I9" s="966"/>
      <c r="J9" s="966"/>
      <c r="K9" s="966"/>
      <c r="L9" s="966"/>
      <c r="M9" s="966"/>
      <c r="N9" s="966"/>
      <c r="O9" s="966"/>
      <c r="P9" s="966"/>
      <c r="Q9" s="966"/>
      <c r="R9" s="966"/>
      <c r="S9" s="966"/>
      <c r="T9" s="204"/>
      <c r="U9" s="204"/>
      <c r="W9" s="201"/>
    </row>
    <row r="10" spans="1:26" ht="18" customHeight="1" thickBot="1" x14ac:dyDescent="0.25">
      <c r="A10" t="s">
        <v>268</v>
      </c>
      <c r="E10" t="s">
        <v>366</v>
      </c>
      <c r="F10" s="962" t="s">
        <v>395</v>
      </c>
      <c r="G10" s="967"/>
      <c r="H10" s="967"/>
      <c r="I10" s="967"/>
      <c r="J10" s="967"/>
      <c r="K10" s="967"/>
      <c r="L10" s="967"/>
      <c r="M10" s="967"/>
      <c r="N10" s="967"/>
      <c r="O10" s="967"/>
      <c r="P10" s="967"/>
      <c r="Q10" s="967"/>
      <c r="R10" s="967"/>
      <c r="S10" s="967"/>
      <c r="T10" s="204"/>
      <c r="U10" s="204"/>
      <c r="W10" s="201"/>
    </row>
    <row r="11" spans="1:26" ht="18" customHeight="1" thickBot="1" x14ac:dyDescent="0.25">
      <c r="A11" t="s">
        <v>367</v>
      </c>
      <c r="E11" t="s">
        <v>366</v>
      </c>
      <c r="F11" s="962" t="s">
        <v>411</v>
      </c>
      <c r="G11" s="967"/>
      <c r="H11" s="967"/>
      <c r="I11" s="967"/>
      <c r="J11" s="967"/>
      <c r="K11" s="967"/>
      <c r="L11" s="967"/>
      <c r="M11" s="967"/>
      <c r="N11" s="967"/>
      <c r="O11" s="967"/>
      <c r="P11" s="967"/>
      <c r="Q11" s="967"/>
      <c r="R11" s="967"/>
      <c r="S11" s="967"/>
      <c r="T11" s="204"/>
      <c r="U11" s="204"/>
      <c r="W11" s="201"/>
    </row>
    <row r="12" spans="1:26" ht="18" customHeight="1" thickBot="1" x14ac:dyDescent="0.25">
      <c r="A12" s="189" t="s">
        <v>368</v>
      </c>
      <c r="E12" t="s">
        <v>366</v>
      </c>
      <c r="F12" s="968" t="str">
        <f>'Note of Protest SHORE SCALE '!A23</f>
        <v>DDGS-SOYABEANS-YELLOW CORN</v>
      </c>
      <c r="G12" s="967"/>
      <c r="H12" s="967"/>
      <c r="I12" s="967"/>
      <c r="J12" s="967"/>
      <c r="K12" s="967"/>
      <c r="L12" s="967"/>
      <c r="M12" s="967"/>
      <c r="N12" s="967"/>
      <c r="O12" s="967"/>
      <c r="P12" s="967"/>
      <c r="Q12" s="967"/>
      <c r="R12" s="967"/>
      <c r="S12" s="967"/>
      <c r="T12" s="967"/>
      <c r="U12" s="967"/>
      <c r="W12" s="201"/>
    </row>
    <row r="13" spans="1:26" ht="18" customHeight="1" thickBot="1" x14ac:dyDescent="0.25">
      <c r="A13" t="s">
        <v>369</v>
      </c>
      <c r="E13" t="s">
        <v>366</v>
      </c>
      <c r="F13" s="967" t="str">
        <f>'Note of Protest SHORE SCALE '!F13</f>
        <v>NOMBRE EL OWNER</v>
      </c>
      <c r="G13" s="967"/>
      <c r="H13" s="967"/>
      <c r="I13" s="967"/>
      <c r="J13" s="967"/>
      <c r="K13" s="967"/>
      <c r="L13" s="967"/>
      <c r="M13" s="967"/>
      <c r="N13" s="967"/>
      <c r="O13" s="967"/>
      <c r="P13" s="967"/>
      <c r="Q13" s="967"/>
      <c r="R13" s="967"/>
      <c r="S13" s="967"/>
      <c r="T13" s="967"/>
      <c r="U13" s="967"/>
      <c r="W13" s="201"/>
    </row>
    <row r="14" spans="1:26" ht="18" customHeight="1" x14ac:dyDescent="0.2"/>
    <row r="15" spans="1:26" ht="18" customHeight="1" x14ac:dyDescent="0.2">
      <c r="A15" s="205" t="s">
        <v>390</v>
      </c>
      <c r="B15" s="260" t="str">
        <f>'Note of Protest SHORE SCALE '!B15</f>
        <v>CARGUILL</v>
      </c>
      <c r="D15" s="205"/>
      <c r="F15" s="201"/>
      <c r="G15" s="201"/>
      <c r="H15" s="201"/>
      <c r="I15" s="201"/>
      <c r="J15" s="201"/>
      <c r="K15" s="201"/>
      <c r="L15" s="201"/>
      <c r="M15" s="201"/>
      <c r="N15" s="201"/>
      <c r="O15" s="201"/>
      <c r="P15" s="201"/>
      <c r="Q15" s="201"/>
      <c r="R15" s="201"/>
      <c r="S15" s="201"/>
    </row>
    <row r="16" spans="1:26" ht="18" customHeight="1" x14ac:dyDescent="0.2">
      <c r="B16" s="206"/>
      <c r="F16" s="201"/>
      <c r="G16" s="201"/>
      <c r="H16" s="201"/>
      <c r="I16" s="201"/>
      <c r="J16" s="201"/>
      <c r="K16" s="201"/>
      <c r="L16" s="201"/>
      <c r="M16" s="201"/>
      <c r="N16" s="201"/>
      <c r="O16" s="201"/>
      <c r="P16" s="201"/>
      <c r="Q16" s="201"/>
      <c r="R16" s="201"/>
      <c r="S16" s="201"/>
    </row>
    <row r="17" spans="1:878" ht="18" customHeight="1" x14ac:dyDescent="0.2"/>
    <row r="18" spans="1:878" ht="18" customHeight="1" x14ac:dyDescent="0.2">
      <c r="A18" t="s">
        <v>391</v>
      </c>
    </row>
    <row r="19" spans="1:878" ht="18" customHeight="1" x14ac:dyDescent="0.2">
      <c r="A19" t="s">
        <v>370</v>
      </c>
    </row>
    <row r="20" spans="1:878" ht="18" customHeight="1" x14ac:dyDescent="0.2">
      <c r="A20" s="205" t="s">
        <v>371</v>
      </c>
    </row>
    <row r="21" spans="1:878" ht="18" customHeight="1" x14ac:dyDescent="0.2">
      <c r="A21" s="205"/>
    </row>
    <row r="22" spans="1:878" ht="18" customHeight="1" thickBot="1" x14ac:dyDescent="0.25">
      <c r="T22" s="207"/>
      <c r="U22" s="207"/>
      <c r="V22" s="207"/>
      <c r="W22" s="207"/>
      <c r="X22" s="207"/>
      <c r="Y22" s="207"/>
      <c r="Z22" s="208"/>
    </row>
    <row r="23" spans="1:878" ht="18" customHeight="1" thickBot="1" x14ac:dyDescent="0.25">
      <c r="A23" s="954" t="str">
        <f>Draft!AB2</f>
        <v>DDGS-SOYABEANS-YELLOW CORN</v>
      </c>
      <c r="B23" s="955"/>
      <c r="C23" s="955"/>
      <c r="D23" s="955"/>
      <c r="E23" s="955"/>
      <c r="F23" s="955"/>
      <c r="G23" s="955"/>
      <c r="H23" s="955"/>
      <c r="I23" s="955"/>
      <c r="J23" s="955"/>
      <c r="K23" s="955"/>
      <c r="L23" s="955"/>
      <c r="M23" s="955"/>
      <c r="N23" s="955"/>
      <c r="O23" s="955"/>
      <c r="P23" s="955"/>
      <c r="Q23" s="955"/>
      <c r="R23" s="955"/>
      <c r="S23" s="956"/>
      <c r="AK23" s="609"/>
      <c r="AL23" s="609"/>
      <c r="AM23" s="609"/>
      <c r="AN23" s="609"/>
      <c r="AO23" s="609"/>
      <c r="AP23" s="609"/>
      <c r="AQ23" s="609"/>
      <c r="AR23" s="609"/>
    </row>
    <row r="24" spans="1:878" ht="18" customHeight="1" x14ac:dyDescent="0.2">
      <c r="A24" s="35" t="s">
        <v>372</v>
      </c>
      <c r="B24" s="209"/>
      <c r="C24" s="209"/>
      <c r="D24" s="209"/>
      <c r="E24" s="209"/>
      <c r="F24" s="209"/>
      <c r="G24" s="209"/>
      <c r="H24" s="209"/>
      <c r="I24" s="209"/>
      <c r="J24" s="957">
        <f>Draft!AG35</f>
        <v>51045.42</v>
      </c>
      <c r="K24" s="958"/>
      <c r="L24" s="958"/>
      <c r="M24" s="958"/>
      <c r="N24" s="958"/>
      <c r="O24" s="958"/>
      <c r="P24" s="958"/>
      <c r="Q24" s="958"/>
      <c r="R24" s="958"/>
      <c r="S24" s="210" t="s">
        <v>373</v>
      </c>
      <c r="AK24" s="959"/>
      <c r="AL24" s="959"/>
      <c r="AM24" s="959"/>
      <c r="AN24" s="959"/>
      <c r="AO24" s="959"/>
      <c r="AP24" s="959"/>
      <c r="AQ24" s="959"/>
      <c r="AR24" s="959"/>
    </row>
    <row r="25" spans="1:878" ht="18" customHeight="1" x14ac:dyDescent="0.2">
      <c r="A25" s="35" t="s">
        <v>392</v>
      </c>
      <c r="B25" s="5"/>
      <c r="C25" s="5"/>
      <c r="D25" s="5"/>
      <c r="E25" s="5"/>
      <c r="F25" s="5"/>
      <c r="G25" s="5"/>
      <c r="H25" s="5"/>
      <c r="I25" s="5"/>
      <c r="J25" s="960">
        <f>Draft!AG34</f>
        <v>51122.536412614128</v>
      </c>
      <c r="K25" s="961"/>
      <c r="L25" s="961"/>
      <c r="M25" s="961"/>
      <c r="N25" s="961"/>
      <c r="O25" s="961"/>
      <c r="P25" s="961"/>
      <c r="Q25" s="961"/>
      <c r="R25" s="961"/>
      <c r="S25" s="210" t="s">
        <v>373</v>
      </c>
      <c r="AK25" s="959"/>
      <c r="AL25" s="959"/>
      <c r="AM25" s="959"/>
      <c r="AN25" s="959"/>
      <c r="AO25" s="959"/>
      <c r="AP25" s="959"/>
      <c r="AQ25" s="959"/>
      <c r="AR25" s="959"/>
    </row>
    <row r="26" spans="1:878" ht="18" customHeight="1" x14ac:dyDescent="0.2">
      <c r="A26" s="199" t="s">
        <v>374</v>
      </c>
      <c r="B26" s="211"/>
      <c r="C26" s="211"/>
      <c r="D26" s="211"/>
      <c r="E26" s="211"/>
      <c r="F26" s="211"/>
      <c r="G26" s="211"/>
      <c r="H26" s="211"/>
      <c r="I26" s="211"/>
      <c r="J26" s="942">
        <f>+J25-J24</f>
        <v>77.11641261413024</v>
      </c>
      <c r="K26" s="943"/>
      <c r="L26" s="943"/>
      <c r="M26" s="943"/>
      <c r="N26" s="943"/>
      <c r="O26" s="943"/>
      <c r="P26" s="943"/>
      <c r="Q26" s="943"/>
      <c r="R26" s="943"/>
      <c r="S26" s="212" t="s">
        <v>373</v>
      </c>
    </row>
    <row r="27" spans="1:878" ht="18" customHeight="1" x14ac:dyDescent="0.2">
      <c r="A27" s="35" t="s">
        <v>375</v>
      </c>
      <c r="B27" s="211"/>
      <c r="C27" s="211"/>
      <c r="D27" s="211"/>
      <c r="E27" s="211"/>
      <c r="F27" s="211"/>
      <c r="G27" s="211"/>
      <c r="H27" s="211"/>
      <c r="I27" s="211"/>
      <c r="J27" s="944">
        <f>+J26/J24</f>
        <v>1.5107410736189505E-3</v>
      </c>
      <c r="K27" s="945"/>
      <c r="L27" s="945"/>
      <c r="M27" s="945"/>
      <c r="N27" s="945"/>
      <c r="O27" s="945"/>
      <c r="P27" s="945"/>
      <c r="Q27" s="945"/>
      <c r="R27" s="945"/>
      <c r="S27" s="212" t="s">
        <v>373</v>
      </c>
      <c r="AK27" s="946"/>
      <c r="AL27" s="946"/>
      <c r="AM27" s="946"/>
      <c r="AN27" s="946"/>
      <c r="AO27" s="946"/>
      <c r="AP27" s="946"/>
      <c r="AQ27" s="946"/>
      <c r="AR27" s="946"/>
    </row>
    <row r="28" spans="1:878" s="203" customFormat="1" ht="18" customHeight="1" thickBot="1" x14ac:dyDescent="0.25">
      <c r="A28" s="29"/>
      <c r="B28" s="24"/>
      <c r="C28" s="24"/>
      <c r="D28" s="24"/>
      <c r="E28" s="24"/>
      <c r="F28" s="24"/>
      <c r="G28" s="24"/>
      <c r="H28" s="24"/>
      <c r="I28" s="24"/>
      <c r="J28" s="947"/>
      <c r="K28" s="948"/>
      <c r="L28" s="948"/>
      <c r="M28" s="948"/>
      <c r="N28" s="948"/>
      <c r="O28" s="948"/>
      <c r="P28" s="948"/>
      <c r="Q28" s="948"/>
      <c r="R28" s="948"/>
      <c r="S28" s="205"/>
      <c r="T28"/>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c r="BI28"/>
      <c r="BJ28"/>
      <c r="BK28"/>
      <c r="BL28"/>
      <c r="BM28"/>
      <c r="BN28"/>
      <c r="BO28"/>
      <c r="BP28"/>
      <c r="BQ28"/>
      <c r="BR28"/>
      <c r="BS28"/>
      <c r="BT28"/>
      <c r="BU28"/>
      <c r="BV28"/>
      <c r="BW28"/>
      <c r="BX28"/>
      <c r="BY28"/>
      <c r="BZ28"/>
      <c r="CA28"/>
      <c r="CB28"/>
      <c r="CC28"/>
      <c r="CD28"/>
      <c r="CE28"/>
      <c r="CF28"/>
      <c r="CG28"/>
      <c r="CH28"/>
      <c r="CI28"/>
      <c r="CJ28"/>
      <c r="CK28"/>
      <c r="CL28"/>
      <c r="CM28"/>
      <c r="CN28"/>
      <c r="CO28"/>
      <c r="CP28"/>
      <c r="CQ28"/>
      <c r="CR28"/>
      <c r="CS28"/>
      <c r="CT28"/>
      <c r="CU28"/>
      <c r="CV28"/>
      <c r="CW28"/>
      <c r="CX28"/>
      <c r="CY28"/>
      <c r="CZ28"/>
      <c r="DA28"/>
      <c r="DB28"/>
      <c r="DC28"/>
      <c r="DD28"/>
      <c r="DE28"/>
      <c r="DF28"/>
      <c r="DG28"/>
      <c r="DH28"/>
      <c r="DI28"/>
      <c r="DJ28"/>
      <c r="DK28"/>
      <c r="DL28"/>
      <c r="DM28"/>
      <c r="DN28"/>
      <c r="DO28"/>
      <c r="DP28"/>
      <c r="DQ28"/>
      <c r="DR28"/>
      <c r="DS28"/>
      <c r="DT28"/>
      <c r="DU28"/>
      <c r="DV28"/>
      <c r="DW28"/>
      <c r="DX28"/>
      <c r="DY28"/>
      <c r="DZ28"/>
      <c r="EA28"/>
      <c r="EB28"/>
      <c r="EC28"/>
      <c r="ED28"/>
      <c r="EE28"/>
      <c r="EF28"/>
      <c r="EG28"/>
      <c r="EH28"/>
      <c r="EI28"/>
      <c r="EJ28"/>
      <c r="EK28"/>
      <c r="EL28"/>
      <c r="EM28"/>
      <c r="EN28"/>
      <c r="EO28"/>
      <c r="EP28"/>
      <c r="EQ28"/>
      <c r="ER28"/>
      <c r="ES28"/>
      <c r="ET28"/>
      <c r="EU28"/>
      <c r="EV28"/>
      <c r="EW28"/>
      <c r="EX28"/>
      <c r="EY28"/>
      <c r="EZ28"/>
      <c r="FA28"/>
      <c r="FB28"/>
      <c r="FC28"/>
      <c r="FD28"/>
      <c r="FE28"/>
      <c r="FF28"/>
      <c r="FG28"/>
      <c r="FH28"/>
      <c r="FI28"/>
      <c r="FJ28"/>
      <c r="FK28"/>
      <c r="FL28"/>
      <c r="FM28"/>
      <c r="FN28"/>
      <c r="FO28"/>
      <c r="FP28"/>
      <c r="FQ28"/>
      <c r="FR28"/>
      <c r="FS28"/>
      <c r="FT28"/>
      <c r="FU28"/>
      <c r="FV28"/>
      <c r="FW28"/>
      <c r="FX28"/>
      <c r="FY28"/>
      <c r="FZ28"/>
      <c r="GA28"/>
      <c r="GB28"/>
      <c r="GC28"/>
      <c r="GD28"/>
      <c r="GE28"/>
      <c r="GF28"/>
      <c r="GG28"/>
      <c r="GH28"/>
      <c r="GI28"/>
      <c r="GJ28"/>
      <c r="GK28"/>
      <c r="GL28"/>
      <c r="GM28"/>
      <c r="GN28"/>
      <c r="GO28"/>
      <c r="GP28"/>
      <c r="GQ28"/>
      <c r="GR28"/>
      <c r="GS28"/>
      <c r="GT28"/>
      <c r="GU28"/>
      <c r="GV28"/>
      <c r="GW28"/>
      <c r="GX28"/>
      <c r="GY28"/>
      <c r="GZ28"/>
      <c r="HA28"/>
      <c r="HB28"/>
      <c r="HC28"/>
      <c r="HD28"/>
      <c r="HE28"/>
      <c r="HF28"/>
      <c r="HG28"/>
      <c r="HH28"/>
      <c r="HI28"/>
      <c r="HJ28"/>
      <c r="HK28"/>
      <c r="HL28"/>
      <c r="HM28"/>
      <c r="HN28"/>
      <c r="HO28"/>
      <c r="HP28"/>
      <c r="HQ28"/>
      <c r="HR28"/>
      <c r="HS28"/>
      <c r="HT28"/>
      <c r="HU28"/>
      <c r="HV28"/>
      <c r="HW28"/>
      <c r="HX28"/>
      <c r="HY28"/>
      <c r="HZ28"/>
      <c r="IA28"/>
      <c r="IB28"/>
      <c r="IC28"/>
      <c r="ID28"/>
      <c r="IE28"/>
      <c r="IF28"/>
      <c r="IG28"/>
      <c r="IH28"/>
      <c r="II28"/>
      <c r="IJ28"/>
      <c r="IK28"/>
      <c r="IL28"/>
      <c r="IM28"/>
      <c r="IN28"/>
      <c r="IO28"/>
      <c r="IP28"/>
      <c r="IQ28"/>
      <c r="IR28"/>
      <c r="IS28"/>
      <c r="IT28"/>
      <c r="IU28"/>
      <c r="IV28"/>
      <c r="IW28"/>
      <c r="IX28"/>
      <c r="IY28"/>
      <c r="IZ28"/>
      <c r="JA28"/>
      <c r="JB28"/>
      <c r="JC28"/>
      <c r="JD28"/>
      <c r="JE28"/>
      <c r="JF28"/>
      <c r="JG28"/>
      <c r="JH28"/>
      <c r="JI28"/>
      <c r="JJ28"/>
      <c r="JK28"/>
      <c r="JL28"/>
      <c r="JM28"/>
      <c r="JN28"/>
      <c r="JO28"/>
      <c r="JP28"/>
      <c r="JQ28"/>
      <c r="JR28"/>
      <c r="JS28"/>
      <c r="JT28"/>
      <c r="JU28"/>
      <c r="JV28"/>
      <c r="JW28"/>
      <c r="JX28"/>
      <c r="JY28"/>
      <c r="JZ28"/>
      <c r="KA28"/>
      <c r="KB28"/>
      <c r="KC28"/>
      <c r="KD28"/>
      <c r="KE28"/>
      <c r="KF28"/>
      <c r="KG28"/>
      <c r="KH28"/>
      <c r="KI28"/>
      <c r="KJ28"/>
      <c r="KK28"/>
      <c r="KL28"/>
      <c r="KM28"/>
      <c r="KN28"/>
      <c r="KO28"/>
      <c r="KP28"/>
      <c r="KQ28"/>
      <c r="KR28"/>
      <c r="KS28"/>
      <c r="KT28"/>
      <c r="KU28"/>
      <c r="KV28"/>
      <c r="KW28"/>
      <c r="KX28"/>
      <c r="KY28"/>
      <c r="KZ28"/>
      <c r="LA28"/>
      <c r="LB28"/>
      <c r="LC28"/>
      <c r="LD28"/>
      <c r="LE28"/>
      <c r="LF28"/>
      <c r="LG28"/>
      <c r="LH28"/>
      <c r="LI28"/>
      <c r="LJ28"/>
      <c r="LK28"/>
      <c r="LL28"/>
      <c r="LM28"/>
      <c r="LN28"/>
      <c r="LO28"/>
      <c r="LP28"/>
      <c r="LQ28"/>
      <c r="LR28"/>
      <c r="LS28"/>
      <c r="LT28"/>
      <c r="LU28"/>
      <c r="LV28"/>
      <c r="LW28"/>
      <c r="LX28"/>
      <c r="LY28"/>
      <c r="LZ28"/>
      <c r="MA28"/>
      <c r="MB28"/>
      <c r="MC28"/>
      <c r="MD28"/>
      <c r="ME28"/>
      <c r="MF28"/>
      <c r="MG28"/>
      <c r="MH28"/>
      <c r="MI28"/>
      <c r="MJ28"/>
      <c r="MK28"/>
      <c r="ML28"/>
      <c r="MM28"/>
      <c r="MN28"/>
      <c r="MO28"/>
      <c r="MP28"/>
      <c r="MQ28"/>
      <c r="MR28"/>
      <c r="MS28"/>
      <c r="MT28"/>
      <c r="MU28"/>
      <c r="MV28"/>
      <c r="MW28"/>
      <c r="MX28"/>
      <c r="MY28"/>
      <c r="MZ28"/>
      <c r="NA28"/>
      <c r="NB28"/>
      <c r="NC28"/>
      <c r="ND28"/>
      <c r="NE28"/>
      <c r="NF28"/>
      <c r="NG28"/>
      <c r="NH28"/>
      <c r="NI28"/>
      <c r="NJ28"/>
      <c r="NK28"/>
      <c r="NL28"/>
      <c r="NM28"/>
      <c r="NN28"/>
      <c r="NO28"/>
      <c r="NP28"/>
      <c r="NQ28"/>
      <c r="NR28"/>
      <c r="NS28"/>
      <c r="NT28"/>
      <c r="NU28"/>
      <c r="NV28"/>
      <c r="NW28"/>
      <c r="NX28"/>
      <c r="NY28"/>
      <c r="NZ28"/>
      <c r="OA28"/>
      <c r="OB28"/>
      <c r="OC28"/>
      <c r="OD28"/>
      <c r="OE28"/>
      <c r="OF28"/>
      <c r="OG28"/>
      <c r="OH28"/>
      <c r="OI28"/>
      <c r="OJ28"/>
      <c r="OK28"/>
      <c r="OL28"/>
      <c r="OM28"/>
      <c r="ON28"/>
      <c r="OO28"/>
      <c r="OP28"/>
      <c r="OQ28"/>
      <c r="OR28"/>
      <c r="OS28"/>
      <c r="OT28"/>
      <c r="OU28"/>
      <c r="OV28"/>
      <c r="OW28"/>
      <c r="OX28"/>
      <c r="OY28"/>
      <c r="OZ28"/>
      <c r="PA28"/>
      <c r="PB28"/>
      <c r="PC28"/>
      <c r="PD28"/>
      <c r="PE28"/>
      <c r="PF28"/>
      <c r="PG28"/>
      <c r="PH28"/>
      <c r="PI28"/>
      <c r="PJ28"/>
      <c r="PK28"/>
      <c r="PL28"/>
      <c r="PM28"/>
      <c r="PN28"/>
      <c r="PO28"/>
      <c r="PP28"/>
      <c r="PQ28"/>
      <c r="PR28"/>
      <c r="PS28"/>
      <c r="PT28"/>
      <c r="PU28"/>
      <c r="PV28"/>
      <c r="PW28"/>
      <c r="PX28"/>
      <c r="PY28"/>
      <c r="PZ28"/>
      <c r="QA28"/>
      <c r="QB28"/>
      <c r="QC28"/>
      <c r="QD28"/>
      <c r="QE28"/>
      <c r="QF28"/>
      <c r="QG28"/>
      <c r="QH28"/>
      <c r="QI28"/>
      <c r="QJ28"/>
      <c r="QK28"/>
      <c r="QL28"/>
      <c r="QM28"/>
      <c r="QN28"/>
      <c r="QO28"/>
      <c r="QP28"/>
      <c r="QQ28"/>
      <c r="QR28"/>
      <c r="QS28"/>
      <c r="QT28"/>
      <c r="QU28"/>
      <c r="QV28"/>
      <c r="QW28"/>
      <c r="QX28"/>
      <c r="QY28"/>
      <c r="QZ28"/>
      <c r="RA28"/>
      <c r="RB28"/>
      <c r="RC28"/>
      <c r="RD28"/>
      <c r="RE28"/>
      <c r="RF28"/>
      <c r="RG28"/>
      <c r="RH28"/>
      <c r="RI28"/>
      <c r="RJ28"/>
      <c r="RK28"/>
      <c r="RL28"/>
      <c r="RM28"/>
      <c r="RN28"/>
      <c r="RO28"/>
      <c r="RP28"/>
      <c r="RQ28"/>
      <c r="RR28"/>
      <c r="RS28"/>
      <c r="RT28"/>
      <c r="RU28"/>
      <c r="RV28"/>
      <c r="RW28"/>
      <c r="RX28"/>
      <c r="RY28"/>
      <c r="RZ28"/>
      <c r="SA28"/>
      <c r="SB28"/>
      <c r="SC28"/>
      <c r="SD28"/>
      <c r="SE28"/>
      <c r="SF28"/>
      <c r="SG28"/>
      <c r="SH28"/>
      <c r="SI28"/>
      <c r="SJ28"/>
      <c r="SK28"/>
      <c r="SL28"/>
      <c r="SM28"/>
      <c r="SN28"/>
      <c r="SO28"/>
      <c r="SP28"/>
      <c r="SQ28"/>
      <c r="SR28"/>
      <c r="SS28"/>
      <c r="ST28"/>
      <c r="SU28"/>
      <c r="SV28"/>
      <c r="SW28"/>
      <c r="SX28"/>
      <c r="SY28"/>
      <c r="SZ28"/>
      <c r="TA28"/>
      <c r="TB28"/>
      <c r="TC28"/>
      <c r="TD28"/>
      <c r="TE28"/>
      <c r="TF28"/>
      <c r="TG28"/>
      <c r="TH28"/>
      <c r="TI28"/>
      <c r="TJ28"/>
      <c r="TK28"/>
      <c r="TL28"/>
      <c r="TM28"/>
      <c r="TN28"/>
      <c r="TO28"/>
      <c r="TP28"/>
      <c r="TQ28"/>
      <c r="TR28"/>
      <c r="TS28"/>
      <c r="TT28"/>
      <c r="TU28"/>
      <c r="TV28"/>
      <c r="TW28"/>
      <c r="TX28"/>
      <c r="TY28"/>
      <c r="TZ28"/>
      <c r="UA28"/>
      <c r="UB28"/>
      <c r="UC28"/>
      <c r="UD28"/>
      <c r="UE28"/>
      <c r="UF28"/>
      <c r="UG28"/>
      <c r="UH28"/>
      <c r="UI28"/>
      <c r="UJ28"/>
      <c r="UK28"/>
      <c r="UL28"/>
      <c r="UM28"/>
      <c r="UN28"/>
      <c r="UO28"/>
      <c r="UP28"/>
      <c r="UQ28"/>
      <c r="UR28"/>
      <c r="US28"/>
      <c r="UT28"/>
      <c r="UU28"/>
      <c r="UV28"/>
      <c r="UW28"/>
      <c r="UX28"/>
      <c r="UY28"/>
      <c r="UZ28"/>
      <c r="VA28"/>
      <c r="VB28"/>
      <c r="VC28"/>
      <c r="VD28"/>
      <c r="VE28"/>
      <c r="VF28"/>
      <c r="VG28"/>
      <c r="VH28"/>
      <c r="VI28"/>
      <c r="VJ28"/>
      <c r="VK28"/>
      <c r="VL28"/>
      <c r="VM28"/>
      <c r="VN28"/>
      <c r="VO28"/>
      <c r="VP28"/>
      <c r="VQ28"/>
      <c r="VR28"/>
      <c r="VS28"/>
      <c r="VT28"/>
      <c r="VU28"/>
      <c r="VV28"/>
      <c r="VW28"/>
      <c r="VX28"/>
      <c r="VY28"/>
      <c r="VZ28"/>
      <c r="WA28"/>
      <c r="WB28"/>
      <c r="WC28"/>
      <c r="WD28"/>
      <c r="WE28"/>
      <c r="WF28"/>
      <c r="WG28"/>
      <c r="WH28"/>
      <c r="WI28"/>
      <c r="WJ28"/>
      <c r="WK28"/>
      <c r="WL28"/>
      <c r="WM28"/>
      <c r="WN28"/>
      <c r="WO28"/>
      <c r="WP28"/>
      <c r="WQ28"/>
      <c r="WR28"/>
      <c r="WS28"/>
      <c r="WT28"/>
      <c r="WU28"/>
      <c r="WV28"/>
      <c r="WW28"/>
      <c r="WX28"/>
      <c r="WY28"/>
      <c r="WZ28"/>
      <c r="XA28"/>
      <c r="XB28"/>
      <c r="XC28"/>
      <c r="XD28"/>
      <c r="XE28"/>
      <c r="XF28"/>
      <c r="XG28"/>
      <c r="XH28"/>
      <c r="XI28"/>
      <c r="XJ28"/>
      <c r="XK28"/>
      <c r="XL28"/>
      <c r="XM28"/>
      <c r="XN28"/>
      <c r="XO28"/>
      <c r="XP28"/>
      <c r="XQ28"/>
      <c r="XR28"/>
      <c r="XS28"/>
      <c r="XT28"/>
      <c r="XU28"/>
      <c r="XV28"/>
      <c r="XW28"/>
      <c r="XX28"/>
      <c r="XY28"/>
      <c r="XZ28"/>
      <c r="YA28"/>
      <c r="YB28"/>
      <c r="YC28"/>
      <c r="YD28"/>
      <c r="YE28"/>
      <c r="YF28"/>
      <c r="YG28"/>
      <c r="YH28"/>
      <c r="YI28"/>
      <c r="YJ28"/>
      <c r="YK28"/>
      <c r="YL28"/>
      <c r="YM28"/>
      <c r="YN28"/>
      <c r="YO28"/>
      <c r="YP28"/>
      <c r="YQ28"/>
      <c r="YR28"/>
      <c r="YS28"/>
      <c r="YT28"/>
      <c r="YU28"/>
      <c r="YV28"/>
      <c r="YW28"/>
      <c r="YX28"/>
      <c r="YY28"/>
      <c r="YZ28"/>
      <c r="ZA28"/>
      <c r="ZB28"/>
      <c r="ZC28"/>
      <c r="ZD28"/>
      <c r="ZE28"/>
      <c r="ZF28"/>
      <c r="ZG28"/>
      <c r="ZH28"/>
      <c r="ZI28"/>
      <c r="ZJ28"/>
      <c r="ZK28"/>
      <c r="ZL28"/>
      <c r="ZM28"/>
      <c r="ZN28"/>
      <c r="ZO28"/>
      <c r="ZP28"/>
      <c r="ZQ28"/>
      <c r="ZR28"/>
      <c r="ZS28"/>
      <c r="ZT28"/>
      <c r="ZU28"/>
      <c r="ZV28"/>
      <c r="ZW28"/>
      <c r="ZX28"/>
      <c r="ZY28"/>
      <c r="ZZ28"/>
      <c r="AAA28"/>
      <c r="AAB28"/>
      <c r="AAC28"/>
      <c r="AAD28"/>
      <c r="AAE28"/>
      <c r="AAF28"/>
      <c r="AAG28"/>
      <c r="AAH28"/>
      <c r="AAI28"/>
      <c r="AAJ28"/>
      <c r="AAK28"/>
      <c r="AAL28"/>
      <c r="AAM28"/>
      <c r="AAN28"/>
      <c r="AAO28"/>
      <c r="AAP28"/>
      <c r="AAQ28"/>
      <c r="AAR28"/>
      <c r="AAS28"/>
      <c r="AAT28"/>
      <c r="AAU28"/>
      <c r="AAV28"/>
      <c r="AAW28"/>
      <c r="AAX28"/>
      <c r="AAY28"/>
      <c r="AAZ28"/>
      <c r="ABA28"/>
      <c r="ABB28"/>
      <c r="ABC28"/>
      <c r="ABD28"/>
      <c r="ABE28"/>
      <c r="ABF28"/>
      <c r="ABG28"/>
      <c r="ABH28"/>
      <c r="ABI28"/>
      <c r="ABJ28"/>
      <c r="ABK28"/>
      <c r="ABL28"/>
      <c r="ABM28"/>
      <c r="ABN28"/>
      <c r="ABO28"/>
      <c r="ABP28"/>
      <c r="ABQ28"/>
      <c r="ABR28"/>
      <c r="ABS28"/>
      <c r="ABT28"/>
      <c r="ABU28"/>
      <c r="ABV28"/>
      <c r="ABW28"/>
      <c r="ABX28"/>
      <c r="ABY28"/>
      <c r="ABZ28"/>
      <c r="ACA28"/>
      <c r="ACB28"/>
      <c r="ACC28"/>
      <c r="ACD28"/>
      <c r="ACE28"/>
      <c r="ACF28"/>
      <c r="ACG28"/>
      <c r="ACH28"/>
      <c r="ACI28"/>
      <c r="ACJ28"/>
      <c r="ACK28"/>
      <c r="ACL28"/>
      <c r="ACM28"/>
      <c r="ACN28"/>
      <c r="ACO28"/>
      <c r="ACP28"/>
      <c r="ACQ28"/>
      <c r="ACR28"/>
      <c r="ACS28"/>
      <c r="ACT28"/>
      <c r="ACU28"/>
      <c r="ACV28"/>
      <c r="ACW28"/>
      <c r="ACX28"/>
      <c r="ACY28"/>
      <c r="ACZ28"/>
      <c r="ADA28"/>
      <c r="ADB28"/>
      <c r="ADC28"/>
      <c r="ADD28"/>
      <c r="ADE28"/>
      <c r="ADF28"/>
      <c r="ADG28"/>
      <c r="ADH28"/>
      <c r="ADI28"/>
      <c r="ADJ28"/>
      <c r="ADK28"/>
      <c r="ADL28"/>
      <c r="ADM28"/>
      <c r="ADN28"/>
      <c r="ADO28"/>
      <c r="ADP28"/>
      <c r="ADQ28"/>
      <c r="ADR28"/>
      <c r="ADS28"/>
      <c r="ADT28"/>
      <c r="ADU28"/>
      <c r="ADV28"/>
      <c r="ADW28"/>
      <c r="ADX28"/>
      <c r="ADY28"/>
      <c r="ADZ28"/>
      <c r="AEA28"/>
      <c r="AEB28"/>
      <c r="AEC28"/>
      <c r="AED28"/>
      <c r="AEE28"/>
      <c r="AEF28"/>
      <c r="AEG28"/>
      <c r="AEH28"/>
      <c r="AEI28"/>
      <c r="AEJ28"/>
      <c r="AEK28"/>
      <c r="AEL28"/>
      <c r="AEM28"/>
      <c r="AEN28"/>
      <c r="AEO28"/>
      <c r="AEP28"/>
      <c r="AEQ28"/>
      <c r="AER28"/>
      <c r="AES28"/>
      <c r="AET28"/>
      <c r="AEU28"/>
      <c r="AEV28"/>
      <c r="AEW28"/>
      <c r="AEX28"/>
      <c r="AEY28"/>
      <c r="AEZ28"/>
      <c r="AFA28"/>
      <c r="AFB28"/>
      <c r="AFC28"/>
      <c r="AFD28"/>
      <c r="AFE28"/>
      <c r="AFF28"/>
      <c r="AFG28"/>
      <c r="AFH28"/>
      <c r="AFI28"/>
      <c r="AFJ28"/>
      <c r="AFK28"/>
      <c r="AFL28"/>
      <c r="AFM28"/>
      <c r="AFN28"/>
      <c r="AFO28"/>
      <c r="AFP28"/>
      <c r="AFQ28"/>
      <c r="AFR28"/>
      <c r="AFS28"/>
      <c r="AFT28"/>
      <c r="AFU28"/>
      <c r="AFV28"/>
      <c r="AFW28"/>
      <c r="AFX28"/>
      <c r="AFY28"/>
      <c r="AFZ28"/>
      <c r="AGA28"/>
      <c r="AGB28"/>
      <c r="AGC28"/>
      <c r="AGD28"/>
      <c r="AGE28"/>
      <c r="AGF28"/>
      <c r="AGG28"/>
      <c r="AGH28"/>
      <c r="AGI28"/>
      <c r="AGJ28"/>
      <c r="AGK28"/>
      <c r="AGL28"/>
      <c r="AGM28"/>
      <c r="AGN28"/>
      <c r="AGO28"/>
      <c r="AGP28"/>
      <c r="AGQ28"/>
      <c r="AGR28"/>
      <c r="AGS28"/>
      <c r="AGT28"/>
    </row>
    <row r="29" spans="1:878" ht="18" customHeight="1" x14ac:dyDescent="0.2">
      <c r="A29" s="24"/>
      <c r="B29" s="24"/>
      <c r="C29" s="24"/>
      <c r="D29" s="24"/>
      <c r="E29" s="24"/>
      <c r="F29" s="24"/>
      <c r="G29" s="24"/>
      <c r="H29" s="24"/>
      <c r="I29" s="24"/>
      <c r="J29" s="949"/>
      <c r="K29" s="949"/>
      <c r="L29" s="949"/>
      <c r="M29" s="949"/>
      <c r="N29" s="949"/>
      <c r="O29" s="949"/>
      <c r="P29" s="949"/>
      <c r="Q29" s="949"/>
      <c r="R29" s="949"/>
      <c r="S29" s="205"/>
    </row>
    <row r="30" spans="1:878" ht="18" customHeight="1" x14ac:dyDescent="0.2">
      <c r="A30" s="26" t="s">
        <v>376</v>
      </c>
    </row>
    <row r="31" spans="1:878" ht="18" customHeight="1" x14ac:dyDescent="0.2"/>
    <row r="32" spans="1:878" ht="18" customHeight="1" x14ac:dyDescent="0.2">
      <c r="A32" t="s">
        <v>377</v>
      </c>
      <c r="R32" s="24" t="s">
        <v>378</v>
      </c>
    </row>
    <row r="33" spans="1:26" ht="18" customHeight="1" x14ac:dyDescent="0.2"/>
    <row r="34" spans="1:26" ht="18" customHeight="1" x14ac:dyDescent="0.2">
      <c r="R34" s="24"/>
    </row>
    <row r="35" spans="1:26" ht="18" customHeight="1" thickBot="1" x14ac:dyDescent="0.25">
      <c r="A35" s="203"/>
      <c r="B35" s="203"/>
      <c r="C35" s="203"/>
      <c r="D35" s="203"/>
      <c r="E35" s="203"/>
      <c r="F35" s="203"/>
      <c r="G35" s="203"/>
      <c r="H35" s="203"/>
      <c r="I35" s="203"/>
      <c r="J35" s="203"/>
      <c r="K35" s="203"/>
      <c r="L35" s="203"/>
      <c r="M35" s="203"/>
      <c r="Q35" s="203"/>
      <c r="R35" s="969"/>
      <c r="S35" s="969"/>
      <c r="T35" s="969"/>
      <c r="U35" s="969"/>
      <c r="V35" s="969"/>
      <c r="W35" s="969"/>
      <c r="X35" s="969"/>
      <c r="Y35" s="969"/>
      <c r="Z35" s="203"/>
    </row>
    <row r="36" spans="1:26" ht="18" customHeight="1" x14ac:dyDescent="0.2">
      <c r="A36" s="950" t="s">
        <v>379</v>
      </c>
      <c r="B36" s="950"/>
      <c r="C36" s="950"/>
      <c r="D36" s="950"/>
      <c r="E36" s="950"/>
      <c r="F36" s="950"/>
      <c r="G36" s="950"/>
      <c r="H36" s="950"/>
      <c r="I36" s="950"/>
      <c r="J36" s="950"/>
      <c r="K36" s="950"/>
      <c r="L36" s="950"/>
      <c r="M36" s="950"/>
      <c r="R36" s="951" t="s">
        <v>380</v>
      </c>
      <c r="S36" s="951"/>
      <c r="T36" s="951"/>
      <c r="U36" s="951"/>
      <c r="V36" s="951"/>
      <c r="W36" s="951"/>
      <c r="X36" s="951"/>
      <c r="Y36" s="951"/>
      <c r="Z36" s="951"/>
    </row>
    <row r="37" spans="1:26" ht="18" customHeight="1" x14ac:dyDescent="0.2"/>
    <row r="38" spans="1:26" ht="18" customHeight="1" x14ac:dyDescent="0.2"/>
    <row r="39" spans="1:26" ht="18" customHeight="1" thickBot="1" x14ac:dyDescent="0.25">
      <c r="A39" s="214"/>
      <c r="B39" s="200"/>
      <c r="C39" s="200"/>
      <c r="D39" s="200"/>
      <c r="E39" s="200"/>
      <c r="F39" s="200"/>
      <c r="G39" s="200"/>
      <c r="H39" s="200"/>
      <c r="I39" s="200"/>
      <c r="J39" s="200"/>
      <c r="K39" s="200"/>
      <c r="L39" s="200"/>
      <c r="M39" s="200"/>
      <c r="Q39" s="203"/>
      <c r="R39" s="214"/>
      <c r="S39" s="214"/>
      <c r="T39" s="214"/>
      <c r="U39" s="214"/>
      <c r="V39" s="214"/>
      <c r="W39" s="214"/>
      <c r="X39" s="214"/>
      <c r="Y39" s="214"/>
      <c r="Z39" s="214"/>
    </row>
    <row r="40" spans="1:26" ht="18" customHeight="1" x14ac:dyDescent="0.2">
      <c r="A40" s="952" t="s">
        <v>397</v>
      </c>
      <c r="B40" s="950"/>
      <c r="C40" s="950"/>
      <c r="D40" s="950"/>
      <c r="E40" s="950"/>
      <c r="F40" s="950"/>
      <c r="G40" s="950"/>
      <c r="H40" s="950"/>
      <c r="I40" s="950"/>
      <c r="J40" s="950"/>
      <c r="K40" s="950"/>
      <c r="L40" s="950"/>
      <c r="M40" s="950"/>
      <c r="R40" s="951" t="s">
        <v>381</v>
      </c>
      <c r="S40" s="951"/>
      <c r="T40" s="951"/>
      <c r="U40" s="951"/>
      <c r="V40" s="951"/>
      <c r="W40" s="951"/>
      <c r="X40" s="951"/>
      <c r="Y40" s="951"/>
      <c r="Z40" s="951"/>
    </row>
    <row r="41" spans="1:26" ht="18" customHeight="1" x14ac:dyDescent="0.2"/>
    <row r="42" spans="1:26" ht="18" customHeight="1" x14ac:dyDescent="0.2"/>
    <row r="43" spans="1:26" ht="18" customHeight="1" x14ac:dyDescent="0.2"/>
    <row r="44" spans="1:26" ht="18" customHeight="1" x14ac:dyDescent="0.2">
      <c r="A44" s="201"/>
    </row>
    <row r="45" spans="1:26" ht="18" customHeight="1" x14ac:dyDescent="0.2">
      <c r="N45" s="953"/>
      <c r="O45" s="953"/>
      <c r="P45" s="953"/>
      <c r="Q45" s="953"/>
      <c r="W45" s="953"/>
      <c r="X45" s="953"/>
      <c r="Y45" s="953"/>
    </row>
    <row r="46" spans="1:26" ht="18" customHeight="1" x14ac:dyDescent="0.2">
      <c r="A46" s="189"/>
      <c r="W46" s="201"/>
      <c r="X46" s="201"/>
      <c r="Y46" s="201"/>
    </row>
    <row r="47" spans="1:26" ht="18" customHeight="1" x14ac:dyDescent="0.2">
      <c r="A47" s="189"/>
      <c r="W47" s="201"/>
      <c r="X47" s="201"/>
      <c r="Y47" s="201"/>
    </row>
    <row r="48" spans="1:26" ht="18" customHeight="1" x14ac:dyDescent="0.2">
      <c r="A48" s="189"/>
      <c r="W48" s="941"/>
      <c r="X48" s="941"/>
      <c r="Y48" s="201"/>
    </row>
    <row r="49" spans="1:25" ht="18" customHeight="1" x14ac:dyDescent="0.2">
      <c r="A49" s="189"/>
      <c r="W49" s="941"/>
      <c r="X49" s="941"/>
      <c r="Y49" s="201"/>
    </row>
    <row r="50" spans="1:25" ht="18" customHeight="1" x14ac:dyDescent="0.2"/>
    <row r="51" spans="1:25" ht="18" customHeight="1" x14ac:dyDescent="0.2"/>
    <row r="52" spans="1:25" ht="18" customHeight="1" x14ac:dyDescent="0.2"/>
    <row r="53" spans="1:25" ht="18" customHeight="1" x14ac:dyDescent="0.2"/>
    <row r="54" spans="1:25" ht="18" customHeight="1" x14ac:dyDescent="0.2"/>
    <row r="55" spans="1:25" ht="18" customHeight="1" x14ac:dyDescent="0.2"/>
    <row r="56" spans="1:25" ht="18" customHeight="1" x14ac:dyDescent="0.2"/>
    <row r="57" spans="1:25" ht="18" customHeight="1" x14ac:dyDescent="0.2"/>
    <row r="58" spans="1:25" ht="18" customHeight="1" x14ac:dyDescent="0.2"/>
    <row r="59" spans="1:25" ht="18" customHeight="1" x14ac:dyDescent="0.2"/>
    <row r="60" spans="1:25" ht="18" customHeight="1" x14ac:dyDescent="0.2"/>
    <row r="61" spans="1:25" ht="18" customHeight="1" x14ac:dyDescent="0.2"/>
    <row r="62" spans="1:25" ht="18" customHeight="1" x14ac:dyDescent="0.2"/>
    <row r="63" spans="1:25" ht="18" customHeight="1" x14ac:dyDescent="0.2"/>
    <row r="64" spans="1:25" ht="18" customHeight="1" x14ac:dyDescent="0.2"/>
    <row r="65" ht="18" customHeight="1" x14ac:dyDescent="0.2"/>
    <row r="66" ht="18" customHeight="1" x14ac:dyDescent="0.2"/>
    <row r="67" ht="18" customHeight="1" x14ac:dyDescent="0.2"/>
    <row r="68" ht="18" customHeight="1" x14ac:dyDescent="0.2"/>
    <row r="69" ht="18" customHeight="1" x14ac:dyDescent="0.2"/>
    <row r="70" ht="18" customHeight="1" x14ac:dyDescent="0.2"/>
    <row r="71" ht="18" customHeight="1" x14ac:dyDescent="0.2"/>
    <row r="72" ht="18" customHeight="1" x14ac:dyDescent="0.2"/>
    <row r="73" ht="18" customHeight="1" x14ac:dyDescent="0.2"/>
    <row r="74" ht="18" customHeight="1" x14ac:dyDescent="0.2"/>
    <row r="75" ht="18" customHeight="1" x14ac:dyDescent="0.2"/>
    <row r="76" ht="18" customHeight="1" x14ac:dyDescent="0.2"/>
    <row r="77" ht="18" customHeight="1" x14ac:dyDescent="0.2"/>
    <row r="78" ht="18" customHeight="1" x14ac:dyDescent="0.2"/>
    <row r="79" ht="18" customHeight="1" x14ac:dyDescent="0.2"/>
    <row r="80" ht="18" customHeight="1" x14ac:dyDescent="0.2"/>
    <row r="81" ht="18" customHeight="1" x14ac:dyDescent="0.2"/>
    <row r="82" ht="18" customHeight="1" x14ac:dyDescent="0.2"/>
    <row r="83" ht="18" customHeight="1" x14ac:dyDescent="0.2"/>
    <row r="84" ht="18" customHeight="1" x14ac:dyDescent="0.2"/>
    <row r="85" ht="18" customHeight="1" x14ac:dyDescent="0.2"/>
    <row r="86" ht="18" customHeight="1" x14ac:dyDescent="0.2"/>
    <row r="87" ht="18" customHeight="1" x14ac:dyDescent="0.2"/>
    <row r="88" ht="18" customHeight="1" x14ac:dyDescent="0.2"/>
    <row r="89" ht="18" customHeight="1" x14ac:dyDescent="0.2"/>
    <row r="90" ht="18" customHeight="1" x14ac:dyDescent="0.2"/>
    <row r="91" ht="18" customHeight="1" x14ac:dyDescent="0.2"/>
    <row r="92" ht="18" customHeight="1" x14ac:dyDescent="0.2"/>
    <row r="93" ht="18" customHeight="1" x14ac:dyDescent="0.2"/>
    <row r="94" ht="18" customHeight="1" x14ac:dyDescent="0.2"/>
    <row r="95" ht="18" customHeight="1" x14ac:dyDescent="0.2"/>
    <row r="96" ht="18" customHeight="1" x14ac:dyDescent="0.2"/>
    <row r="97" ht="18" customHeight="1" x14ac:dyDescent="0.2"/>
    <row r="98" ht="18" customHeight="1" x14ac:dyDescent="0.2"/>
    <row r="99" ht="18" customHeight="1" x14ac:dyDescent="0.2"/>
    <row r="100" ht="18" customHeight="1" x14ac:dyDescent="0.2"/>
    <row r="101" ht="18" customHeight="1" x14ac:dyDescent="0.2"/>
    <row r="102" ht="18" customHeight="1" x14ac:dyDescent="0.2"/>
    <row r="103" ht="18" customHeight="1" x14ac:dyDescent="0.2"/>
    <row r="104" ht="18" customHeight="1" x14ac:dyDescent="0.2"/>
    <row r="105" ht="18" customHeight="1" x14ac:dyDescent="0.2"/>
    <row r="106" ht="18" customHeight="1" x14ac:dyDescent="0.2"/>
    <row r="107" ht="18" customHeight="1" x14ac:dyDescent="0.2"/>
    <row r="108" ht="18" customHeight="1" x14ac:dyDescent="0.2"/>
    <row r="109" ht="18" customHeight="1" x14ac:dyDescent="0.2"/>
    <row r="110" ht="18" customHeight="1" x14ac:dyDescent="0.2"/>
    <row r="111" ht="18" customHeight="1" x14ac:dyDescent="0.2"/>
    <row r="112" ht="18" customHeight="1" x14ac:dyDescent="0.2"/>
    <row r="113" ht="18" customHeight="1" x14ac:dyDescent="0.2"/>
    <row r="114" ht="18" customHeight="1" x14ac:dyDescent="0.2"/>
    <row r="115" ht="18" customHeight="1" x14ac:dyDescent="0.2"/>
    <row r="116" ht="18" customHeight="1" x14ac:dyDescent="0.2"/>
    <row r="117" ht="18" customHeight="1" x14ac:dyDescent="0.2"/>
    <row r="118" ht="18" customHeight="1" x14ac:dyDescent="0.2"/>
    <row r="119" ht="18" customHeight="1" x14ac:dyDescent="0.2"/>
    <row r="120" ht="18" customHeight="1" x14ac:dyDescent="0.2"/>
    <row r="121" ht="18" customHeight="1" x14ac:dyDescent="0.2"/>
    <row r="122" ht="18" customHeight="1" x14ac:dyDescent="0.2"/>
    <row r="123" ht="18" customHeight="1" x14ac:dyDescent="0.2"/>
    <row r="124" ht="18" customHeight="1" x14ac:dyDescent="0.2"/>
    <row r="125" ht="18" customHeight="1" x14ac:dyDescent="0.2"/>
    <row r="126" ht="18" customHeight="1" x14ac:dyDescent="0.2"/>
    <row r="127" ht="18" customHeight="1" x14ac:dyDescent="0.2"/>
    <row r="128" ht="18" customHeight="1" x14ac:dyDescent="0.2"/>
    <row r="129" ht="18" customHeight="1" x14ac:dyDescent="0.2"/>
    <row r="130" ht="18" customHeight="1" x14ac:dyDescent="0.2"/>
    <row r="131" ht="18" customHeight="1" x14ac:dyDescent="0.2"/>
    <row r="132" ht="18" customHeight="1" x14ac:dyDescent="0.2"/>
    <row r="133" ht="18" customHeight="1" x14ac:dyDescent="0.2"/>
    <row r="134" ht="18" customHeight="1" x14ac:dyDescent="0.2"/>
    <row r="135" ht="18" customHeight="1" x14ac:dyDescent="0.2"/>
    <row r="136" ht="18" customHeight="1" x14ac:dyDescent="0.2"/>
    <row r="137" ht="18" customHeight="1" x14ac:dyDescent="0.2"/>
    <row r="138" ht="18" customHeight="1" x14ac:dyDescent="0.2"/>
    <row r="139" ht="18" customHeight="1" x14ac:dyDescent="0.2"/>
    <row r="140" ht="18" customHeight="1" x14ac:dyDescent="0.2"/>
    <row r="141" ht="18" customHeight="1" x14ac:dyDescent="0.2"/>
    <row r="142" ht="18" customHeight="1" x14ac:dyDescent="0.2"/>
    <row r="143" ht="18" customHeight="1" x14ac:dyDescent="0.2"/>
    <row r="144" ht="18" customHeight="1" x14ac:dyDescent="0.2"/>
    <row r="145" ht="18" customHeight="1" x14ac:dyDescent="0.2"/>
    <row r="146" ht="18" customHeight="1" x14ac:dyDescent="0.2"/>
    <row r="147" ht="18" customHeight="1" x14ac:dyDescent="0.2"/>
    <row r="148" ht="18" customHeight="1" x14ac:dyDescent="0.2"/>
    <row r="149" ht="18" customHeight="1" x14ac:dyDescent="0.2"/>
    <row r="150" ht="18" customHeight="1" x14ac:dyDescent="0.2"/>
    <row r="151" ht="18" customHeight="1" x14ac:dyDescent="0.2"/>
    <row r="152" ht="18" customHeight="1" x14ac:dyDescent="0.2"/>
    <row r="153" ht="18" customHeight="1" x14ac:dyDescent="0.2"/>
    <row r="154" ht="18" customHeight="1" x14ac:dyDescent="0.2"/>
    <row r="155" ht="18" customHeight="1" x14ac:dyDescent="0.2"/>
    <row r="156" ht="18" customHeight="1" x14ac:dyDescent="0.2"/>
    <row r="157" ht="18" customHeight="1" x14ac:dyDescent="0.2"/>
    <row r="158" ht="18" customHeight="1" x14ac:dyDescent="0.2"/>
    <row r="159" ht="18" customHeight="1" x14ac:dyDescent="0.2"/>
    <row r="160" ht="18" customHeight="1" x14ac:dyDescent="0.2"/>
    <row r="161" ht="18" customHeight="1" x14ac:dyDescent="0.2"/>
    <row r="162" ht="18" customHeight="1" x14ac:dyDescent="0.2"/>
    <row r="163" ht="18" customHeight="1" x14ac:dyDescent="0.2"/>
    <row r="164" ht="18" customHeight="1" x14ac:dyDescent="0.2"/>
    <row r="165" ht="18" customHeight="1" x14ac:dyDescent="0.2"/>
    <row r="166" ht="18" customHeight="1" x14ac:dyDescent="0.2"/>
    <row r="167" ht="18" customHeight="1" x14ac:dyDescent="0.2"/>
    <row r="168" ht="18" customHeight="1" x14ac:dyDescent="0.2"/>
    <row r="169" ht="18" customHeight="1" x14ac:dyDescent="0.2"/>
    <row r="170" ht="18" customHeight="1" x14ac:dyDescent="0.2"/>
    <row r="171" ht="18" customHeight="1" x14ac:dyDescent="0.2"/>
    <row r="172" ht="18" customHeight="1" x14ac:dyDescent="0.2"/>
    <row r="173" ht="18" customHeight="1" x14ac:dyDescent="0.2"/>
    <row r="174" ht="18" customHeight="1" x14ac:dyDescent="0.2"/>
    <row r="175" ht="18" customHeight="1" x14ac:dyDescent="0.2"/>
    <row r="176" ht="18" customHeight="1" x14ac:dyDescent="0.2"/>
    <row r="177" ht="18" customHeight="1" x14ac:dyDescent="0.2"/>
    <row r="178" ht="18" customHeight="1" x14ac:dyDescent="0.2"/>
    <row r="179" ht="18" customHeight="1" x14ac:dyDescent="0.2"/>
    <row r="180" ht="18" customHeight="1" x14ac:dyDescent="0.2"/>
    <row r="181" ht="18" customHeight="1" x14ac:dyDescent="0.2"/>
    <row r="182" ht="18" customHeight="1" x14ac:dyDescent="0.2"/>
    <row r="183" ht="18" customHeight="1" x14ac:dyDescent="0.2"/>
    <row r="184" ht="18" customHeight="1" x14ac:dyDescent="0.2"/>
    <row r="185" ht="18" customHeight="1" x14ac:dyDescent="0.2"/>
    <row r="186" ht="18" customHeight="1" x14ac:dyDescent="0.2"/>
    <row r="187" ht="18" customHeight="1" x14ac:dyDescent="0.2"/>
    <row r="188" ht="18" customHeight="1" x14ac:dyDescent="0.2"/>
    <row r="189" ht="18" customHeight="1" x14ac:dyDescent="0.2"/>
    <row r="190" ht="18" customHeight="1" x14ac:dyDescent="0.2"/>
    <row r="191" ht="18" customHeight="1" x14ac:dyDescent="0.2"/>
    <row r="192" ht="18" customHeight="1" x14ac:dyDescent="0.2"/>
    <row r="193" ht="18" customHeight="1" x14ac:dyDescent="0.2"/>
    <row r="194" ht="18" customHeight="1" x14ac:dyDescent="0.2"/>
    <row r="195" ht="18" customHeight="1" x14ac:dyDescent="0.2"/>
    <row r="196" ht="18" customHeight="1" x14ac:dyDescent="0.2"/>
    <row r="197" ht="18" customHeight="1" x14ac:dyDescent="0.2"/>
    <row r="198" ht="18" customHeight="1" x14ac:dyDescent="0.2"/>
    <row r="199" ht="18" customHeight="1" x14ac:dyDescent="0.2"/>
    <row r="200" ht="18" customHeight="1" x14ac:dyDescent="0.2"/>
    <row r="201" ht="18" customHeight="1" x14ac:dyDescent="0.2"/>
    <row r="202" ht="18" customHeight="1" x14ac:dyDescent="0.2"/>
    <row r="203" ht="18" customHeight="1" x14ac:dyDescent="0.2"/>
    <row r="204" ht="18" customHeight="1" x14ac:dyDescent="0.2"/>
    <row r="205" ht="18" customHeight="1" x14ac:dyDescent="0.2"/>
    <row r="206" ht="18" customHeight="1" x14ac:dyDescent="0.2"/>
    <row r="207" ht="18" customHeight="1" x14ac:dyDescent="0.2"/>
    <row r="208" ht="18" customHeight="1" x14ac:dyDescent="0.2"/>
    <row r="209" ht="18" customHeight="1" x14ac:dyDescent="0.2"/>
    <row r="210" ht="18" customHeight="1" x14ac:dyDescent="0.2"/>
    <row r="211" ht="18" customHeight="1" x14ac:dyDescent="0.2"/>
    <row r="212" ht="18" customHeight="1" x14ac:dyDescent="0.2"/>
    <row r="213" ht="18" customHeight="1" x14ac:dyDescent="0.2"/>
    <row r="214" ht="18" customHeight="1" x14ac:dyDescent="0.2"/>
    <row r="215" ht="18" customHeight="1" x14ac:dyDescent="0.2"/>
    <row r="216" ht="18" customHeight="1" x14ac:dyDescent="0.2"/>
    <row r="217" ht="18" customHeight="1" x14ac:dyDescent="0.2"/>
    <row r="218" ht="18" customHeight="1" x14ac:dyDescent="0.2"/>
    <row r="219" ht="18" customHeight="1" x14ac:dyDescent="0.2"/>
    <row r="220" ht="18" customHeight="1" x14ac:dyDescent="0.2"/>
    <row r="221" ht="18" customHeight="1" x14ac:dyDescent="0.2"/>
    <row r="222" ht="18" customHeight="1" x14ac:dyDescent="0.2"/>
    <row r="223" ht="18" customHeight="1" x14ac:dyDescent="0.2"/>
    <row r="224" ht="18" customHeight="1" x14ac:dyDescent="0.2"/>
    <row r="225" ht="18" customHeight="1" x14ac:dyDescent="0.2"/>
    <row r="226" ht="18" customHeight="1" x14ac:dyDescent="0.2"/>
    <row r="227" ht="18" customHeight="1" x14ac:dyDescent="0.2"/>
    <row r="228" ht="18" customHeight="1" x14ac:dyDescent="0.2"/>
    <row r="229" ht="18" customHeight="1" x14ac:dyDescent="0.2"/>
    <row r="230" ht="18" customHeight="1" x14ac:dyDescent="0.2"/>
    <row r="231" ht="18" customHeight="1" x14ac:dyDescent="0.2"/>
    <row r="232" ht="18" customHeight="1" x14ac:dyDescent="0.2"/>
    <row r="233" ht="18" customHeight="1" x14ac:dyDescent="0.2"/>
    <row r="234" ht="18" customHeight="1" x14ac:dyDescent="0.2"/>
    <row r="235" ht="18" customHeight="1" x14ac:dyDescent="0.2"/>
    <row r="236" ht="18" customHeight="1" x14ac:dyDescent="0.2"/>
    <row r="237" ht="18" customHeight="1" x14ac:dyDescent="0.2"/>
    <row r="238" ht="18" customHeight="1" x14ac:dyDescent="0.2"/>
    <row r="239" ht="18" customHeight="1" x14ac:dyDescent="0.2"/>
    <row r="240" ht="18" customHeight="1" x14ac:dyDescent="0.2"/>
    <row r="241" ht="18" customHeight="1" x14ac:dyDescent="0.2"/>
    <row r="242" ht="18" customHeight="1" x14ac:dyDescent="0.2"/>
    <row r="243" ht="18" customHeight="1" x14ac:dyDescent="0.2"/>
    <row r="244" ht="18" customHeight="1" x14ac:dyDescent="0.2"/>
    <row r="245" ht="18" customHeight="1" x14ac:dyDescent="0.2"/>
    <row r="246" ht="18" customHeight="1" x14ac:dyDescent="0.2"/>
    <row r="247" ht="18" customHeight="1" x14ac:dyDescent="0.2"/>
    <row r="248" ht="18" customHeight="1" x14ac:dyDescent="0.2"/>
    <row r="249" ht="18" customHeight="1" x14ac:dyDescent="0.2"/>
    <row r="250" ht="18" customHeight="1" x14ac:dyDescent="0.2"/>
    <row r="251" ht="18" customHeight="1" x14ac:dyDescent="0.2"/>
    <row r="252" ht="18" customHeight="1" x14ac:dyDescent="0.2"/>
    <row r="253" ht="18" customHeight="1" x14ac:dyDescent="0.2"/>
    <row r="254" ht="18" customHeight="1" x14ac:dyDescent="0.2"/>
    <row r="255" ht="18" customHeight="1" x14ac:dyDescent="0.2"/>
    <row r="256" ht="18" customHeight="1" x14ac:dyDescent="0.2"/>
    <row r="257" ht="18" customHeight="1" x14ac:dyDescent="0.2"/>
    <row r="258" ht="18" customHeight="1" x14ac:dyDescent="0.2"/>
    <row r="259" ht="18" customHeight="1" x14ac:dyDescent="0.2"/>
    <row r="260" ht="18" customHeight="1" x14ac:dyDescent="0.2"/>
    <row r="261" ht="18" customHeight="1" x14ac:dyDescent="0.2"/>
    <row r="262" ht="18" customHeight="1" x14ac:dyDescent="0.2"/>
    <row r="263" ht="18" customHeight="1" x14ac:dyDescent="0.2"/>
    <row r="264" ht="18" customHeight="1" x14ac:dyDescent="0.2"/>
    <row r="265" ht="18" customHeight="1" x14ac:dyDescent="0.2"/>
    <row r="266" ht="18" customHeight="1" x14ac:dyDescent="0.2"/>
    <row r="267" ht="18" customHeight="1" x14ac:dyDescent="0.2"/>
    <row r="268" ht="18" customHeight="1" x14ac:dyDescent="0.2"/>
    <row r="269" ht="18" customHeight="1" x14ac:dyDescent="0.2"/>
    <row r="270" ht="18" customHeight="1" x14ac:dyDescent="0.2"/>
    <row r="271" ht="18" customHeight="1" x14ac:dyDescent="0.2"/>
    <row r="272" ht="18" customHeight="1" x14ac:dyDescent="0.2"/>
    <row r="273" ht="18" customHeight="1" x14ac:dyDescent="0.2"/>
    <row r="274" ht="18" customHeight="1" x14ac:dyDescent="0.2"/>
    <row r="275" ht="18" customHeight="1" x14ac:dyDescent="0.2"/>
    <row r="276" ht="18" customHeight="1" x14ac:dyDescent="0.2"/>
    <row r="277" ht="18" customHeight="1" x14ac:dyDescent="0.2"/>
    <row r="278" ht="18" customHeight="1" x14ac:dyDescent="0.2"/>
    <row r="279" ht="18" customHeight="1" x14ac:dyDescent="0.2"/>
    <row r="280" ht="18" customHeight="1" x14ac:dyDescent="0.2"/>
    <row r="281" ht="18" customHeight="1" x14ac:dyDescent="0.2"/>
    <row r="282" ht="18" customHeight="1" x14ac:dyDescent="0.2"/>
    <row r="283" ht="18" customHeight="1" x14ac:dyDescent="0.2"/>
    <row r="284" ht="18" customHeight="1" x14ac:dyDescent="0.2"/>
    <row r="285" ht="18" customHeight="1" x14ac:dyDescent="0.2"/>
    <row r="286" ht="18" customHeight="1" x14ac:dyDescent="0.2"/>
    <row r="287" ht="18" customHeight="1" x14ac:dyDescent="0.2"/>
    <row r="288" ht="18" customHeight="1" x14ac:dyDescent="0.2"/>
    <row r="289" ht="18" customHeight="1" x14ac:dyDescent="0.2"/>
    <row r="290" ht="18" customHeight="1" x14ac:dyDescent="0.2"/>
    <row r="291" ht="18" customHeight="1" x14ac:dyDescent="0.2"/>
    <row r="292" ht="18" customHeight="1" x14ac:dyDescent="0.2"/>
    <row r="293" ht="18" customHeight="1" x14ac:dyDescent="0.2"/>
    <row r="294" ht="18" customHeight="1" x14ac:dyDescent="0.2"/>
    <row r="295" ht="18" customHeight="1" x14ac:dyDescent="0.2"/>
    <row r="296" ht="18" customHeight="1" x14ac:dyDescent="0.2"/>
    <row r="297" ht="18" customHeight="1" x14ac:dyDescent="0.2"/>
    <row r="298" ht="18" customHeight="1" x14ac:dyDescent="0.2"/>
    <row r="299" ht="18" customHeight="1" x14ac:dyDescent="0.2"/>
    <row r="300" ht="18" customHeight="1" x14ac:dyDescent="0.2"/>
    <row r="301" ht="18" customHeight="1" x14ac:dyDescent="0.2"/>
    <row r="302" ht="18" customHeight="1" x14ac:dyDescent="0.2"/>
    <row r="303" ht="18" customHeight="1" x14ac:dyDescent="0.2"/>
    <row r="304" ht="18" customHeight="1" x14ac:dyDescent="0.2"/>
    <row r="305" ht="18" customHeight="1" x14ac:dyDescent="0.2"/>
    <row r="306" ht="18" customHeight="1" x14ac:dyDescent="0.2"/>
    <row r="307" ht="18" customHeight="1" x14ac:dyDescent="0.2"/>
    <row r="308" ht="18" customHeight="1" x14ac:dyDescent="0.2"/>
    <row r="309" ht="18" customHeight="1" x14ac:dyDescent="0.2"/>
    <row r="310" ht="18" customHeight="1" x14ac:dyDescent="0.2"/>
    <row r="311" ht="18" customHeight="1" x14ac:dyDescent="0.2"/>
    <row r="312" ht="18" customHeight="1" x14ac:dyDescent="0.2"/>
    <row r="313" ht="18" customHeight="1" x14ac:dyDescent="0.2"/>
    <row r="314" ht="18" customHeight="1" x14ac:dyDescent="0.2"/>
    <row r="315" ht="18" customHeight="1" x14ac:dyDescent="0.2"/>
    <row r="316" ht="18" customHeight="1" x14ac:dyDescent="0.2"/>
    <row r="317" ht="18" customHeight="1" x14ac:dyDescent="0.2"/>
    <row r="318" ht="18" customHeight="1" x14ac:dyDescent="0.2"/>
    <row r="319" ht="18" customHeight="1" x14ac:dyDescent="0.2"/>
    <row r="320" ht="18" customHeight="1" x14ac:dyDescent="0.2"/>
    <row r="321" ht="18" customHeight="1" x14ac:dyDescent="0.2"/>
    <row r="322" ht="18" customHeight="1" x14ac:dyDescent="0.2"/>
    <row r="323" ht="18" customHeight="1" x14ac:dyDescent="0.2"/>
    <row r="324" ht="18" customHeight="1" x14ac:dyDescent="0.2"/>
    <row r="325" ht="18" customHeight="1" x14ac:dyDescent="0.2"/>
    <row r="326" ht="18" customHeight="1" x14ac:dyDescent="0.2"/>
    <row r="327" ht="18" customHeight="1" x14ac:dyDescent="0.2"/>
    <row r="328" ht="18" customHeight="1" x14ac:dyDescent="0.2"/>
    <row r="329" ht="18" customHeight="1" x14ac:dyDescent="0.2"/>
    <row r="330" ht="18" customHeight="1" x14ac:dyDescent="0.2"/>
    <row r="331" ht="18" customHeight="1" x14ac:dyDescent="0.2"/>
    <row r="332" ht="18" customHeight="1" x14ac:dyDescent="0.2"/>
    <row r="333" ht="18" customHeight="1" x14ac:dyDescent="0.2"/>
    <row r="334" ht="18" customHeight="1" x14ac:dyDescent="0.2"/>
    <row r="335" ht="18" customHeight="1" x14ac:dyDescent="0.2"/>
    <row r="336" ht="18" customHeight="1" x14ac:dyDescent="0.2"/>
    <row r="337" ht="18" customHeight="1" x14ac:dyDescent="0.2"/>
    <row r="338" ht="18" customHeight="1" x14ac:dyDescent="0.2"/>
    <row r="339" ht="18" customHeight="1" x14ac:dyDescent="0.2"/>
    <row r="340" ht="18" customHeight="1" x14ac:dyDescent="0.2"/>
    <row r="341" ht="18" customHeight="1" x14ac:dyDescent="0.2"/>
    <row r="342" ht="18" customHeight="1" x14ac:dyDescent="0.2"/>
    <row r="343" ht="18" customHeight="1" x14ac:dyDescent="0.2"/>
    <row r="344" ht="18" customHeight="1" x14ac:dyDescent="0.2"/>
    <row r="345" ht="18" customHeight="1" x14ac:dyDescent="0.2"/>
    <row r="346" ht="18" customHeight="1" x14ac:dyDescent="0.2"/>
    <row r="347" ht="18" customHeight="1" x14ac:dyDescent="0.2"/>
    <row r="348" ht="18" customHeight="1" x14ac:dyDescent="0.2"/>
    <row r="349" ht="18" customHeight="1" x14ac:dyDescent="0.2"/>
    <row r="350" ht="18" customHeight="1" x14ac:dyDescent="0.2"/>
    <row r="351" ht="18" customHeight="1" x14ac:dyDescent="0.2"/>
    <row r="352" ht="18" customHeight="1" x14ac:dyDescent="0.2"/>
    <row r="353" ht="18" customHeight="1" x14ac:dyDescent="0.2"/>
    <row r="354" ht="18" customHeight="1" x14ac:dyDescent="0.2"/>
    <row r="355" ht="18" customHeight="1" x14ac:dyDescent="0.2"/>
    <row r="356" ht="18" customHeight="1" x14ac:dyDescent="0.2"/>
    <row r="357" ht="18" customHeight="1" x14ac:dyDescent="0.2"/>
    <row r="358" ht="18" customHeight="1" x14ac:dyDescent="0.2"/>
    <row r="359" ht="18" customHeight="1" x14ac:dyDescent="0.2"/>
    <row r="360" ht="18" customHeight="1" x14ac:dyDescent="0.2"/>
    <row r="361" ht="18" customHeight="1" x14ac:dyDescent="0.2"/>
    <row r="362" ht="18" customHeight="1" x14ac:dyDescent="0.2"/>
    <row r="363" ht="18" customHeight="1" x14ac:dyDescent="0.2"/>
    <row r="364" ht="18" customHeight="1" x14ac:dyDescent="0.2"/>
    <row r="365" ht="18" customHeight="1" x14ac:dyDescent="0.2"/>
    <row r="366" ht="18" customHeight="1" x14ac:dyDescent="0.2"/>
    <row r="367" ht="18" customHeight="1" x14ac:dyDescent="0.2"/>
    <row r="368" ht="18" customHeight="1" x14ac:dyDescent="0.2"/>
    <row r="369" ht="18" customHeight="1" x14ac:dyDescent="0.2"/>
    <row r="370" ht="18" customHeight="1" x14ac:dyDescent="0.2"/>
    <row r="371" ht="18" customHeight="1" x14ac:dyDescent="0.2"/>
    <row r="372" ht="18" customHeight="1" x14ac:dyDescent="0.2"/>
    <row r="373" ht="18" customHeight="1" x14ac:dyDescent="0.2"/>
    <row r="374" ht="18" customHeight="1" x14ac:dyDescent="0.2"/>
    <row r="375" ht="18" customHeight="1" x14ac:dyDescent="0.2"/>
    <row r="376" ht="18" customHeight="1" x14ac:dyDescent="0.2"/>
    <row r="377" ht="18" customHeight="1" x14ac:dyDescent="0.2"/>
    <row r="378" ht="18" customHeight="1" x14ac:dyDescent="0.2"/>
    <row r="379" ht="18" customHeight="1" x14ac:dyDescent="0.2"/>
    <row r="380" ht="18" customHeight="1" x14ac:dyDescent="0.2"/>
    <row r="381" ht="18" customHeight="1" x14ac:dyDescent="0.2"/>
    <row r="382" ht="18" customHeight="1" x14ac:dyDescent="0.2"/>
    <row r="383" ht="18" customHeight="1" x14ac:dyDescent="0.2"/>
    <row r="384" ht="18" customHeight="1" x14ac:dyDescent="0.2"/>
    <row r="385" ht="18" customHeight="1" x14ac:dyDescent="0.2"/>
    <row r="386" ht="18" customHeight="1" x14ac:dyDescent="0.2"/>
    <row r="387" ht="18" customHeight="1" x14ac:dyDescent="0.2"/>
    <row r="388" ht="18" customHeight="1" x14ac:dyDescent="0.2"/>
    <row r="389" ht="18" customHeight="1" x14ac:dyDescent="0.2"/>
    <row r="390" ht="18" customHeight="1" x14ac:dyDescent="0.2"/>
    <row r="391" ht="18" customHeight="1" x14ac:dyDescent="0.2"/>
    <row r="392" ht="18" customHeight="1" x14ac:dyDescent="0.2"/>
    <row r="393" ht="18" customHeight="1" x14ac:dyDescent="0.2"/>
    <row r="394" ht="18" customHeight="1" x14ac:dyDescent="0.2"/>
    <row r="395" ht="18" customHeight="1" x14ac:dyDescent="0.2"/>
    <row r="396" ht="18" customHeight="1" x14ac:dyDescent="0.2"/>
    <row r="397" ht="18" customHeight="1" x14ac:dyDescent="0.2"/>
    <row r="398" ht="18" customHeight="1" x14ac:dyDescent="0.2"/>
    <row r="399" ht="18" customHeight="1" x14ac:dyDescent="0.2"/>
    <row r="400" ht="18" customHeight="1" x14ac:dyDescent="0.2"/>
    <row r="401" ht="18" customHeight="1" x14ac:dyDescent="0.2"/>
    <row r="402" ht="18" customHeight="1" x14ac:dyDescent="0.2"/>
    <row r="403" ht="18" customHeight="1" x14ac:dyDescent="0.2"/>
    <row r="404" ht="18" customHeight="1" x14ac:dyDescent="0.2"/>
    <row r="405" ht="18" customHeight="1" x14ac:dyDescent="0.2"/>
    <row r="406" ht="18" customHeight="1" x14ac:dyDescent="0.2"/>
    <row r="407" ht="18" customHeight="1" x14ac:dyDescent="0.2"/>
    <row r="408" ht="18" customHeight="1" x14ac:dyDescent="0.2"/>
    <row r="409" ht="18" customHeight="1" x14ac:dyDescent="0.2"/>
    <row r="410" ht="18" customHeight="1" x14ac:dyDescent="0.2"/>
    <row r="411" ht="18" customHeight="1" x14ac:dyDescent="0.2"/>
    <row r="412" ht="18" customHeight="1" x14ac:dyDescent="0.2"/>
    <row r="413" ht="18" customHeight="1" x14ac:dyDescent="0.2"/>
    <row r="414" ht="18" customHeight="1" x14ac:dyDescent="0.2"/>
    <row r="415" ht="18" customHeight="1" x14ac:dyDescent="0.2"/>
    <row r="416" ht="18" customHeight="1" x14ac:dyDescent="0.2"/>
    <row r="417" ht="18" customHeight="1" x14ac:dyDescent="0.2"/>
    <row r="418" ht="18" customHeight="1" x14ac:dyDescent="0.2"/>
    <row r="419" ht="18" customHeight="1" x14ac:dyDescent="0.2"/>
    <row r="420" ht="18" customHeight="1" x14ac:dyDescent="0.2"/>
    <row r="421" ht="18" customHeight="1" x14ac:dyDescent="0.2"/>
    <row r="422" ht="18" customHeight="1" x14ac:dyDescent="0.2"/>
    <row r="423" ht="18" customHeight="1" x14ac:dyDescent="0.2"/>
    <row r="424" ht="18" customHeight="1" x14ac:dyDescent="0.2"/>
    <row r="425" ht="18" customHeight="1" x14ac:dyDescent="0.2"/>
    <row r="426" ht="18" customHeight="1" x14ac:dyDescent="0.2"/>
    <row r="427" ht="18" customHeight="1" x14ac:dyDescent="0.2"/>
    <row r="428" ht="18" customHeight="1" x14ac:dyDescent="0.2"/>
    <row r="429" ht="18" customHeight="1" x14ac:dyDescent="0.2"/>
    <row r="430" ht="18" customHeight="1" x14ac:dyDescent="0.2"/>
    <row r="431" ht="18" customHeight="1" x14ac:dyDescent="0.2"/>
    <row r="432" ht="18" customHeight="1" x14ac:dyDescent="0.2"/>
    <row r="433" ht="18" customHeight="1" x14ac:dyDescent="0.2"/>
    <row r="434" ht="18" customHeight="1" x14ac:dyDescent="0.2"/>
    <row r="435" ht="18" customHeight="1" x14ac:dyDescent="0.2"/>
    <row r="436" ht="18" customHeight="1" x14ac:dyDescent="0.2"/>
    <row r="437" ht="18" customHeight="1" x14ac:dyDescent="0.2"/>
    <row r="438" ht="18" customHeight="1" x14ac:dyDescent="0.2"/>
    <row r="439" ht="18" customHeight="1" x14ac:dyDescent="0.2"/>
    <row r="440" ht="18" customHeight="1" x14ac:dyDescent="0.2"/>
    <row r="441" ht="18" customHeight="1" x14ac:dyDescent="0.2"/>
    <row r="442" ht="18" customHeight="1" x14ac:dyDescent="0.2"/>
    <row r="443" ht="18" customHeight="1" x14ac:dyDescent="0.2"/>
    <row r="444" ht="18" customHeight="1" x14ac:dyDescent="0.2"/>
    <row r="445" ht="18" customHeight="1" x14ac:dyDescent="0.2"/>
    <row r="446" ht="18" customHeight="1" x14ac:dyDescent="0.2"/>
    <row r="447" ht="18" customHeight="1" x14ac:dyDescent="0.2"/>
    <row r="448" ht="18" customHeight="1" x14ac:dyDescent="0.2"/>
    <row r="449" ht="18" customHeight="1" x14ac:dyDescent="0.2"/>
    <row r="450" ht="18" customHeight="1" x14ac:dyDescent="0.2"/>
    <row r="451" ht="18" customHeight="1" x14ac:dyDescent="0.2"/>
    <row r="452" ht="18" customHeight="1" x14ac:dyDescent="0.2"/>
    <row r="453" ht="18" customHeight="1" x14ac:dyDescent="0.2"/>
    <row r="454" ht="18" customHeight="1" x14ac:dyDescent="0.2"/>
    <row r="455" ht="18" customHeight="1" x14ac:dyDescent="0.2"/>
    <row r="456" ht="18" customHeight="1" x14ac:dyDescent="0.2"/>
    <row r="457" ht="18" customHeight="1" x14ac:dyDescent="0.2"/>
    <row r="458" ht="18" customHeight="1" x14ac:dyDescent="0.2"/>
    <row r="459" ht="18" customHeight="1" x14ac:dyDescent="0.2"/>
    <row r="460" ht="18" customHeight="1" x14ac:dyDescent="0.2"/>
    <row r="461" ht="18" customHeight="1" x14ac:dyDescent="0.2"/>
    <row r="462" ht="18" customHeight="1" x14ac:dyDescent="0.2"/>
    <row r="463" ht="18" customHeight="1" x14ac:dyDescent="0.2"/>
    <row r="464" ht="18" customHeight="1" x14ac:dyDescent="0.2"/>
    <row r="465" ht="18" customHeight="1" x14ac:dyDescent="0.2"/>
    <row r="466" ht="18" customHeight="1" x14ac:dyDescent="0.2"/>
    <row r="467" ht="18" customHeight="1" x14ac:dyDescent="0.2"/>
    <row r="468" ht="18" customHeight="1" x14ac:dyDescent="0.2"/>
    <row r="469" ht="18" customHeight="1" x14ac:dyDescent="0.2"/>
    <row r="470" ht="18" customHeight="1" x14ac:dyDescent="0.2"/>
    <row r="471" ht="18" customHeight="1" x14ac:dyDescent="0.2"/>
    <row r="472" ht="18" customHeight="1" x14ac:dyDescent="0.2"/>
    <row r="473" ht="18" customHeight="1" x14ac:dyDescent="0.2"/>
    <row r="474" ht="18" customHeight="1" x14ac:dyDescent="0.2"/>
    <row r="475" ht="18" customHeight="1" x14ac:dyDescent="0.2"/>
    <row r="476" ht="18" customHeight="1" x14ac:dyDescent="0.2"/>
    <row r="477" ht="18" customHeight="1" x14ac:dyDescent="0.2"/>
    <row r="478" ht="18" customHeight="1" x14ac:dyDescent="0.2"/>
    <row r="479" ht="18" customHeight="1" x14ac:dyDescent="0.2"/>
    <row r="480" ht="18" customHeight="1" x14ac:dyDescent="0.2"/>
    <row r="481" ht="18" customHeight="1" x14ac:dyDescent="0.2"/>
    <row r="482" ht="18" customHeight="1" x14ac:dyDescent="0.2"/>
    <row r="483" ht="18" customHeight="1" x14ac:dyDescent="0.2"/>
    <row r="484" ht="18" customHeight="1" x14ac:dyDescent="0.2"/>
    <row r="485" ht="18" customHeight="1" x14ac:dyDescent="0.2"/>
    <row r="486" ht="18" customHeight="1" x14ac:dyDescent="0.2"/>
    <row r="487" ht="18" customHeight="1" x14ac:dyDescent="0.2"/>
    <row r="488" ht="18" customHeight="1" x14ac:dyDescent="0.2"/>
    <row r="489" ht="18" customHeight="1" x14ac:dyDescent="0.2"/>
    <row r="490" ht="18" customHeight="1" x14ac:dyDescent="0.2"/>
    <row r="491" ht="18" customHeight="1" x14ac:dyDescent="0.2"/>
    <row r="492" ht="18" customHeight="1" x14ac:dyDescent="0.2"/>
    <row r="493" ht="18" customHeight="1" x14ac:dyDescent="0.2"/>
    <row r="494" ht="18" customHeight="1" x14ac:dyDescent="0.2"/>
    <row r="495" ht="18" customHeight="1" x14ac:dyDescent="0.2"/>
    <row r="496" ht="18" customHeight="1" x14ac:dyDescent="0.2"/>
    <row r="497" ht="18" customHeight="1" x14ac:dyDescent="0.2"/>
    <row r="498" ht="18" customHeight="1" x14ac:dyDescent="0.2"/>
    <row r="499" ht="18" customHeight="1" x14ac:dyDescent="0.2"/>
    <row r="500" ht="18" customHeight="1" x14ac:dyDescent="0.2"/>
    <row r="501" ht="18" customHeight="1" x14ac:dyDescent="0.2"/>
    <row r="502" ht="18" customHeight="1" x14ac:dyDescent="0.2"/>
    <row r="503" ht="18" customHeight="1" x14ac:dyDescent="0.2"/>
    <row r="504" ht="18" customHeight="1" x14ac:dyDescent="0.2"/>
    <row r="505" ht="18" customHeight="1" x14ac:dyDescent="0.2"/>
    <row r="506" ht="18" customHeight="1" x14ac:dyDescent="0.2"/>
    <row r="507" ht="18" customHeight="1" x14ac:dyDescent="0.2"/>
    <row r="508" ht="18" customHeight="1" x14ac:dyDescent="0.2"/>
    <row r="509" ht="18" customHeight="1" x14ac:dyDescent="0.2"/>
    <row r="510" ht="18" customHeight="1" x14ac:dyDescent="0.2"/>
    <row r="511" ht="18" customHeight="1" x14ac:dyDescent="0.2"/>
    <row r="512" ht="18" customHeight="1" x14ac:dyDescent="0.2"/>
    <row r="513" ht="18" customHeight="1" x14ac:dyDescent="0.2"/>
    <row r="514" ht="18" customHeight="1" x14ac:dyDescent="0.2"/>
    <row r="515" ht="18" customHeight="1" x14ac:dyDescent="0.2"/>
    <row r="516" ht="18" customHeight="1" x14ac:dyDescent="0.2"/>
    <row r="517" ht="18" customHeight="1" x14ac:dyDescent="0.2"/>
    <row r="518" ht="18" customHeight="1" x14ac:dyDescent="0.2"/>
    <row r="519" ht="18" customHeight="1" x14ac:dyDescent="0.2"/>
    <row r="520" ht="18" customHeight="1" x14ac:dyDescent="0.2"/>
    <row r="521" ht="18" customHeight="1" x14ac:dyDescent="0.2"/>
    <row r="522" ht="18" customHeight="1" x14ac:dyDescent="0.2"/>
    <row r="523" ht="18" customHeight="1" x14ac:dyDescent="0.2"/>
    <row r="524" ht="18" customHeight="1" x14ac:dyDescent="0.2"/>
    <row r="525" ht="18" customHeight="1" x14ac:dyDescent="0.2"/>
    <row r="526" ht="18" customHeight="1" x14ac:dyDescent="0.2"/>
    <row r="527" ht="18" customHeight="1" x14ac:dyDescent="0.2"/>
    <row r="528" ht="18" customHeight="1" x14ac:dyDescent="0.2"/>
    <row r="529" ht="18" customHeight="1" x14ac:dyDescent="0.2"/>
    <row r="530" ht="18" customHeight="1" x14ac:dyDescent="0.2"/>
    <row r="531" ht="18" customHeight="1" x14ac:dyDescent="0.2"/>
    <row r="532" ht="18" customHeight="1" x14ac:dyDescent="0.2"/>
    <row r="533" ht="18" customHeight="1" x14ac:dyDescent="0.2"/>
    <row r="534" ht="18" customHeight="1" x14ac:dyDescent="0.2"/>
    <row r="535" ht="18" customHeight="1" x14ac:dyDescent="0.2"/>
    <row r="536" ht="18" customHeight="1" x14ac:dyDescent="0.2"/>
    <row r="537" ht="18" customHeight="1" x14ac:dyDescent="0.2"/>
    <row r="538" ht="18" customHeight="1" x14ac:dyDescent="0.2"/>
    <row r="539" ht="18" customHeight="1" x14ac:dyDescent="0.2"/>
    <row r="540" ht="18" customHeight="1" x14ac:dyDescent="0.2"/>
    <row r="541" ht="18" customHeight="1" x14ac:dyDescent="0.2"/>
    <row r="542" ht="18" customHeight="1" x14ac:dyDescent="0.2"/>
    <row r="543" ht="18" customHeight="1" x14ac:dyDescent="0.2"/>
    <row r="544" ht="18" customHeight="1" x14ac:dyDescent="0.2"/>
    <row r="545" ht="18" customHeight="1" x14ac:dyDescent="0.2"/>
    <row r="546" ht="18" customHeight="1" x14ac:dyDescent="0.2"/>
    <row r="547" ht="18" customHeight="1" x14ac:dyDescent="0.2"/>
    <row r="548" ht="18" customHeight="1" x14ac:dyDescent="0.2"/>
    <row r="549" ht="18" customHeight="1" x14ac:dyDescent="0.2"/>
    <row r="550" ht="18" customHeight="1" x14ac:dyDescent="0.2"/>
    <row r="551" ht="18" customHeight="1" x14ac:dyDescent="0.2"/>
    <row r="552" ht="18" customHeight="1" x14ac:dyDescent="0.2"/>
    <row r="553" ht="18" customHeight="1" x14ac:dyDescent="0.2"/>
    <row r="554" ht="18" customHeight="1" x14ac:dyDescent="0.2"/>
    <row r="555" ht="18" customHeight="1" x14ac:dyDescent="0.2"/>
    <row r="556" ht="18" customHeight="1" x14ac:dyDescent="0.2"/>
    <row r="557" ht="18" customHeight="1" x14ac:dyDescent="0.2"/>
    <row r="558" ht="18" customHeight="1" x14ac:dyDescent="0.2"/>
    <row r="559" ht="18" customHeight="1" x14ac:dyDescent="0.2"/>
    <row r="560" ht="18" customHeight="1" x14ac:dyDescent="0.2"/>
    <row r="561" ht="18" customHeight="1" x14ac:dyDescent="0.2"/>
    <row r="562" ht="18" customHeight="1" x14ac:dyDescent="0.2"/>
    <row r="563" ht="18" customHeight="1" x14ac:dyDescent="0.2"/>
    <row r="564" ht="18" customHeight="1" x14ac:dyDescent="0.2"/>
    <row r="565" ht="18" customHeight="1" x14ac:dyDescent="0.2"/>
    <row r="566" ht="18" customHeight="1" x14ac:dyDescent="0.2"/>
    <row r="567" ht="18" customHeight="1" x14ac:dyDescent="0.2"/>
    <row r="568" ht="18" customHeight="1" x14ac:dyDescent="0.2"/>
    <row r="569" ht="18" customHeight="1" x14ac:dyDescent="0.2"/>
    <row r="570" ht="18" customHeight="1" x14ac:dyDescent="0.2"/>
    <row r="571" ht="18" customHeight="1" x14ac:dyDescent="0.2"/>
    <row r="572" ht="18" customHeight="1" x14ac:dyDescent="0.2"/>
    <row r="573" ht="18" customHeight="1" x14ac:dyDescent="0.2"/>
    <row r="574" ht="18" customHeight="1" x14ac:dyDescent="0.2"/>
    <row r="575" ht="18" customHeight="1" x14ac:dyDescent="0.2"/>
    <row r="576" ht="18" customHeight="1" x14ac:dyDescent="0.2"/>
    <row r="577" ht="18" customHeight="1" x14ac:dyDescent="0.2"/>
    <row r="578" ht="18" customHeight="1" x14ac:dyDescent="0.2"/>
    <row r="579" ht="18" customHeight="1" x14ac:dyDescent="0.2"/>
    <row r="580" ht="18" customHeight="1" x14ac:dyDescent="0.2"/>
    <row r="581" ht="18" customHeight="1" x14ac:dyDescent="0.2"/>
    <row r="582" ht="18" customHeight="1" x14ac:dyDescent="0.2"/>
    <row r="583" ht="18" customHeight="1" x14ac:dyDescent="0.2"/>
    <row r="584" ht="18" customHeight="1" x14ac:dyDescent="0.2"/>
    <row r="585" ht="18" customHeight="1" x14ac:dyDescent="0.2"/>
    <row r="586" ht="18" customHeight="1" x14ac:dyDescent="0.2"/>
    <row r="587" ht="18" customHeight="1" x14ac:dyDescent="0.2"/>
    <row r="588" ht="18" customHeight="1" x14ac:dyDescent="0.2"/>
    <row r="589" ht="18" customHeight="1" x14ac:dyDescent="0.2"/>
    <row r="590" ht="18" customHeight="1" x14ac:dyDescent="0.2"/>
    <row r="591" ht="18" customHeight="1" x14ac:dyDescent="0.2"/>
    <row r="592" ht="18" customHeight="1" x14ac:dyDescent="0.2"/>
    <row r="593" ht="18" customHeight="1" x14ac:dyDescent="0.2"/>
    <row r="594" ht="18" customHeight="1" x14ac:dyDescent="0.2"/>
    <row r="595" ht="18" customHeight="1" x14ac:dyDescent="0.2"/>
    <row r="596" ht="18" customHeight="1" x14ac:dyDescent="0.2"/>
    <row r="597" ht="18" customHeight="1" x14ac:dyDescent="0.2"/>
    <row r="598" ht="18" customHeight="1" x14ac:dyDescent="0.2"/>
    <row r="599" ht="18" customHeight="1" x14ac:dyDescent="0.2"/>
    <row r="600" ht="18" customHeight="1" x14ac:dyDescent="0.2"/>
    <row r="601" ht="18" customHeight="1" x14ac:dyDescent="0.2"/>
    <row r="602" ht="18" customHeight="1" x14ac:dyDescent="0.2"/>
    <row r="603" ht="18" customHeight="1" x14ac:dyDescent="0.2"/>
    <row r="604" ht="18" customHeight="1" x14ac:dyDescent="0.2"/>
    <row r="605" ht="18" customHeight="1" x14ac:dyDescent="0.2"/>
    <row r="606" ht="18" customHeight="1" x14ac:dyDescent="0.2"/>
    <row r="607" ht="18" customHeight="1" x14ac:dyDescent="0.2"/>
    <row r="608" ht="18" customHeight="1" x14ac:dyDescent="0.2"/>
    <row r="609" ht="18" customHeight="1" x14ac:dyDescent="0.2"/>
    <row r="610" ht="18" customHeight="1" x14ac:dyDescent="0.2"/>
    <row r="611" ht="18" customHeight="1" x14ac:dyDescent="0.2"/>
    <row r="612" ht="18" customHeight="1" x14ac:dyDescent="0.2"/>
    <row r="613" ht="18" customHeight="1" x14ac:dyDescent="0.2"/>
    <row r="614" ht="18" customHeight="1" x14ac:dyDescent="0.2"/>
    <row r="615" ht="18" customHeight="1" x14ac:dyDescent="0.2"/>
    <row r="616" ht="18" customHeight="1" x14ac:dyDescent="0.2"/>
    <row r="617" ht="18" customHeight="1" x14ac:dyDescent="0.2"/>
    <row r="618" ht="18" customHeight="1" x14ac:dyDescent="0.2"/>
    <row r="619" ht="18" customHeight="1" x14ac:dyDescent="0.2"/>
    <row r="620" ht="18" customHeight="1" x14ac:dyDescent="0.2"/>
    <row r="621" ht="18" customHeight="1" x14ac:dyDescent="0.2"/>
    <row r="622" ht="18" customHeight="1" x14ac:dyDescent="0.2"/>
    <row r="623" ht="18" customHeight="1" x14ac:dyDescent="0.2"/>
    <row r="624" ht="18" customHeight="1" x14ac:dyDescent="0.2"/>
    <row r="625" ht="18" customHeight="1" x14ac:dyDescent="0.2"/>
    <row r="626" ht="18" customHeight="1" x14ac:dyDescent="0.2"/>
    <row r="627" ht="18" customHeight="1" x14ac:dyDescent="0.2"/>
    <row r="628" ht="18" customHeight="1" x14ac:dyDescent="0.2"/>
    <row r="629" ht="18" customHeight="1" x14ac:dyDescent="0.2"/>
    <row r="630" ht="18" customHeight="1" x14ac:dyDescent="0.2"/>
    <row r="631" ht="18" customHeight="1" x14ac:dyDescent="0.2"/>
    <row r="632" ht="18" customHeight="1" x14ac:dyDescent="0.2"/>
    <row r="633" ht="18" customHeight="1" x14ac:dyDescent="0.2"/>
    <row r="634" ht="18" customHeight="1" x14ac:dyDescent="0.2"/>
    <row r="635" ht="18" customHeight="1" x14ac:dyDescent="0.2"/>
    <row r="636" ht="18" customHeight="1" x14ac:dyDescent="0.2"/>
    <row r="637" ht="18" customHeight="1" x14ac:dyDescent="0.2"/>
    <row r="638" ht="18" customHeight="1" x14ac:dyDescent="0.2"/>
    <row r="639" ht="18" customHeight="1" x14ac:dyDescent="0.2"/>
    <row r="640" ht="18" customHeight="1" x14ac:dyDescent="0.2"/>
    <row r="641" ht="18" customHeight="1" x14ac:dyDescent="0.2"/>
  </sheetData>
  <mergeCells count="27">
    <mergeCell ref="F13:U13"/>
    <mergeCell ref="W49:X49"/>
    <mergeCell ref="J26:R26"/>
    <mergeCell ref="J27:R27"/>
    <mergeCell ref="AK27:AR27"/>
    <mergeCell ref="J28:R28"/>
    <mergeCell ref="J29:R29"/>
    <mergeCell ref="A36:M36"/>
    <mergeCell ref="R36:Z36"/>
    <mergeCell ref="A40:M40"/>
    <mergeCell ref="R40:Z40"/>
    <mergeCell ref="N45:Q45"/>
    <mergeCell ref="W45:Y45"/>
    <mergeCell ref="W48:X48"/>
    <mergeCell ref="R35:Y35"/>
    <mergeCell ref="A23:S23"/>
    <mergeCell ref="AK23:AR23"/>
    <mergeCell ref="J24:R24"/>
    <mergeCell ref="AK24:AR24"/>
    <mergeCell ref="J25:R25"/>
    <mergeCell ref="AK25:AR25"/>
    <mergeCell ref="F12:U12"/>
    <mergeCell ref="A6:Z6"/>
    <mergeCell ref="F8:S8"/>
    <mergeCell ref="F9:S9"/>
    <mergeCell ref="F10:S10"/>
    <mergeCell ref="F11:S11"/>
  </mergeCells>
  <pageMargins left="0.74803149606299213" right="0.39370078740157483" top="0.47244094488188981" bottom="0.62992125984251968" header="0" footer="0.23622047244094491"/>
  <pageSetup scale="95" orientation="portrait" horizontalDpi="4294967293" r:id="rId1"/>
  <headerFooter alignWithMargins="0">
    <oddFooter>&amp;LMV ANAHITA LETTER OF APPARENT DISCREPANCY</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13</vt:i4>
      </vt:variant>
      <vt:variant>
        <vt:lpstr>Rangos con nombre</vt:lpstr>
      </vt:variant>
      <vt:variant>
        <vt:i4>13</vt:i4>
      </vt:variant>
    </vt:vector>
  </HeadingPairs>
  <TitlesOfParts>
    <vt:vector size="26" baseType="lpstr">
      <vt:lpstr>A</vt:lpstr>
      <vt:lpstr>B</vt:lpstr>
      <vt:lpstr>C</vt:lpstr>
      <vt:lpstr>General</vt:lpstr>
      <vt:lpstr>Draft</vt:lpstr>
      <vt:lpstr>E</vt:lpstr>
      <vt:lpstr>D1</vt:lpstr>
      <vt:lpstr>D2</vt:lpstr>
      <vt:lpstr>Hoja1</vt:lpstr>
      <vt:lpstr>D3</vt:lpstr>
      <vt:lpstr>Deductions</vt:lpstr>
      <vt:lpstr>Note of Protest SHORE SCALE </vt:lpstr>
      <vt:lpstr>Note of Protest DRAFT</vt:lpstr>
      <vt:lpstr>A!Área_de_impresión</vt:lpstr>
      <vt:lpstr>B!Área_de_impresión</vt:lpstr>
      <vt:lpstr>'C'!Área_de_impresión</vt:lpstr>
      <vt:lpstr>'D1'!Área_de_impresión</vt:lpstr>
      <vt:lpstr>'D2'!Área_de_impresión</vt:lpstr>
      <vt:lpstr>'D3'!Área_de_impresión</vt:lpstr>
      <vt:lpstr>Deductions!Área_de_impresión</vt:lpstr>
      <vt:lpstr>Draft!Área_de_impresión</vt:lpstr>
      <vt:lpstr>E!Área_de_impresión</vt:lpstr>
      <vt:lpstr>General!Área_de_impresión</vt:lpstr>
      <vt:lpstr>'Note of Protest DRAFT'!Área_de_impresión</vt:lpstr>
      <vt:lpstr>'Note of Protest SHORE SCALE '!Área_de_impresión</vt:lpstr>
      <vt:lpstr>TABLAS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pabel Peña</dc:creator>
  <cp:lastModifiedBy>Manfred Bolaños</cp:lastModifiedBy>
  <cp:lastPrinted>2026-07-18T22:11:13Z</cp:lastPrinted>
  <dcterms:created xsi:type="dcterms:W3CDTF">2024-06-05T00:08:00Z</dcterms:created>
  <dcterms:modified xsi:type="dcterms:W3CDTF">2026-07-20T16:45:58Z</dcterms:modified>
</cp:coreProperties>
</file>