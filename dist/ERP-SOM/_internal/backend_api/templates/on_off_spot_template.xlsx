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13_ncr:1_{76D047DD-74CF-4AF9-BBA9-3A048B549648}" xr6:coauthVersionLast="47" xr6:coauthVersionMax="47" xr10:uidLastSave="{00000000-0000-0000-0000-000000000000}"/>
  <bookViews>
    <workbookView xWindow="-108" yWindow="-108" windowWidth="23256" windowHeight="12456" xr2:uid="{07ADC957-8ABD-40B3-B8CA-6432964576F2}"/>
  </bookViews>
  <sheets>
    <sheet name="CERTIFICATE" sheetId="1" r:id="rId1"/>
    <sheet name="CALCULATIONS" sheetId="2" r:id="rId2"/>
    <sheet name="LOG BOOK FIGURES" sheetId="3" r:id="rId3"/>
    <sheet name="Data from DB" sheetId="6" r:id="rId4"/>
    <sheet name="COMSUPTION" sheetId="5" state="hidden" r:id="rId5"/>
    <sheet name="LOG BOOK &amp; COMSUPTION" sheetId="4" state="hidden" r:id="rId6"/>
  </sheets>
  <definedNames>
    <definedName name="_xlnm.Print_Area" localSheetId="1">CALCULATIONS!$A$1:$J$45</definedName>
    <definedName name="_xlnm.Print_Area" localSheetId="5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E18" i="3"/>
  <c r="D18" i="3"/>
  <c r="J18" i="3"/>
  <c r="I18" i="3"/>
  <c r="H18" i="3"/>
  <c r="G18" i="3"/>
  <c r="E16" i="3"/>
  <c r="H36" i="3"/>
  <c r="D36" i="3"/>
  <c r="E42" i="2"/>
  <c r="A35" i="1"/>
  <c r="B13" i="1"/>
  <c r="E14" i="3"/>
  <c r="E12" i="3"/>
  <c r="E10" i="3"/>
  <c r="D16" i="3"/>
  <c r="D14" i="3"/>
  <c r="D12" i="3"/>
  <c r="D10" i="3"/>
  <c r="I30" i="3"/>
  <c r="H30" i="3"/>
  <c r="G30" i="3"/>
  <c r="F30" i="3"/>
  <c r="I29" i="3"/>
  <c r="H29" i="3"/>
  <c r="G29" i="3"/>
  <c r="F29" i="3"/>
  <c r="I27" i="3"/>
  <c r="H27" i="3"/>
  <c r="G27" i="3"/>
  <c r="F27" i="3"/>
  <c r="I26" i="3"/>
  <c r="H26" i="3"/>
  <c r="G26" i="3"/>
  <c r="F26" i="3"/>
  <c r="I10" i="3"/>
  <c r="J16" i="3"/>
  <c r="I16" i="3"/>
  <c r="H16" i="3"/>
  <c r="G16" i="3"/>
  <c r="J14" i="3"/>
  <c r="I14" i="3"/>
  <c r="H14" i="3"/>
  <c r="G14" i="3"/>
  <c r="J12" i="3"/>
  <c r="I12" i="3"/>
  <c r="H12" i="3"/>
  <c r="G12" i="3"/>
  <c r="J10" i="3"/>
  <c r="H10" i="3"/>
  <c r="G10" i="3"/>
  <c r="J1" i="2"/>
  <c r="J31" i="2"/>
  <c r="I31" i="2"/>
  <c r="H31" i="2"/>
  <c r="G31" i="2"/>
  <c r="F31" i="2"/>
  <c r="E31" i="2"/>
  <c r="D31" i="2"/>
  <c r="A31" i="2"/>
  <c r="J30" i="2"/>
  <c r="I30" i="2"/>
  <c r="H30" i="2"/>
  <c r="G30" i="2"/>
  <c r="F30" i="2"/>
  <c r="E30" i="2"/>
  <c r="D30" i="2"/>
  <c r="A30" i="2"/>
  <c r="J29" i="2"/>
  <c r="I29" i="2"/>
  <c r="H29" i="2"/>
  <c r="G29" i="2"/>
  <c r="F29" i="2"/>
  <c r="E29" i="2"/>
  <c r="D29" i="2"/>
  <c r="A29" i="2"/>
  <c r="J21" i="2"/>
  <c r="I21" i="2"/>
  <c r="H21" i="2"/>
  <c r="G21" i="2"/>
  <c r="F21" i="2"/>
  <c r="E21" i="2"/>
  <c r="D21" i="2"/>
  <c r="A21" i="2"/>
  <c r="J20" i="2"/>
  <c r="I20" i="2"/>
  <c r="H20" i="2"/>
  <c r="G20" i="2"/>
  <c r="F20" i="2"/>
  <c r="E20" i="2"/>
  <c r="D20" i="2"/>
  <c r="A20" i="2"/>
  <c r="J19" i="2"/>
  <c r="I19" i="2"/>
  <c r="H19" i="2"/>
  <c r="G19" i="2"/>
  <c r="F19" i="2"/>
  <c r="E19" i="2"/>
  <c r="D19" i="2"/>
  <c r="A19" i="2"/>
  <c r="J18" i="2"/>
  <c r="I18" i="2"/>
  <c r="H18" i="2"/>
  <c r="G18" i="2"/>
  <c r="F18" i="2"/>
  <c r="E18" i="2"/>
  <c r="D18" i="2"/>
  <c r="A18" i="2"/>
  <c r="J17" i="2"/>
  <c r="I17" i="2"/>
  <c r="H17" i="2"/>
  <c r="G17" i="2"/>
  <c r="F17" i="2"/>
  <c r="E17" i="2"/>
  <c r="D17" i="2"/>
  <c r="A17" i="2"/>
  <c r="J16" i="2"/>
  <c r="I16" i="2"/>
  <c r="H16" i="2"/>
  <c r="G16" i="2"/>
  <c r="F16" i="2"/>
  <c r="E16" i="2"/>
  <c r="D16" i="2"/>
  <c r="A16" i="2"/>
  <c r="J15" i="2"/>
  <c r="I15" i="2"/>
  <c r="H15" i="2"/>
  <c r="G15" i="2"/>
  <c r="F15" i="2"/>
  <c r="E15" i="2"/>
  <c r="D15" i="2"/>
  <c r="A15" i="2"/>
  <c r="J14" i="2"/>
  <c r="I14" i="2"/>
  <c r="H14" i="2"/>
  <c r="G14" i="2"/>
  <c r="F14" i="2"/>
  <c r="E14" i="2"/>
  <c r="D14" i="2"/>
  <c r="A14" i="2"/>
  <c r="J13" i="2"/>
  <c r="I13" i="2"/>
  <c r="H13" i="2"/>
  <c r="G13" i="2"/>
  <c r="F13" i="2"/>
  <c r="E13" i="2"/>
  <c r="D13" i="2"/>
  <c r="A13" i="2"/>
  <c r="J12" i="2"/>
  <c r="I12" i="2"/>
  <c r="H12" i="2"/>
  <c r="G12" i="2"/>
  <c r="F12" i="2"/>
  <c r="E12" i="2"/>
  <c r="D12" i="2"/>
  <c r="B14" i="1"/>
  <c r="A12" i="2"/>
  <c r="A11" i="2"/>
  <c r="J11" i="2"/>
  <c r="I11" i="2"/>
  <c r="H11" i="2"/>
  <c r="G11" i="2"/>
  <c r="F11" i="2"/>
  <c r="E11" i="2"/>
  <c r="D11" i="2"/>
  <c r="B22" i="1"/>
  <c r="G6" i="2"/>
  <c r="E6" i="2"/>
  <c r="I32" i="1"/>
  <c r="F32" i="1"/>
  <c r="C32" i="1"/>
  <c r="A32" i="1"/>
  <c r="I31" i="1"/>
  <c r="F31" i="1"/>
  <c r="C31" i="1"/>
  <c r="A31" i="1"/>
  <c r="I30" i="1"/>
  <c r="F30" i="1"/>
  <c r="C30" i="1"/>
  <c r="A30" i="1"/>
  <c r="I29" i="1"/>
  <c r="F29" i="1"/>
  <c r="C29" i="1"/>
  <c r="A29" i="1"/>
  <c r="B26" i="1"/>
  <c r="I26" i="1"/>
  <c r="B15" i="1"/>
  <c r="A9" i="1"/>
  <c r="C7" i="1"/>
  <c r="I5" i="1"/>
  <c r="I3" i="1"/>
  <c r="C5" i="1"/>
  <c r="C3" i="1"/>
  <c r="H1" i="1"/>
  <c r="J32" i="2" l="1"/>
  <c r="H38" i="3"/>
  <c r="D38" i="3"/>
  <c r="A42" i="2"/>
  <c r="O21" i="2" l="1"/>
  <c r="N14" i="2"/>
  <c r="N32" i="2" s="1"/>
  <c r="M26" i="2"/>
  <c r="I42" i="2"/>
  <c r="H37" i="3" s="1"/>
  <c r="O26" i="2"/>
  <c r="N26" i="2"/>
  <c r="D24" i="5"/>
  <c r="E24" i="5"/>
  <c r="D20" i="5"/>
  <c r="D27" i="5" s="1"/>
  <c r="J17" i="5"/>
  <c r="F17" i="5" s="1"/>
  <c r="F20" i="5" s="1"/>
  <c r="J14" i="5"/>
  <c r="F14" i="5" s="1"/>
  <c r="E20" i="5" s="1"/>
  <c r="E10" i="5"/>
  <c r="J7" i="5"/>
  <c r="F7" i="5" s="1"/>
  <c r="J27" i="5" s="1"/>
  <c r="J4" i="5"/>
  <c r="F4" i="5" s="1"/>
  <c r="H4" i="5"/>
  <c r="E41" i="4"/>
  <c r="C41" i="4"/>
  <c r="B41" i="4"/>
  <c r="D40" i="4"/>
  <c r="D41" i="4" s="1"/>
  <c r="C40" i="4"/>
  <c r="L25" i="4"/>
  <c r="K25" i="4"/>
  <c r="L17" i="4"/>
  <c r="K17" i="4"/>
  <c r="P9" i="4"/>
  <c r="Q9" i="4" s="1"/>
  <c r="N9" i="4" s="1"/>
  <c r="G21" i="4" s="1"/>
  <c r="P8" i="4"/>
  <c r="Q8" i="4" s="1"/>
  <c r="N8" i="4" s="1"/>
  <c r="E21" i="4" s="1"/>
  <c r="Q5" i="4"/>
  <c r="N5" i="4" s="1"/>
  <c r="P5" i="4"/>
  <c r="P4" i="4"/>
  <c r="Q4" i="4" s="1"/>
  <c r="N4" i="4" s="1"/>
  <c r="H7" i="5"/>
  <c r="F10" i="5"/>
  <c r="E43" i="2"/>
  <c r="I43" i="2"/>
  <c r="O41" i="2"/>
  <c r="O39" i="2"/>
  <c r="O34" i="2"/>
  <c r="M34" i="2"/>
  <c r="O28" i="2"/>
  <c r="M28" i="2"/>
  <c r="O23" i="2"/>
  <c r="O16" i="2"/>
  <c r="M16" i="2"/>
  <c r="O10" i="2"/>
  <c r="M10" i="2"/>
  <c r="I6" i="2"/>
  <c r="H41" i="1"/>
  <c r="D10" i="1"/>
  <c r="E27" i="5" l="1"/>
  <c r="G27" i="5"/>
  <c r="J24" i="5"/>
  <c r="G24" i="5" s="1"/>
  <c r="F28" i="5"/>
  <c r="K18" i="4"/>
  <c r="K13" i="4"/>
  <c r="K14" i="4" s="1"/>
  <c r="K19" i="4"/>
  <c r="K23" i="4" s="1"/>
  <c r="K27" i="4" s="1"/>
  <c r="L13" i="4"/>
  <c r="L14" i="4" s="1"/>
  <c r="L18" i="4"/>
  <c r="L19" i="4"/>
  <c r="L23" i="4" s="1"/>
  <c r="O22" i="2"/>
  <c r="N22" i="2" s="1"/>
  <c r="N10" i="2"/>
  <c r="P7" i="2" s="1"/>
  <c r="P10" i="2" s="1"/>
  <c r="N34" i="2"/>
  <c r="P31" i="2" s="1"/>
  <c r="P34" i="2" s="1"/>
  <c r="L40" i="2" s="1"/>
  <c r="N16" i="2"/>
  <c r="P13" i="2" s="1"/>
  <c r="P16" i="2" s="1"/>
  <c r="N28" i="2"/>
  <c r="P25" i="2" s="1"/>
  <c r="P28" i="2" s="1"/>
  <c r="P11" i="2" l="1"/>
  <c r="M40" i="2"/>
  <c r="O40" i="2"/>
  <c r="P35" i="2"/>
  <c r="P17" i="2"/>
  <c r="P29" i="2"/>
  <c r="J22" i="2"/>
  <c r="C22" i="2" l="1"/>
  <c r="N40" i="2"/>
  <c r="F28" i="1"/>
  <c r="F33" i="1" s="1"/>
  <c r="E34" i="2"/>
  <c r="J28" i="1"/>
  <c r="J33" i="1" s="1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Katherine</author>
    <author>Pabel</author>
    <author>MSL</author>
  </authors>
  <commentList>
    <comment ref="E6" authorId="0" shapeId="0" xr:uid="{2632B1A9-E99E-4E5D-A19E-ECA7B6B414ED}">
      <text>
        <r>
          <rPr>
            <b/>
            <sz val="8"/>
            <color indexed="81"/>
            <rFont val="Arial"/>
            <family val="2"/>
          </rPr>
          <t>colocar calado de proa</t>
        </r>
      </text>
    </comment>
    <comment ref="G6" authorId="0" shapeId="0" xr:uid="{F123591E-AB08-4FE4-8BD6-051297B314DA}">
      <text>
        <r>
          <rPr>
            <sz val="8"/>
            <color indexed="81"/>
            <rFont val="Tahoma"/>
            <family val="2"/>
          </rPr>
          <t>colocar calado de popa</t>
        </r>
      </text>
    </comment>
    <comment ref="J6" authorId="1" shapeId="0" xr:uid="{6DB10DFE-14BD-4730-AD92-9F82AC03D992}">
      <text>
        <r>
          <rPr>
            <b/>
            <sz val="9"/>
            <color indexed="81"/>
            <rFont val="Tahoma"/>
            <family val="2"/>
          </rPr>
          <t xml:space="preserve">colocar el list, Si hay </t>
        </r>
      </text>
    </comment>
    <comment ref="P9" authorId="2" shapeId="0" xr:uid="{E520642C-79CC-4550-AA56-2CAFD2B73A04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P15" authorId="2" shapeId="0" xr:uid="{AD43A355-B0E2-43A9-BA3E-F267EBF73CDB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P27" authorId="2" shapeId="0" xr:uid="{8D6F7F6B-D6FA-4368-A968-3E7FBF573F08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  <comment ref="P33" authorId="2" shapeId="0" xr:uid="{BA605CA3-0454-4EA5-B38C-8844A3A5F2DD}">
      <text>
        <r>
          <rPr>
            <b/>
            <sz val="9"/>
            <rFont val="Tahoma"/>
            <family val="2"/>
          </rPr>
          <t>MSL:</t>
        </r>
        <r>
          <rPr>
            <sz val="9"/>
            <rFont val="Tahoma"/>
            <family val="2"/>
          </rPr>
          <t xml:space="preserve">
CAMBIAR EL DIGITO SEGUN LA TABLA SI ESTA EN CM (100) O MM (1000)</t>
        </r>
      </text>
    </comment>
  </commentList>
</comments>
</file>

<file path=xl/sharedStrings.xml><?xml version="1.0" encoding="utf-8"?>
<sst xmlns="http://schemas.openxmlformats.org/spreadsheetml/2006/main" count="790" uniqueCount="639">
  <si>
    <t>Name of Ship:</t>
  </si>
  <si>
    <t xml:space="preserve">      Port of Registry:</t>
  </si>
  <si>
    <t>Gross Tonnage:</t>
  </si>
  <si>
    <t xml:space="preserve">      Date:</t>
  </si>
  <si>
    <t>ANTECEDENTS</t>
  </si>
  <si>
    <t>1.1-</t>
  </si>
  <si>
    <t>1.2-</t>
  </si>
  <si>
    <t>INSPECTION</t>
  </si>
  <si>
    <t>2.1-</t>
  </si>
  <si>
    <t>The Bunker Survey was carried out in joint with the Chief Engineer, and Third</t>
  </si>
  <si>
    <t>Engineer at with attached form results.</t>
  </si>
  <si>
    <t>REMARK</t>
  </si>
  <si>
    <t>attached form results.</t>
  </si>
  <si>
    <t>3.1-</t>
  </si>
  <si>
    <t>DELIVERY POINT</t>
  </si>
  <si>
    <t>4.1</t>
  </si>
  <si>
    <t xml:space="preserve">   BUNKER FIGURES</t>
  </si>
  <si>
    <t>IFO:</t>
  </si>
  <si>
    <t>VLSFO:</t>
  </si>
  <si>
    <t>MT</t>
  </si>
  <si>
    <t>LSMGO:</t>
  </si>
  <si>
    <t>VLSFO</t>
  </si>
  <si>
    <t xml:space="preserve"> LSMGO:</t>
  </si>
  <si>
    <t>TOTAL</t>
  </si>
  <si>
    <t xml:space="preserve">  MSL / Surveyor</t>
  </si>
  <si>
    <t>DRAFT:</t>
  </si>
  <si>
    <t>FWD =</t>
  </si>
  <si>
    <t>AFT =</t>
  </si>
  <si>
    <t>LIST =0</t>
  </si>
  <si>
    <t xml:space="preserve"> FUEL OIL </t>
  </si>
  <si>
    <t xml:space="preserve">Comsuption per day declarated: </t>
  </si>
  <si>
    <t>TANKS</t>
  </si>
  <si>
    <t>DIST.</t>
  </si>
  <si>
    <t>GUAGES</t>
  </si>
  <si>
    <t>VOLUME</t>
  </si>
  <si>
    <t xml:space="preserve">             TEMP </t>
  </si>
  <si>
    <t>EXPECIFIC GRAV</t>
  </si>
  <si>
    <t>WEIGHT</t>
  </si>
  <si>
    <t>SOUNDING</t>
  </si>
  <si>
    <t>TRIM</t>
  </si>
  <si>
    <t>NUMBER</t>
  </si>
  <si>
    <t>MTRS</t>
  </si>
  <si>
    <t>M3</t>
  </si>
  <si>
    <t>°C</t>
  </si>
  <si>
    <t>°F</t>
  </si>
  <si>
    <t xml:space="preserve"> DENSITY AT 15°C</t>
  </si>
  <si>
    <t>CORRECCION SONDA M.M</t>
  </si>
  <si>
    <t>+</t>
  </si>
  <si>
    <t>-</t>
  </si>
  <si>
    <t>GAUGES</t>
  </si>
  <si>
    <t>HEEL</t>
  </si>
  <si>
    <t>VLSFO=</t>
  </si>
  <si>
    <t>CM3</t>
  </si>
  <si>
    <t>DIESEL  MGO  OIL  CALCULATION</t>
  </si>
  <si>
    <t xml:space="preserve">           TEMP </t>
  </si>
  <si>
    <t>DENSITY AT 15°C</t>
  </si>
  <si>
    <t>LSMGO =</t>
  </si>
  <si>
    <t>TOTAL IFO + MDO + MGO</t>
  </si>
  <si>
    <t>LOG BOOK FIGURES:</t>
  </si>
  <si>
    <t>EVENTS</t>
  </si>
  <si>
    <t>E.O.S.P</t>
  </si>
  <si>
    <t>P.O.B</t>
  </si>
  <si>
    <t>F.W.E</t>
  </si>
  <si>
    <t>BUNKER ON LOG BOOK FIGURES</t>
  </si>
  <si>
    <t>LOG BOOK FIGURES AT THE TIME OF SURVEY</t>
  </si>
  <si>
    <t>CONSUMPTION ( MT / DAY):</t>
  </si>
  <si>
    <t>DATE</t>
  </si>
  <si>
    <t>TIME</t>
  </si>
  <si>
    <t>LOG BOOK</t>
  </si>
  <si>
    <t>HFSO</t>
  </si>
  <si>
    <t>MDO</t>
  </si>
  <si>
    <t>AT SEA</t>
  </si>
  <si>
    <t>AT PORT</t>
  </si>
  <si>
    <t>CONDITION</t>
  </si>
  <si>
    <t>LOADED</t>
  </si>
  <si>
    <t>BALLATS</t>
  </si>
  <si>
    <t>SHORE GEAR IN USE</t>
  </si>
  <si>
    <t xml:space="preserve">                                'This certificate is issued without prejudice, stating my findings only to the best of my knowledge </t>
  </si>
  <si>
    <t xml:space="preserve">                 and ability but without any responsibility in our part; as does not relieves the parts of their contractual obligations.</t>
  </si>
  <si>
    <t>SHIP GEAR IN USE</t>
  </si>
  <si>
    <t>ANCHORAGE</t>
  </si>
  <si>
    <t>COMS X DAY</t>
  </si>
  <si>
    <t>DAYS</t>
  </si>
  <si>
    <t>HRS</t>
  </si>
  <si>
    <t>TOTAL COMS</t>
  </si>
  <si>
    <t>LOGBOOK AND CONSUMPTION</t>
  </si>
  <si>
    <t>IFO PER DAY</t>
  </si>
  <si>
    <t>D.O ÉR DAY</t>
  </si>
  <si>
    <t>AT TIME OF DELIVERY:</t>
  </si>
  <si>
    <t>START OF SEA PASSAGE:</t>
  </si>
  <si>
    <t>DATE / TIME:</t>
  </si>
  <si>
    <t>BERTHING</t>
  </si>
  <si>
    <t>HSFO:</t>
  </si>
  <si>
    <t>LSFO:</t>
  </si>
  <si>
    <t>MDO:</t>
  </si>
  <si>
    <t>ROB</t>
  </si>
  <si>
    <t>VESEEL IFO</t>
  </si>
  <si>
    <t>VESEEL D.O</t>
  </si>
  <si>
    <t>NORD</t>
  </si>
  <si>
    <t>END OF SEA PASSAGE (EOSP):</t>
  </si>
  <si>
    <t>ROB AT THE TIME OF BUNKER SURVEY:</t>
  </si>
  <si>
    <t>June 20, 2018 10:18 LT</t>
  </si>
  <si>
    <t>June 23, 2018 at 19:00</t>
  </si>
  <si>
    <t>SURVEY IFO</t>
  </si>
  <si>
    <t>SURVEY D.O</t>
  </si>
  <si>
    <t>REMARKS:</t>
  </si>
  <si>
    <t>TOTAL MANOEUVRE(S) CONSUMPTION:</t>
  </si>
  <si>
    <t>MT IFO</t>
  </si>
  <si>
    <t>MT MDO</t>
  </si>
  <si>
    <t>ROB VESSEL</t>
  </si>
  <si>
    <t xml:space="preserve">TOTAL OF MANOEUVRES : </t>
  </si>
  <si>
    <t>ROB SURVEY MANUL</t>
  </si>
  <si>
    <t>TOTAL SUPPLIED ON BOARD AFTER DELIVERY AND BEFORE ON-HIRE BUNKER SURVEY:</t>
  </si>
  <si>
    <t>ROB SURVEY CAL</t>
  </si>
  <si>
    <t>CHARTER PARTY CONSUMPTION (PER 24 HOURS):</t>
  </si>
  <si>
    <t>LSGO:</t>
  </si>
  <si>
    <t>SPEED (KN):</t>
  </si>
  <si>
    <t>IN PORT (IDLE):</t>
  </si>
  <si>
    <t>IN PORT (W/G - BALL. / DEBALL.):</t>
  </si>
  <si>
    <t>AT SEA (NORMAL SPEED): LADEN</t>
  </si>
  <si>
    <t>AT SEA (ECO. SPEED): LADEN</t>
  </si>
  <si>
    <t>AT SEA (AGREED SPEED / CONS):</t>
  </si>
  <si>
    <t>SURVEY RESULTS</t>
  </si>
  <si>
    <t>HSFO</t>
  </si>
  <si>
    <t>LSFO</t>
  </si>
  <si>
    <t>LSMGO</t>
  </si>
  <si>
    <t>Survey</t>
  </si>
  <si>
    <t>Log Book</t>
  </si>
  <si>
    <t>Difference</t>
  </si>
  <si>
    <t>DATE:</t>
  </si>
  <si>
    <t>June 23, 2018 at 19:00 LT.</t>
  </si>
  <si>
    <t>Mr. Jesus Jose Asanza Matocdo</t>
  </si>
  <si>
    <t>IFO ANCHORAGE</t>
  </si>
  <si>
    <t>COMS X D</t>
  </si>
  <si>
    <t>CONSUMO D / A</t>
  </si>
  <si>
    <t>CONSUMO HRS</t>
  </si>
  <si>
    <t>COMS TOTAL</t>
  </si>
  <si>
    <t>COMSU X HRS</t>
  </si>
  <si>
    <t>D.O BERTHING</t>
  </si>
  <si>
    <t>CONSUM X D</t>
  </si>
  <si>
    <t>R.O.B IFO</t>
  </si>
  <si>
    <t>R.O.B  D.O</t>
  </si>
  <si>
    <t>CONSUMO ANCHORAGE</t>
  </si>
  <si>
    <t>COMS AT PORT</t>
  </si>
  <si>
    <t>IFO BERTHING</t>
  </si>
  <si>
    <t>BUNKER FIG</t>
  </si>
  <si>
    <t>BUNKER IFO</t>
  </si>
  <si>
    <t>DIFFERENCE</t>
  </si>
  <si>
    <t>DIFFEREN</t>
  </si>
  <si>
    <t>R.O.B BUNKER FIGURES IFO</t>
  </si>
  <si>
    <t>BUNKER D.O</t>
  </si>
  <si>
    <t xml:space="preserve">BERT BUNKER  FIGURES D.O </t>
  </si>
  <si>
    <t>The Vessel Inspection was carried out in joint with the Chief Officer with 'attached form results.</t>
  </si>
  <si>
    <t xml:space="preserve">                     NORMAL WEAR AND TEAR EXCEPTED WITHOUT DAMAGE</t>
  </si>
  <si>
    <t xml:space="preserve">carried out a On hire Bunker Survey in the </t>
  </si>
  <si>
    <t xml:space="preserve">                   VESSEL DELIVERED IN LIKE GOOD ORDER AND CONDITION</t>
  </si>
  <si>
    <t>Pabel Peña</t>
  </si>
  <si>
    <t>DLOSP</t>
  </si>
  <si>
    <t xml:space="preserve">, </t>
  </si>
  <si>
    <t>id</t>
  </si>
  <si>
    <t>bunker_cert_no</t>
  </si>
  <si>
    <t>ship_name</t>
  </si>
  <si>
    <t>port_of_registry</t>
  </si>
  <si>
    <t>gross_tonnage</t>
  </si>
  <si>
    <t>report_date</t>
  </si>
  <si>
    <t>certificate</t>
  </si>
  <si>
    <t>report_category</t>
  </si>
  <si>
    <t>client</t>
  </si>
  <si>
    <t>port</t>
  </si>
  <si>
    <t>country</t>
  </si>
  <si>
    <t>berthing_date</t>
  </si>
  <si>
    <t>commenced_date</t>
  </si>
  <si>
    <t>dslop_date</t>
  </si>
  <si>
    <t>dslop_port</t>
  </si>
  <si>
    <t>dslop_country</t>
  </si>
  <si>
    <t>bunker_delivery_declared</t>
  </si>
  <si>
    <t>rob_diff</t>
  </si>
  <si>
    <t>plus_consumption</t>
  </si>
  <si>
    <t>generator_until_aps</t>
  </si>
  <si>
    <t>cons_dept</t>
  </si>
  <si>
    <t>me_to_sea_buoy</t>
  </si>
  <si>
    <t>remarks</t>
  </si>
  <si>
    <t>draft</t>
  </si>
  <si>
    <t>draft_fwd</t>
  </si>
  <si>
    <t>draft_aft</t>
  </si>
  <si>
    <t>trim</t>
  </si>
  <si>
    <t>list</t>
  </si>
  <si>
    <t>vlsfo_tank_1_volume</t>
  </si>
  <si>
    <t>vlsfo_tank_1_temp</t>
  </si>
  <si>
    <t>vlsfo_tank_1_density</t>
  </si>
  <si>
    <t>vlsfo_tank_1_weight</t>
  </si>
  <si>
    <t>vlsfo_tank_2_volume</t>
  </si>
  <si>
    <t>vlsfo_tank_2_temp</t>
  </si>
  <si>
    <t>vlsfo_tank_2_density</t>
  </si>
  <si>
    <t>vlsfo_tank_2_weight</t>
  </si>
  <si>
    <t>vlsfo_total</t>
  </si>
  <si>
    <t>hfso_total</t>
  </si>
  <si>
    <t>mgo_tank_1_volume</t>
  </si>
  <si>
    <t>mgo_tank_1_temp</t>
  </si>
  <si>
    <t>mgo_tank_1_density</t>
  </si>
  <si>
    <t>mgo_tank_1_weight</t>
  </si>
  <si>
    <t>lsmgo_total</t>
  </si>
  <si>
    <t>mdo_total</t>
  </si>
  <si>
    <t>log_eosp_vlsfo</t>
  </si>
  <si>
    <t>log_eosp_hfso</t>
  </si>
  <si>
    <t>log_eosp_mdo</t>
  </si>
  <si>
    <t>log_eosp_lsmgo</t>
  </si>
  <si>
    <t>log_pob_vlsfo</t>
  </si>
  <si>
    <t>log_pob_hfso</t>
  </si>
  <si>
    <t>log_pob_mdo</t>
  </si>
  <si>
    <t>log_pob_lsmgo</t>
  </si>
  <si>
    <t>log_fwe_vlsfo</t>
  </si>
  <si>
    <t>log_fwe_hfso</t>
  </si>
  <si>
    <t>log_fwe_mdo</t>
  </si>
  <si>
    <t>log_fwe_lsmgo</t>
  </si>
  <si>
    <t>log_at_survey_vlsfo</t>
  </si>
  <si>
    <t>log_at_survey_hfso</t>
  </si>
  <si>
    <t>log_at_survey_mdo</t>
  </si>
  <si>
    <t>log_at_survey_lsmgo</t>
  </si>
  <si>
    <t>cons_sea_loaded_vlsfo</t>
  </si>
  <si>
    <t>cons_sea_loaded_hfso</t>
  </si>
  <si>
    <t>cons_sea_loaded_mdo</t>
  </si>
  <si>
    <t>cons_sea_loaded_lsmgo</t>
  </si>
  <si>
    <t>cons_sea_ballast_vlsfo</t>
  </si>
  <si>
    <t>cons_sea_ballast_hfso</t>
  </si>
  <si>
    <t>cons_sea_ballast_mdo</t>
  </si>
  <si>
    <t>cons_sea_ballast_lsmgo</t>
  </si>
  <si>
    <t>cons_port_ship_gear_vlsfo</t>
  </si>
  <si>
    <t>cons_port_ship_gear_hfso</t>
  </si>
  <si>
    <t>cons_port_ship_gear_mdo</t>
  </si>
  <si>
    <t>cons_port_ship_gear_lsmgo</t>
  </si>
  <si>
    <t>cons_port_shore_gear_vlsfo</t>
  </si>
  <si>
    <t>cons_port_shore_gear_hfso</t>
  </si>
  <si>
    <t>cons_port_shore_gear_mdo</t>
  </si>
  <si>
    <t>cons_port_shore_gear_lsmgo</t>
  </si>
  <si>
    <t>status</t>
  </si>
  <si>
    <t>created_at</t>
  </si>
  <si>
    <t>updated_at</t>
  </si>
  <si>
    <t>vlsfo_tank_1_name</t>
  </si>
  <si>
    <t>vlsfo_tank_1_dist_mtrs</t>
  </si>
  <si>
    <t>vlsfo_tank_1_gauge_mtrs</t>
  </si>
  <si>
    <t>vlsfo_tank_1_volume_m3</t>
  </si>
  <si>
    <t>vlsfo_tank_1_temp_c</t>
  </si>
  <si>
    <t>vlsfo_tank_1_temp_f</t>
  </si>
  <si>
    <t>vlsfo_tank_1_density_15c</t>
  </si>
  <si>
    <t>vlsfo_tank_1_weight_mt</t>
  </si>
  <si>
    <t>vlsfo_tank_2_name</t>
  </si>
  <si>
    <t>vlsfo_tank_2_dist_mtrs</t>
  </si>
  <si>
    <t>vlsfo_tank_2_gauge_mtrs</t>
  </si>
  <si>
    <t>vlsfo_tank_2_volume_m3</t>
  </si>
  <si>
    <t>vlsfo_tank_2_temp_c</t>
  </si>
  <si>
    <t>vlsfo_tank_2_temp_f</t>
  </si>
  <si>
    <t>vlsfo_tank_2_density_15c</t>
  </si>
  <si>
    <t>vlsfo_tank_2_weight_mt</t>
  </si>
  <si>
    <t>vlsfo_tank_3_name</t>
  </si>
  <si>
    <t>vlsfo_tank_3_dist_mtrs</t>
  </si>
  <si>
    <t>vlsfo_tank_3_gauge_mtrs</t>
  </si>
  <si>
    <t>vlsfo_tank_3_volume_m3</t>
  </si>
  <si>
    <t>vlsfo_tank_3_temp_c</t>
  </si>
  <si>
    <t>vlsfo_tank_3_temp_f</t>
  </si>
  <si>
    <t>vlsfo_tank_3_density_15c</t>
  </si>
  <si>
    <t>vlsfo_tank_3_weight_mt</t>
  </si>
  <si>
    <t>vlsfo_tank_4_name</t>
  </si>
  <si>
    <t>vlsfo_tank_4_dist_mtrs</t>
  </si>
  <si>
    <t>vlsfo_tank_4_gauge_mtrs</t>
  </si>
  <si>
    <t>vlsfo_tank_4_volume_m3</t>
  </si>
  <si>
    <t>vlsfo_tank_4_temp_c</t>
  </si>
  <si>
    <t>vlsfo_tank_4_temp_f</t>
  </si>
  <si>
    <t>vlsfo_tank_4_density_15c</t>
  </si>
  <si>
    <t>vlsfo_tank_4_weight_mt</t>
  </si>
  <si>
    <t>vlsfo_tank_5_name</t>
  </si>
  <si>
    <t>vlsfo_tank_5_dist_mtrs</t>
  </si>
  <si>
    <t>vlsfo_tank_5_gauge_mtrs</t>
  </si>
  <si>
    <t>vlsfo_tank_5_volume_m3</t>
  </si>
  <si>
    <t>vlsfo_tank_5_temp_c</t>
  </si>
  <si>
    <t>vlsfo_tank_5_temp_f</t>
  </si>
  <si>
    <t>vlsfo_tank_5_density_15c</t>
  </si>
  <si>
    <t>vlsfo_tank_5_weight_mt</t>
  </si>
  <si>
    <t>vlsfo_tank_6_name</t>
  </si>
  <si>
    <t>vlsfo_tank_6_dist_mtrs</t>
  </si>
  <si>
    <t>vlsfo_tank_6_gauge_mtrs</t>
  </si>
  <si>
    <t>vlsfo_tank_6_volume_m3</t>
  </si>
  <si>
    <t>vlsfo_tank_6_temp_c</t>
  </si>
  <si>
    <t>vlsfo_tank_6_temp_f</t>
  </si>
  <si>
    <t>vlsfo_tank_6_density_15c</t>
  </si>
  <si>
    <t>vlsfo_tank_6_weight_mt</t>
  </si>
  <si>
    <t>vlsfo_tank_7_name</t>
  </si>
  <si>
    <t>vlsfo_tank_7_dist_mtrs</t>
  </si>
  <si>
    <t>vlsfo_tank_7_gauge_mtrs</t>
  </si>
  <si>
    <t>vlsfo_tank_7_volume_m3</t>
  </si>
  <si>
    <t>vlsfo_tank_7_temp_c</t>
  </si>
  <si>
    <t>vlsfo_tank_7_temp_f</t>
  </si>
  <si>
    <t>vlsfo_tank_7_density_15c</t>
  </si>
  <si>
    <t>vlsfo_tank_7_weight_mt</t>
  </si>
  <si>
    <t>vlsfo_tank_8_name</t>
  </si>
  <si>
    <t>vlsfo_tank_8_dist_mtrs</t>
  </si>
  <si>
    <t>vlsfo_tank_8_gauge_mtrs</t>
  </si>
  <si>
    <t>vlsfo_tank_8_volume_m3</t>
  </si>
  <si>
    <t>vlsfo_tank_8_temp_c</t>
  </si>
  <si>
    <t>vlsfo_tank_8_temp_f</t>
  </si>
  <si>
    <t>vlsfo_tank_8_density_15c</t>
  </si>
  <si>
    <t>vlsfo_tank_8_weight_mt</t>
  </si>
  <si>
    <t>vlsfo_tank_9_name</t>
  </si>
  <si>
    <t>vlsfo_tank_9_dist_mtrs</t>
  </si>
  <si>
    <t>vlsfo_tank_9_gauge_mtrs</t>
  </si>
  <si>
    <t>vlsfo_tank_9_volume_m3</t>
  </si>
  <si>
    <t>vlsfo_tank_9_temp_c</t>
  </si>
  <si>
    <t>vlsfo_tank_9_temp_f</t>
  </si>
  <si>
    <t>vlsfo_tank_9_density_15c</t>
  </si>
  <si>
    <t>vlsfo_tank_9_weight_mt</t>
  </si>
  <si>
    <t>vlsfo_tank_10_name</t>
  </si>
  <si>
    <t>vlsfo_tank_10_dist_mtrs</t>
  </si>
  <si>
    <t>vlsfo_tank_10_gauge_mtrs</t>
  </si>
  <si>
    <t>vlsfo_tank_10_volume_m3</t>
  </si>
  <si>
    <t>vlsfo_tank_10_temp_c</t>
  </si>
  <si>
    <t>vlsfo_tank_10_temp_f</t>
  </si>
  <si>
    <t>vlsfo_tank_10_density_15c</t>
  </si>
  <si>
    <t>vlsfo_tank_10_weight_mt</t>
  </si>
  <si>
    <t>vlsfo_tank_11_name</t>
  </si>
  <si>
    <t>vlsfo_tank_11_dist_mtrs</t>
  </si>
  <si>
    <t>vlsfo_tank_11_gauge_mtrs</t>
  </si>
  <si>
    <t>vlsfo_tank_11_volume_m3</t>
  </si>
  <si>
    <t>vlsfo_tank_11_temp_c</t>
  </si>
  <si>
    <t>vlsfo_tank_11_temp_f</t>
  </si>
  <si>
    <t>vlsfo_tank_11_density_15c</t>
  </si>
  <si>
    <t>vlsfo_tank_11_weight_mt</t>
  </si>
  <si>
    <t>vlsfo_tank_12_name</t>
  </si>
  <si>
    <t>vlsfo_tank_12_dist_mtrs</t>
  </si>
  <si>
    <t>vlsfo_tank_12_gauge_mtrs</t>
  </si>
  <si>
    <t>vlsfo_tank_12_volume_m3</t>
  </si>
  <si>
    <t>vlsfo_tank_12_temp_c</t>
  </si>
  <si>
    <t>vlsfo_tank_12_temp_f</t>
  </si>
  <si>
    <t>vlsfo_tank_12_density_15c</t>
  </si>
  <si>
    <t>vlsfo_tank_12_weight_mt</t>
  </si>
  <si>
    <t>vlsfo_tank_13_name</t>
  </si>
  <si>
    <t>vlsfo_tank_13_dist_mtrs</t>
  </si>
  <si>
    <t>vlsfo_tank_13_gauge_mtrs</t>
  </si>
  <si>
    <t>vlsfo_tank_13_volume_m3</t>
  </si>
  <si>
    <t>vlsfo_tank_13_temp_c</t>
  </si>
  <si>
    <t>vlsfo_tank_13_temp_f</t>
  </si>
  <si>
    <t>vlsfo_tank_13_density_15c</t>
  </si>
  <si>
    <t>vlsfo_tank_13_weight_mt</t>
  </si>
  <si>
    <t>vlsfo_tank_14_name</t>
  </si>
  <si>
    <t>vlsfo_tank_14_dist_mtrs</t>
  </si>
  <si>
    <t>vlsfo_tank_14_gauge_mtrs</t>
  </si>
  <si>
    <t>vlsfo_tank_14_volume_m3</t>
  </si>
  <si>
    <t>vlsfo_tank_14_temp_c</t>
  </si>
  <si>
    <t>vlsfo_tank_14_temp_f</t>
  </si>
  <si>
    <t>vlsfo_tank_14_density_15c</t>
  </si>
  <si>
    <t>vlsfo_tank_14_weight_mt</t>
  </si>
  <si>
    <t>vlsfo_tank_15_name</t>
  </si>
  <si>
    <t>vlsfo_tank_15_dist_mtrs</t>
  </si>
  <si>
    <t>vlsfo_tank_15_gauge_mtrs</t>
  </si>
  <si>
    <t>vlsfo_tank_15_volume_m3</t>
  </si>
  <si>
    <t>vlsfo_tank_15_temp_c</t>
  </si>
  <si>
    <t>vlsfo_tank_15_temp_f</t>
  </si>
  <si>
    <t>vlsfo_tank_15_density_15c</t>
  </si>
  <si>
    <t>vlsfo_tank_15_weight_mt</t>
  </si>
  <si>
    <t>vlsfo_tank_16_name</t>
  </si>
  <si>
    <t>vlsfo_tank_16_dist_mtrs</t>
  </si>
  <si>
    <t>vlsfo_tank_16_gauge_mtrs</t>
  </si>
  <si>
    <t>vlsfo_tank_16_volume_m3</t>
  </si>
  <si>
    <t>vlsfo_tank_16_temp_c</t>
  </si>
  <si>
    <t>vlsfo_tank_16_temp_f</t>
  </si>
  <si>
    <t>vlsfo_tank_16_density_15c</t>
  </si>
  <si>
    <t>vlsfo_tank_16_weight_mt</t>
  </si>
  <si>
    <t>vlsfo_tank_17_name</t>
  </si>
  <si>
    <t>vlsfo_tank_17_dist_mtrs</t>
  </si>
  <si>
    <t>vlsfo_tank_17_gauge_mtrs</t>
  </si>
  <si>
    <t>vlsfo_tank_17_volume_m3</t>
  </si>
  <si>
    <t>vlsfo_tank_17_temp_c</t>
  </si>
  <si>
    <t>vlsfo_tank_17_temp_f</t>
  </si>
  <si>
    <t>vlsfo_tank_17_density_15c</t>
  </si>
  <si>
    <t>vlsfo_tank_17_weight_mt</t>
  </si>
  <si>
    <t>vlsfo_tank_18_name</t>
  </si>
  <si>
    <t>vlsfo_tank_18_dist_mtrs</t>
  </si>
  <si>
    <t>vlsfo_tank_18_gauge_mtrs</t>
  </si>
  <si>
    <t>vlsfo_tank_18_volume_m3</t>
  </si>
  <si>
    <t>vlsfo_tank_18_temp_c</t>
  </si>
  <si>
    <t>vlsfo_tank_18_temp_f</t>
  </si>
  <si>
    <t>vlsfo_tank_18_density_15c</t>
  </si>
  <si>
    <t>vlsfo_tank_18_weight_mt</t>
  </si>
  <si>
    <t>vlsfo_tank_19_name</t>
  </si>
  <si>
    <t>vlsfo_tank_19_dist_mtrs</t>
  </si>
  <si>
    <t>vlsfo_tank_19_gauge_mtrs</t>
  </si>
  <si>
    <t>vlsfo_tank_19_volume_m3</t>
  </si>
  <si>
    <t>vlsfo_tank_19_temp_c</t>
  </si>
  <si>
    <t>vlsfo_tank_19_temp_f</t>
  </si>
  <si>
    <t>vlsfo_tank_19_density_15c</t>
  </si>
  <si>
    <t>vlsfo_tank_19_weight_mt</t>
  </si>
  <si>
    <t>vlsfo_tank_20_name</t>
  </si>
  <si>
    <t>vlsfo_tank_20_dist_mtrs</t>
  </si>
  <si>
    <t>vlsfo_tank_20_gauge_mtrs</t>
  </si>
  <si>
    <t>vlsfo_tank_20_volume_m3</t>
  </si>
  <si>
    <t>vlsfo_tank_20_temp_c</t>
  </si>
  <si>
    <t>vlsfo_tank_20_temp_f</t>
  </si>
  <si>
    <t>vlsfo_tank_20_density_15c</t>
  </si>
  <si>
    <t>vlsfo_tank_20_weight_mt</t>
  </si>
  <si>
    <t>mgo_tank_1_name</t>
  </si>
  <si>
    <t>mgo_tank_1_dist_mtrs</t>
  </si>
  <si>
    <t>mgo_tank_1_gauge_mtrs</t>
  </si>
  <si>
    <t>mgo_tank_1_volume_m3</t>
  </si>
  <si>
    <t>mgo_tank_1_temp_c</t>
  </si>
  <si>
    <t>mgo_tank_1_temp_f</t>
  </si>
  <si>
    <t>mgo_tank_1_density_15c</t>
  </si>
  <si>
    <t>mgo_tank_1_weight_mt</t>
  </si>
  <si>
    <t>mgo_tank_2_name</t>
  </si>
  <si>
    <t>mgo_tank_2_dist_mtrs</t>
  </si>
  <si>
    <t>mgo_tank_2_gauge_mtrs</t>
  </si>
  <si>
    <t>mgo_tank_2_volume_m3</t>
  </si>
  <si>
    <t>mgo_tank_2_temp_c</t>
  </si>
  <si>
    <t>mgo_tank_2_temp_f</t>
  </si>
  <si>
    <t>mgo_tank_2_density_15c</t>
  </si>
  <si>
    <t>mgo_tank_2_weight_mt</t>
  </si>
  <si>
    <t>mgo_tank_3_name</t>
  </si>
  <si>
    <t>mgo_tank_3_dist_mtrs</t>
  </si>
  <si>
    <t>mgo_tank_3_gauge_mtrs</t>
  </si>
  <si>
    <t>mgo_tank_3_volume_m3</t>
  </si>
  <si>
    <t>mgo_tank_3_temp_c</t>
  </si>
  <si>
    <t>mgo_tank_3_temp_f</t>
  </si>
  <si>
    <t>mgo_tank_3_density_15c</t>
  </si>
  <si>
    <t>mgo_tank_3_weight_mt</t>
  </si>
  <si>
    <t>mgo_tank_4_name</t>
  </si>
  <si>
    <t>mgo_tank_4_dist_mtrs</t>
  </si>
  <si>
    <t>mgo_tank_4_gauge_mtrs</t>
  </si>
  <si>
    <t>mgo_tank_4_volume_m3</t>
  </si>
  <si>
    <t>mgo_tank_4_temp_c</t>
  </si>
  <si>
    <t>mgo_tank_4_temp_f</t>
  </si>
  <si>
    <t>mgo_tank_4_density_15c</t>
  </si>
  <si>
    <t>mgo_tank_4_weight_mt</t>
  </si>
  <si>
    <t>mgo_tank_5_name</t>
  </si>
  <si>
    <t>mgo_tank_5_dist_mtrs</t>
  </si>
  <si>
    <t>mgo_tank_5_gauge_mtrs</t>
  </si>
  <si>
    <t>mgo_tank_5_volume_m3</t>
  </si>
  <si>
    <t>mgo_tank_5_temp_c</t>
  </si>
  <si>
    <t>mgo_tank_5_temp_f</t>
  </si>
  <si>
    <t>mgo_tank_5_density_15c</t>
  </si>
  <si>
    <t>mgo_tank_5_weight_mt</t>
  </si>
  <si>
    <t>mgo_tank_6_name</t>
  </si>
  <si>
    <t>mgo_tank_6_dist_mtrs</t>
  </si>
  <si>
    <t>mgo_tank_6_gauge_mtrs</t>
  </si>
  <si>
    <t>mgo_tank_6_volume_m3</t>
  </si>
  <si>
    <t>mgo_tank_6_temp_c</t>
  </si>
  <si>
    <t>mgo_tank_6_temp_f</t>
  </si>
  <si>
    <t>mgo_tank_6_density_15c</t>
  </si>
  <si>
    <t>mgo_tank_6_weight_mt</t>
  </si>
  <si>
    <t>mgo_tank_7_name</t>
  </si>
  <si>
    <t>mgo_tank_7_dist_mtrs</t>
  </si>
  <si>
    <t>mgo_tank_7_gauge_mtrs</t>
  </si>
  <si>
    <t>mgo_tank_7_volume_m3</t>
  </si>
  <si>
    <t>mgo_tank_7_temp_c</t>
  </si>
  <si>
    <t>mgo_tank_7_temp_f</t>
  </si>
  <si>
    <t>mgo_tank_7_density_15c</t>
  </si>
  <si>
    <t>mgo_tank_7_weight_mt</t>
  </si>
  <si>
    <t>mgo_tank_8_name</t>
  </si>
  <si>
    <t>mgo_tank_8_dist_mtrs</t>
  </si>
  <si>
    <t>mgo_tank_8_gauge_mtrs</t>
  </si>
  <si>
    <t>mgo_tank_8_volume_m3</t>
  </si>
  <si>
    <t>mgo_tank_8_temp_c</t>
  </si>
  <si>
    <t>mgo_tank_8_temp_f</t>
  </si>
  <si>
    <t>mgo_tank_8_density_15c</t>
  </si>
  <si>
    <t>mgo_tank_8_weight_mt</t>
  </si>
  <si>
    <t>mgo_tank_9_name</t>
  </si>
  <si>
    <t>mgo_tank_9_dist_mtrs</t>
  </si>
  <si>
    <t>mgo_tank_9_gauge_mtrs</t>
  </si>
  <si>
    <t>mgo_tank_9_volume_m3</t>
  </si>
  <si>
    <t>mgo_tank_9_temp_c</t>
  </si>
  <si>
    <t>mgo_tank_9_temp_f</t>
  </si>
  <si>
    <t>mgo_tank_9_density_15c</t>
  </si>
  <si>
    <t>mgo_tank_9_weight_mt</t>
  </si>
  <si>
    <t>mgo_tank_10_name</t>
  </si>
  <si>
    <t>mgo_tank_10_dist_mtrs</t>
  </si>
  <si>
    <t>mgo_tank_10_gauge_mtrs</t>
  </si>
  <si>
    <t>mgo_tank_10_volume_m3</t>
  </si>
  <si>
    <t>mgo_tank_10_temp_c</t>
  </si>
  <si>
    <t>mgo_tank_10_temp_f</t>
  </si>
  <si>
    <t>mgo_tank_10_density_15c</t>
  </si>
  <si>
    <t>mgo_tank_10_weight_mt</t>
  </si>
  <si>
    <t>mgo_tank_11_name</t>
  </si>
  <si>
    <t>mgo_tank_11_dist_mtrs</t>
  </si>
  <si>
    <t>mgo_tank_11_gauge_mtrs</t>
  </si>
  <si>
    <t>mgo_tank_11_volume_m3</t>
  </si>
  <si>
    <t>mgo_tank_11_temp_c</t>
  </si>
  <si>
    <t>mgo_tank_11_temp_f</t>
  </si>
  <si>
    <t>mgo_tank_11_density_15c</t>
  </si>
  <si>
    <t>mgo_tank_11_weight_mt</t>
  </si>
  <si>
    <t>mgo_tank_12_name</t>
  </si>
  <si>
    <t>mgo_tank_12_dist_mtrs</t>
  </si>
  <si>
    <t>mgo_tank_12_gauge_mtrs</t>
  </si>
  <si>
    <t>mgo_tank_12_volume_m3</t>
  </si>
  <si>
    <t>mgo_tank_12_temp_c</t>
  </si>
  <si>
    <t>mgo_tank_12_temp_f</t>
  </si>
  <si>
    <t>mgo_tank_12_density_15c</t>
  </si>
  <si>
    <t>mgo_tank_12_weight_mt</t>
  </si>
  <si>
    <t>mgo_tank_13_name</t>
  </si>
  <si>
    <t>mgo_tank_13_dist_mtrs</t>
  </si>
  <si>
    <t>mgo_tank_13_gauge_mtrs</t>
  </si>
  <si>
    <t>mgo_tank_13_volume_m3</t>
  </si>
  <si>
    <t>mgo_tank_13_temp_c</t>
  </si>
  <si>
    <t>mgo_tank_13_temp_f</t>
  </si>
  <si>
    <t>mgo_tank_13_density_15c</t>
  </si>
  <si>
    <t>mgo_tank_13_weight_mt</t>
  </si>
  <si>
    <t>mgo_tank_14_name</t>
  </si>
  <si>
    <t>mgo_tank_14_dist_mtrs</t>
  </si>
  <si>
    <t>mgo_tank_14_gauge_mtrs</t>
  </si>
  <si>
    <t>mgo_tank_14_volume_m3</t>
  </si>
  <si>
    <t>mgo_tank_14_temp_c</t>
  </si>
  <si>
    <t>mgo_tank_14_temp_f</t>
  </si>
  <si>
    <t>mgo_tank_14_density_15c</t>
  </si>
  <si>
    <t>mgo_tank_14_weight_mt</t>
  </si>
  <si>
    <t>mgo_tank_15_name</t>
  </si>
  <si>
    <t>mgo_tank_15_dist_mtrs</t>
  </si>
  <si>
    <t>mgo_tank_15_gauge_mtrs</t>
  </si>
  <si>
    <t>mgo_tank_15_volume_m3</t>
  </si>
  <si>
    <t>mgo_tank_15_temp_c</t>
  </si>
  <si>
    <t>mgo_tank_15_temp_f</t>
  </si>
  <si>
    <t>mgo_tank_15_density_15c</t>
  </si>
  <si>
    <t>mgo_tank_15_weight_mt</t>
  </si>
  <si>
    <t>mgo_tank_16_name</t>
  </si>
  <si>
    <t>mgo_tank_16_dist_mtrs</t>
  </si>
  <si>
    <t>mgo_tank_16_gauge_mtrs</t>
  </si>
  <si>
    <t>mgo_tank_16_volume_m3</t>
  </si>
  <si>
    <t>mgo_tank_16_temp_c</t>
  </si>
  <si>
    <t>mgo_tank_16_temp_f</t>
  </si>
  <si>
    <t>mgo_tank_16_density_15c</t>
  </si>
  <si>
    <t>mgo_tank_16_weight_mt</t>
  </si>
  <si>
    <t>mgo_tank_17_name</t>
  </si>
  <si>
    <t>mgo_tank_17_dist_mtrs</t>
  </si>
  <si>
    <t>mgo_tank_17_gauge_mtrs</t>
  </si>
  <si>
    <t>mgo_tank_17_volume_m3</t>
  </si>
  <si>
    <t>mgo_tank_17_temp_c</t>
  </si>
  <si>
    <t>mgo_tank_17_temp_f</t>
  </si>
  <si>
    <t>mgo_tank_17_density_15c</t>
  </si>
  <si>
    <t>mgo_tank_17_weight_mt</t>
  </si>
  <si>
    <t>mgo_tank_18_name</t>
  </si>
  <si>
    <t>mgo_tank_18_dist_mtrs</t>
  </si>
  <si>
    <t>mgo_tank_18_gauge_mtrs</t>
  </si>
  <si>
    <t>mgo_tank_18_volume_m3</t>
  </si>
  <si>
    <t>mgo_tank_18_temp_c</t>
  </si>
  <si>
    <t>mgo_tank_18_temp_f</t>
  </si>
  <si>
    <t>mgo_tank_18_density_15c</t>
  </si>
  <si>
    <t>mgo_tank_18_weight_mt</t>
  </si>
  <si>
    <t>mgo_tank_19_name</t>
  </si>
  <si>
    <t>mgo_tank_19_dist_mtrs</t>
  </si>
  <si>
    <t>mgo_tank_19_gauge_mtrs</t>
  </si>
  <si>
    <t>mgo_tank_19_volume_m3</t>
  </si>
  <si>
    <t>mgo_tank_19_temp_c</t>
  </si>
  <si>
    <t>mgo_tank_19_temp_f</t>
  </si>
  <si>
    <t>mgo_tank_19_density_15c</t>
  </si>
  <si>
    <t>mgo_tank_19_weight_mt</t>
  </si>
  <si>
    <t>mgo_tank_20_name</t>
  </si>
  <si>
    <t>mgo_tank_20_dist_mtrs</t>
  </si>
  <si>
    <t>mgo_tank_20_gauge_mtrs</t>
  </si>
  <si>
    <t>mgo_tank_20_volume_m3</t>
  </si>
  <si>
    <t>mgo_tank_20_temp_c</t>
  </si>
  <si>
    <t>mgo_tank_20_temp_f</t>
  </si>
  <si>
    <t>mgo_tank_20_density_15c</t>
  </si>
  <si>
    <t>mgo_tank_20_weight_mt</t>
  </si>
  <si>
    <t>antecedent_arrived_dt</t>
  </si>
  <si>
    <t>antecedent_survey_date_from</t>
  </si>
  <si>
    <t>antecedent_survey_date_to</t>
  </si>
  <si>
    <t>inspection_with</t>
  </si>
  <si>
    <t>workflow_status</t>
  </si>
  <si>
    <t>bunker_figure_1_name</t>
  </si>
  <si>
    <t>bunker_figure_1_ifo</t>
  </si>
  <si>
    <t>bunker_figure_1_vlsfo</t>
  </si>
  <si>
    <t>bunker_figure_1_lsmgo</t>
  </si>
  <si>
    <t>bunker_figure_2_name</t>
  </si>
  <si>
    <t>bunker_figure_2_ifo</t>
  </si>
  <si>
    <t>bunker_figure_2_vlsfo</t>
  </si>
  <si>
    <t>bunker_figure_2_lsmgo</t>
  </si>
  <si>
    <t>bunker_figure_3_name</t>
  </si>
  <si>
    <t>bunker_figure_3_ifo</t>
  </si>
  <si>
    <t>bunker_figure_3_vlsfo</t>
  </si>
  <si>
    <t>bunker_figure_3_lsmgo</t>
  </si>
  <si>
    <t>bunker_figure_4_name</t>
  </si>
  <si>
    <t>bunker_figure_4_ifo</t>
  </si>
  <si>
    <t>bunker_figure_4_vlsfo</t>
  </si>
  <si>
    <t>bunker_figure_4_lsmgo</t>
  </si>
  <si>
    <t>bunker_figure_5_name</t>
  </si>
  <si>
    <t>bunker_figure_5_ifo</t>
  </si>
  <si>
    <t>bunker_figure_5_vlsfo</t>
  </si>
  <si>
    <t>bunker_figure_5_lsmgo</t>
  </si>
  <si>
    <t>bunker_figure_6_name</t>
  </si>
  <si>
    <t>bunker_figure_6_ifo</t>
  </si>
  <si>
    <t>bunker_figure_6_vlsfo</t>
  </si>
  <si>
    <t>bunker_figure_6_lsmgo</t>
  </si>
  <si>
    <t>bunker_figure_7_name</t>
  </si>
  <si>
    <t>bunker_figure_7_ifo</t>
  </si>
  <si>
    <t>bunker_figure_7_vlsfo</t>
  </si>
  <si>
    <t>bunker_figure_7_lsmgo</t>
  </si>
  <si>
    <t>bunker_figure_8_name</t>
  </si>
  <si>
    <t>bunker_figure_8_ifo</t>
  </si>
  <si>
    <t>bunker_figure_8_vlsfo</t>
  </si>
  <si>
    <t>bunker_figure_8_lsmgo</t>
  </si>
  <si>
    <t>bunker_figure_9_name</t>
  </si>
  <si>
    <t>bunker_figure_9_ifo</t>
  </si>
  <si>
    <t>bunker_figure_9_vlsfo</t>
  </si>
  <si>
    <t>bunker_figure_9_lsmgo</t>
  </si>
  <si>
    <t>bunker_figure_10_name</t>
  </si>
  <si>
    <t>bunker_figure_10_ifo</t>
  </si>
  <si>
    <t>bunker_figure_10_vlsfo</t>
  </si>
  <si>
    <t>bunker_figure_10_lsmgo</t>
  </si>
  <si>
    <t>antecedent_arrived_port</t>
  </si>
  <si>
    <t>log_eosp_date</t>
  </si>
  <si>
    <t>log_pob_date</t>
  </si>
  <si>
    <t>log_fwe_date</t>
  </si>
  <si>
    <t>log_bunker_date</t>
  </si>
  <si>
    <t>log_at_survey_date</t>
  </si>
  <si>
    <t>surveyor_name</t>
  </si>
  <si>
    <t>master_name</t>
  </si>
  <si>
    <t>antecedent_survey_hour_from</t>
  </si>
  <si>
    <t>antecedent_survey_hour_to</t>
  </si>
  <si>
    <t>antecedent_survey_minute_from</t>
  </si>
  <si>
    <t>antecedent_survey_minute_to</t>
  </si>
  <si>
    <t>dslop_hour</t>
  </si>
  <si>
    <t>dslop_minute</t>
  </si>
  <si>
    <t>log_at_survey_hour</t>
  </si>
  <si>
    <t>log_at_survey_minute</t>
  </si>
  <si>
    <t>log_bunker_hour</t>
  </si>
  <si>
    <t>log_bunker_minute</t>
  </si>
  <si>
    <t>log_eosp_hour</t>
  </si>
  <si>
    <t>log_eosp_minute</t>
  </si>
  <si>
    <t>log_fwe_hour</t>
  </si>
  <si>
    <t>log_fwe_minute</t>
  </si>
  <si>
    <t>log_pob_hour</t>
  </si>
  <si>
    <t>log_pob_minute</t>
  </si>
  <si>
    <t>Column Name from DB</t>
  </si>
  <si>
    <t>Info from DB</t>
  </si>
  <si>
    <t xml:space="preserve">CERT Nº </t>
  </si>
  <si>
    <t>berthing_hour</t>
  </si>
  <si>
    <t>berthing_minute</t>
  </si>
  <si>
    <t>chief_engineer_name</t>
  </si>
  <si>
    <t>owner_name</t>
  </si>
  <si>
    <t>charterers_name</t>
  </si>
  <si>
    <t>log_bunker_vlsfo</t>
  </si>
  <si>
    <t>log_bunker_hfso</t>
  </si>
  <si>
    <t>log_bunker_mdo</t>
  </si>
  <si>
    <t>log_bunker_lsmgo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</si>
</sst>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dd\-mm\-yyyy"/>
    <numFmt numFmtId="165" formatCode="0.000"/>
    <numFmt numFmtId="166" formatCode="#,##0.000"/>
    <numFmt numFmtId="167" formatCode="0.0000"/>
    <numFmt numFmtId="168" formatCode="0.00000"/>
    <numFmt numFmtId="169" formatCode="#,##0.00\ &quot;Mt&quot;"/>
    <numFmt numFmtId="170" formatCode="[$-409]mmmm\ d\,\ yyyy;@"/>
    <numFmt numFmtId="171" formatCode="#,##0.000\ &quot;MT&quot;"/>
    <numFmt numFmtId="172" formatCode="#,##0.00\ &quot;MT&quot;"/>
    <numFmt numFmtId="173" formatCode="0.0\ &quot;MT&quot;"/>
    <numFmt numFmtId="174" formatCode="#,##0.0\ &quot;Mt&quot;"/>
    <numFmt numFmtId="175" formatCode="0.00\ &quot;MT&quot;"/>
  </numFmts>
  <fonts count="88">
    <font>
      <sz val="11"/>
      <color theme="1"/>
      <name val="Aptos Narrow"/>
      <family val="2"/>
      <scheme val="minor"/>
    </font>
    <font>
      <b/>
      <sz val="11"/>
      <color indexed="18"/>
      <name val="Palatino Linotype"/>
      <family val="1"/>
    </font>
    <font>
      <sz val="18"/>
      <name val="Palatino Linotype"/>
      <family val="1"/>
    </font>
    <font>
      <sz val="12"/>
      <name val="Palatino Linotype"/>
      <family val="1"/>
    </font>
    <font>
      <sz val="12"/>
      <color indexed="8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b/>
      <sz val="12"/>
      <name val="Palatino Linotype"/>
      <family val="1"/>
    </font>
    <font>
      <sz val="11"/>
      <color indexed="8"/>
      <name val="Palatino Linotype"/>
      <family val="1"/>
    </font>
    <font>
      <b/>
      <sz val="20"/>
      <color indexed="8"/>
      <name val="Palatino Linotype"/>
      <family val="1"/>
    </font>
    <font>
      <b/>
      <sz val="20"/>
      <name val="Palatino Linotype"/>
      <family val="1"/>
    </font>
    <font>
      <u/>
      <sz val="12"/>
      <name val="Palatino Linotype"/>
      <family val="1"/>
    </font>
    <font>
      <sz val="12"/>
      <color indexed="9"/>
      <name val="Palatino Linotype"/>
      <family val="1"/>
    </font>
    <font>
      <b/>
      <sz val="12"/>
      <name val="Arial"/>
      <family val="2"/>
    </font>
    <font>
      <sz val="10"/>
      <name val="Palatino Linotype"/>
      <family val="1"/>
    </font>
    <font>
      <b/>
      <sz val="11"/>
      <name val="Arial"/>
      <family val="2"/>
    </font>
    <font>
      <b/>
      <sz val="11"/>
      <color indexed="9"/>
      <name val="Palatino Linotype"/>
      <family val="1"/>
    </font>
    <font>
      <sz val="11"/>
      <color indexed="9"/>
      <name val="Palatino Linotype"/>
      <family val="1"/>
    </font>
    <font>
      <b/>
      <sz val="11"/>
      <color rgb="FF3749F1"/>
      <name val="Aptos Narrow"/>
      <family val="2"/>
      <scheme val="minor"/>
    </font>
    <font>
      <sz val="10"/>
      <name val="Arial"/>
      <family val="2"/>
    </font>
    <font>
      <sz val="14"/>
      <name val="Palatino Linotype"/>
      <family val="1"/>
    </font>
    <font>
      <sz val="9"/>
      <name val="Palatino Linotype"/>
      <family val="1"/>
    </font>
    <font>
      <sz val="8"/>
      <name val="Palatino Linotype"/>
      <family val="1"/>
    </font>
    <font>
      <sz val="14"/>
      <name val="Times New Roman"/>
      <family val="1"/>
    </font>
    <font>
      <sz val="12"/>
      <name val="Arial"/>
      <family val="2"/>
    </font>
    <font>
      <sz val="12"/>
      <name val="Century Gothic"/>
      <family val="2"/>
    </font>
    <font>
      <b/>
      <sz val="10"/>
      <name val="Arial"/>
      <family val="2"/>
    </font>
    <font>
      <sz val="10"/>
      <color indexed="30"/>
      <name val="Arial"/>
      <family val="2"/>
    </font>
    <font>
      <b/>
      <sz val="10"/>
      <color indexed="10"/>
      <name val="Arial"/>
      <family val="2"/>
    </font>
    <font>
      <b/>
      <sz val="10"/>
      <color indexed="30"/>
      <name val="Arial"/>
      <family val="2"/>
    </font>
    <font>
      <b/>
      <sz val="9"/>
      <name val="Palatino Linotype"/>
      <family val="1"/>
    </font>
    <font>
      <b/>
      <sz val="8"/>
      <color indexed="62"/>
      <name val="Arial"/>
      <family val="2"/>
    </font>
    <font>
      <b/>
      <sz val="10"/>
      <color indexed="12"/>
      <name val="Arial"/>
      <family val="2"/>
    </font>
    <font>
      <b/>
      <sz val="10"/>
      <color indexed="60"/>
      <name val="Arial Cyr"/>
      <family val="2"/>
    </font>
    <font>
      <b/>
      <sz val="8"/>
      <name val="Palatino Linotype"/>
      <family val="1"/>
    </font>
    <font>
      <b/>
      <sz val="10"/>
      <color indexed="60"/>
      <name val="Arial"/>
      <family val="2"/>
    </font>
    <font>
      <b/>
      <sz val="10"/>
      <color indexed="62"/>
      <name val="Arial Cyr"/>
      <family val="2"/>
    </font>
    <font>
      <b/>
      <sz val="10"/>
      <color indexed="36"/>
      <name val="Palatino Linotype"/>
      <family val="1"/>
    </font>
    <font>
      <b/>
      <sz val="10"/>
      <color indexed="22"/>
      <name val="Arial"/>
      <family val="2"/>
    </font>
    <font>
      <b/>
      <sz val="10"/>
      <color indexed="10"/>
      <name val="Palatino Linotype"/>
      <family val="1"/>
    </font>
    <font>
      <b/>
      <sz val="10"/>
      <color indexed="12"/>
      <name val="Palatino Linotype"/>
      <family val="1"/>
    </font>
    <font>
      <b/>
      <sz val="8"/>
      <color indexed="81"/>
      <name val="Arial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ptos Narrow"/>
      <family val="2"/>
      <scheme val="minor"/>
    </font>
    <font>
      <sz val="11"/>
      <color theme="1"/>
      <name val="Palatino Linotype"/>
      <family val="1"/>
    </font>
    <font>
      <i/>
      <sz val="10"/>
      <color indexed="10"/>
      <name val="Calibri"/>
      <family val="2"/>
    </font>
    <font>
      <sz val="10"/>
      <name val="Times New Roman"/>
      <family val="1"/>
    </font>
    <font>
      <b/>
      <sz val="14"/>
      <name val="Calibri"/>
      <family val="2"/>
    </font>
    <font>
      <i/>
      <sz val="14"/>
      <color indexed="8"/>
      <name val="Calibri"/>
      <family val="2"/>
    </font>
    <font>
      <b/>
      <sz val="14"/>
      <color indexed="60"/>
      <name val="Lucida Handwriting"/>
      <family val="4"/>
    </font>
    <font>
      <b/>
      <sz val="11"/>
      <color indexed="8"/>
      <name val="Calibri"/>
      <family val="2"/>
    </font>
    <font>
      <b/>
      <sz val="10"/>
      <name val="Verdana"/>
      <family val="2"/>
    </font>
    <font>
      <b/>
      <u/>
      <sz val="11"/>
      <name val="Verdana"/>
      <family val="2"/>
    </font>
    <font>
      <sz val="11"/>
      <color indexed="10"/>
      <name val="Calibri"/>
      <family val="2"/>
    </font>
    <font>
      <sz val="9"/>
      <name val="Verdana"/>
      <family val="2"/>
    </font>
    <font>
      <sz val="9"/>
      <name val="Courier"/>
      <family val="3"/>
    </font>
    <font>
      <b/>
      <sz val="9"/>
      <name val="Verdana"/>
      <family val="2"/>
    </font>
    <font>
      <b/>
      <u/>
      <sz val="10"/>
      <name val="Verdana"/>
      <family val="2"/>
    </font>
    <font>
      <b/>
      <sz val="11"/>
      <color indexed="10"/>
      <name val="Calibri"/>
      <family val="2"/>
    </font>
    <font>
      <b/>
      <sz val="10"/>
      <name val="Courier"/>
    </font>
    <font>
      <b/>
      <sz val="11"/>
      <color indexed="12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Verdana"/>
      <family val="2"/>
    </font>
    <font>
      <sz val="9"/>
      <name val="Arial"/>
      <family val="2"/>
    </font>
    <font>
      <sz val="11"/>
      <color indexed="30"/>
      <name val="Calibri"/>
      <family val="2"/>
    </font>
    <font>
      <b/>
      <sz val="11"/>
      <name val="Calibri"/>
      <family val="2"/>
    </font>
    <font>
      <b/>
      <sz val="11"/>
      <color indexed="30"/>
      <name val="Calibri"/>
      <family val="2"/>
    </font>
    <font>
      <sz val="11"/>
      <color rgb="FF0000FF"/>
      <name val="Palatino Linotype"/>
      <family val="1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Palatino Linotype"/>
      <family val="1"/>
    </font>
    <font>
      <sz val="12"/>
      <color rgb="FF0000FF"/>
      <name val="Palatino Linotype"/>
      <family val="1"/>
    </font>
    <font>
      <b/>
      <sz val="12"/>
      <color rgb="FF0000FF"/>
      <name val="Palatino Linotype"/>
      <family val="1"/>
    </font>
    <font>
      <b/>
      <sz val="12"/>
      <color rgb="FF0000FF"/>
      <name val="Arial"/>
      <family val="2"/>
    </font>
    <font>
      <b/>
      <sz val="11"/>
      <color theme="1"/>
      <name val="Palatino Linotype"/>
      <family val="1"/>
    </font>
    <font>
      <b/>
      <sz val="9"/>
      <color rgb="FF0000FF"/>
      <name val="Arial"/>
      <family val="2"/>
    </font>
    <font>
      <b/>
      <sz val="9"/>
      <name val="Arial"/>
      <family val="2"/>
    </font>
    <font>
      <b/>
      <sz val="9"/>
      <color indexed="60"/>
      <name val="Lucida Calligraphy"/>
      <family val="4"/>
    </font>
    <font>
      <sz val="9"/>
      <color indexed="8"/>
      <name val="Palatino Linotype"/>
      <family val="1"/>
    </font>
    <font>
      <sz val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60"/>
      <name val="Lucida Calligraphy"/>
      <family val="4"/>
    </font>
    <font>
      <sz val="8"/>
      <color indexed="8"/>
      <name val="Palatino Linotype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9" fillId="0" borderId="0"/>
    <xf numFmtId="43" fontId="46" fillId="0" borderId="0" applyFont="0" applyFill="0" applyBorder="0" applyAlignment="0" applyProtection="0"/>
    <xf numFmtId="0" fontId="19" fillId="0" borderId="0"/>
    <xf numFmtId="0" fontId="49" fillId="0" borderId="0"/>
  </cellStyleXfs>
  <cellXfs count="47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3" fillId="2" borderId="0" xfId="0" quotePrefix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5" fontId="8" fillId="2" borderId="4" xfId="0" applyNumberFormat="1" applyFont="1" applyFill="1" applyBorder="1"/>
    <xf numFmtId="0" fontId="0" fillId="2" borderId="5" xfId="0" applyFill="1" applyBorder="1" applyAlignment="1">
      <alignment vertical="center"/>
    </xf>
    <xf numFmtId="0" fontId="0" fillId="2" borderId="6" xfId="0" applyFill="1" applyBorder="1"/>
    <xf numFmtId="0" fontId="4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65" fontId="0" fillId="2" borderId="0" xfId="0" applyNumberFormat="1" applyFill="1"/>
    <xf numFmtId="0" fontId="18" fillId="2" borderId="0" xfId="0" applyFont="1" applyFill="1"/>
    <xf numFmtId="0" fontId="20" fillId="2" borderId="0" xfId="0" applyFont="1" applyFill="1" applyAlignment="1">
      <alignment horizontal="left" vertical="center"/>
    </xf>
    <xf numFmtId="0" fontId="21" fillId="3" borderId="0" xfId="1" applyFont="1" applyFill="1"/>
    <xf numFmtId="0" fontId="22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0" fontId="2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0" fillId="2" borderId="0" xfId="0" applyFill="1" applyAlignment="1">
      <alignment horizontal="center"/>
    </xf>
    <xf numFmtId="0" fontId="19" fillId="0" borderId="0" xfId="1"/>
    <xf numFmtId="0" fontId="19" fillId="0" borderId="0" xfId="1" applyAlignment="1">
      <alignment horizontal="right"/>
    </xf>
    <xf numFmtId="0" fontId="19" fillId="2" borderId="0" xfId="1" applyFill="1" applyAlignment="1">
      <alignment horizontal="right"/>
    </xf>
    <xf numFmtId="0" fontId="19" fillId="2" borderId="0" xfId="1" applyFill="1"/>
    <xf numFmtId="0" fontId="27" fillId="0" borderId="0" xfId="1" applyFont="1"/>
    <xf numFmtId="0" fontId="28" fillId="0" borderId="0" xfId="1" applyFont="1"/>
    <xf numFmtId="0" fontId="29" fillId="2" borderId="0" xfId="1" applyFont="1" applyFill="1"/>
    <xf numFmtId="0" fontId="26" fillId="2" borderId="0" xfId="1" applyFont="1" applyFill="1"/>
    <xf numFmtId="0" fontId="30" fillId="4" borderId="14" xfId="1" applyFont="1" applyFill="1" applyBorder="1" applyAlignment="1">
      <alignment horizontal="center" vertical="center"/>
    </xf>
    <xf numFmtId="0" fontId="19" fillId="0" borderId="20" xfId="1" applyBorder="1"/>
    <xf numFmtId="0" fontId="31" fillId="5" borderId="3" xfId="0" applyFont="1" applyFill="1" applyBorder="1" applyAlignment="1">
      <alignment vertical="center"/>
    </xf>
    <xf numFmtId="0" fontId="26" fillId="5" borderId="4" xfId="0" applyFont="1" applyFill="1" applyBorder="1" applyAlignment="1">
      <alignment vertical="center"/>
    </xf>
    <xf numFmtId="0" fontId="26" fillId="5" borderId="4" xfId="0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vertical="center"/>
    </xf>
    <xf numFmtId="2" fontId="19" fillId="3" borderId="0" xfId="1" applyNumberFormat="1" applyFill="1"/>
    <xf numFmtId="0" fontId="19" fillId="3" borderId="0" xfId="1" applyFill="1"/>
    <xf numFmtId="0" fontId="30" fillId="4" borderId="22" xfId="1" applyFont="1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165" fontId="33" fillId="5" borderId="0" xfId="0" applyNumberFormat="1" applyFont="1" applyFill="1" applyAlignment="1">
      <alignment horizontal="center" vertical="center"/>
    </xf>
    <xf numFmtId="165" fontId="33" fillId="5" borderId="7" xfId="0" applyNumberFormat="1" applyFont="1" applyFill="1" applyBorder="1" applyAlignment="1">
      <alignment horizontal="center" vertical="center"/>
    </xf>
    <xf numFmtId="165" fontId="35" fillId="5" borderId="6" xfId="0" applyNumberFormat="1" applyFont="1" applyFill="1" applyBorder="1" applyAlignment="1">
      <alignment horizontal="center" vertical="center"/>
    </xf>
    <xf numFmtId="165" fontId="35" fillId="5" borderId="0" xfId="0" applyNumberFormat="1" applyFont="1" applyFill="1" applyAlignment="1">
      <alignment horizontal="center" vertical="center"/>
    </xf>
    <xf numFmtId="165" fontId="36" fillId="5" borderId="0" xfId="0" applyNumberFormat="1" applyFont="1" applyFill="1" applyAlignment="1">
      <alignment horizontal="center" vertical="center"/>
    </xf>
    <xf numFmtId="165" fontId="35" fillId="5" borderId="7" xfId="0" applyNumberFormat="1" applyFont="1" applyFill="1" applyBorder="1" applyAlignment="1">
      <alignment horizontal="center" vertical="center"/>
    </xf>
    <xf numFmtId="165" fontId="38" fillId="5" borderId="0" xfId="0" applyNumberFormat="1" applyFont="1" applyFill="1" applyAlignment="1">
      <alignment horizontal="center" vertical="center"/>
    </xf>
    <xf numFmtId="165" fontId="38" fillId="5" borderId="7" xfId="0" applyNumberFormat="1" applyFont="1" applyFill="1" applyBorder="1" applyAlignment="1">
      <alignment horizontal="center" vertical="center"/>
    </xf>
    <xf numFmtId="168" fontId="39" fillId="0" borderId="12" xfId="1" applyNumberFormat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165" fontId="35" fillId="5" borderId="8" xfId="0" applyNumberFormat="1" applyFont="1" applyFill="1" applyBorder="1" applyAlignment="1">
      <alignment horizontal="center" vertical="center"/>
    </xf>
    <xf numFmtId="165" fontId="35" fillId="5" borderId="9" xfId="0" applyNumberFormat="1" applyFont="1" applyFill="1" applyBorder="1" applyAlignment="1">
      <alignment horizontal="center" vertical="center"/>
    </xf>
    <xf numFmtId="165" fontId="36" fillId="5" borderId="9" xfId="0" applyNumberFormat="1" applyFont="1" applyFill="1" applyBorder="1" applyAlignment="1">
      <alignment horizontal="center" vertical="center"/>
    </xf>
    <xf numFmtId="165" fontId="35" fillId="5" borderId="10" xfId="0" applyNumberFormat="1" applyFont="1" applyFill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0" fillId="0" borderId="0" xfId="0" applyAlignment="1">
      <alignment vertical="center"/>
    </xf>
    <xf numFmtId="168" fontId="40" fillId="0" borderId="12" xfId="1" applyNumberFormat="1" applyFont="1" applyBorder="1" applyAlignment="1">
      <alignment horizontal="center" vertical="center"/>
    </xf>
    <xf numFmtId="0" fontId="30" fillId="4" borderId="0" xfId="1" applyFont="1" applyFill="1" applyAlignment="1">
      <alignment horizontal="left" vertical="center"/>
    </xf>
    <xf numFmtId="0" fontId="31" fillId="6" borderId="3" xfId="0" applyFont="1" applyFill="1" applyBorder="1"/>
    <xf numFmtId="0" fontId="26" fillId="6" borderId="4" xfId="0" applyFont="1" applyFill="1" applyBorder="1"/>
    <xf numFmtId="0" fontId="26" fillId="6" borderId="4" xfId="0" applyFont="1" applyFill="1" applyBorder="1" applyAlignment="1">
      <alignment horizontal="center"/>
    </xf>
    <xf numFmtId="0" fontId="26" fillId="6" borderId="5" xfId="0" applyFont="1" applyFill="1" applyBorder="1"/>
    <xf numFmtId="0" fontId="0" fillId="6" borderId="6" xfId="0" applyFill="1" applyBorder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33" fillId="6" borderId="7" xfId="0" applyNumberFormat="1" applyFont="1" applyFill="1" applyBorder="1" applyAlignment="1">
      <alignment horizontal="center"/>
    </xf>
    <xf numFmtId="165" fontId="35" fillId="6" borderId="6" xfId="0" applyNumberFormat="1" applyFont="1" applyFill="1" applyBorder="1" applyAlignment="1">
      <alignment horizontal="center"/>
    </xf>
    <xf numFmtId="165" fontId="35" fillId="6" borderId="0" xfId="0" applyNumberFormat="1" applyFont="1" applyFill="1" applyAlignment="1">
      <alignment horizontal="center"/>
    </xf>
    <xf numFmtId="165" fontId="36" fillId="6" borderId="0" xfId="0" applyNumberFormat="1" applyFont="1" applyFill="1" applyAlignment="1">
      <alignment horizontal="center"/>
    </xf>
    <xf numFmtId="165" fontId="35" fillId="6" borderId="7" xfId="0" applyNumberFormat="1" applyFont="1" applyFill="1" applyBorder="1" applyAlignment="1">
      <alignment horizontal="center"/>
    </xf>
    <xf numFmtId="165" fontId="38" fillId="6" borderId="0" xfId="0" applyNumberFormat="1" applyFont="1" applyFill="1" applyAlignment="1">
      <alignment horizontal="center"/>
    </xf>
    <xf numFmtId="165" fontId="38" fillId="6" borderId="7" xfId="0" applyNumberFormat="1" applyFont="1" applyFill="1" applyBorder="1" applyAlignment="1">
      <alignment horizontal="center"/>
    </xf>
    <xf numFmtId="165" fontId="35" fillId="6" borderId="8" xfId="0" applyNumberFormat="1" applyFont="1" applyFill="1" applyBorder="1" applyAlignment="1">
      <alignment horizontal="center"/>
    </xf>
    <xf numFmtId="165" fontId="35" fillId="6" borderId="9" xfId="0" applyNumberFormat="1" applyFont="1" applyFill="1" applyBorder="1" applyAlignment="1">
      <alignment horizontal="center"/>
    </xf>
    <xf numFmtId="165" fontId="36" fillId="6" borderId="9" xfId="0" applyNumberFormat="1" applyFont="1" applyFill="1" applyBorder="1" applyAlignment="1">
      <alignment horizontal="center"/>
    </xf>
    <xf numFmtId="165" fontId="35" fillId="6" borderId="10" xfId="0" applyNumberFormat="1" applyFont="1" applyFill="1" applyBorder="1" applyAlignment="1">
      <alignment horizontal="center"/>
    </xf>
    <xf numFmtId="0" fontId="30" fillId="4" borderId="0" xfId="1" applyFont="1" applyFill="1" applyAlignment="1">
      <alignment horizontal="center" vertical="center"/>
    </xf>
    <xf numFmtId="0" fontId="30" fillId="0" borderId="0" xfId="1" applyFont="1"/>
    <xf numFmtId="0" fontId="21" fillId="0" borderId="0" xfId="1" applyFont="1"/>
    <xf numFmtId="0" fontId="0" fillId="3" borderId="0" xfId="0" applyFill="1"/>
    <xf numFmtId="0" fontId="48" fillId="2" borderId="0" xfId="3" applyFont="1" applyFill="1" applyAlignment="1">
      <alignment vertical="center"/>
    </xf>
    <xf numFmtId="0" fontId="50" fillId="2" borderId="0" xfId="4" applyFont="1" applyFill="1" applyAlignment="1">
      <alignment horizontal="centerContinuous"/>
    </xf>
    <xf numFmtId="0" fontId="51" fillId="2" borderId="0" xfId="3" applyFont="1" applyFill="1" applyAlignment="1">
      <alignment vertical="center"/>
    </xf>
    <xf numFmtId="0" fontId="52" fillId="2" borderId="0" xfId="1" applyFont="1" applyFill="1"/>
    <xf numFmtId="0" fontId="53" fillId="7" borderId="32" xfId="0" applyFont="1" applyFill="1" applyBorder="1" applyAlignment="1">
      <alignment horizontal="center"/>
    </xf>
    <xf numFmtId="0" fontId="51" fillId="2" borderId="0" xfId="3" applyFont="1" applyFill="1" applyAlignment="1">
      <alignment horizontal="center" vertical="center"/>
    </xf>
    <xf numFmtId="0" fontId="0" fillId="2" borderId="32" xfId="0" applyFill="1" applyBorder="1"/>
    <xf numFmtId="0" fontId="54" fillId="2" borderId="0" xfId="1" applyFont="1" applyFill="1"/>
    <xf numFmtId="0" fontId="55" fillId="2" borderId="0" xfId="1" applyFont="1" applyFill="1"/>
    <xf numFmtId="169" fontId="0" fillId="2" borderId="32" xfId="0" applyNumberFormat="1" applyFill="1" applyBorder="1"/>
    <xf numFmtId="165" fontId="0" fillId="2" borderId="32" xfId="0" applyNumberFormat="1" applyFill="1" applyBorder="1"/>
    <xf numFmtId="167" fontId="56" fillId="2" borderId="0" xfId="0" applyNumberFormat="1" applyFont="1" applyFill="1"/>
    <xf numFmtId="0" fontId="57" fillId="2" borderId="0" xfId="1" applyFont="1" applyFill="1"/>
    <xf numFmtId="0" fontId="58" fillId="2" borderId="0" xfId="1" applyFont="1" applyFill="1"/>
    <xf numFmtId="0" fontId="59" fillId="2" borderId="29" xfId="1" applyFont="1" applyFill="1" applyBorder="1"/>
    <xf numFmtId="0" fontId="59" fillId="2" borderId="29" xfId="1" applyFont="1" applyFill="1" applyBorder="1" applyAlignment="1">
      <alignment horizontal="right"/>
    </xf>
    <xf numFmtId="0" fontId="59" fillId="8" borderId="43" xfId="1" applyFont="1" applyFill="1" applyBorder="1"/>
    <xf numFmtId="0" fontId="57" fillId="8" borderId="43" xfId="1" applyFont="1" applyFill="1" applyBorder="1"/>
    <xf numFmtId="0" fontId="59" fillId="2" borderId="0" xfId="1" applyFont="1" applyFill="1" applyAlignment="1">
      <alignment horizontal="right"/>
    </xf>
    <xf numFmtId="171" fontId="57" fillId="8" borderId="43" xfId="1" applyNumberFormat="1" applyFont="1" applyFill="1" applyBorder="1" applyAlignment="1">
      <alignment horizontal="left"/>
    </xf>
    <xf numFmtId="171" fontId="57" fillId="8" borderId="43" xfId="1" applyNumberFormat="1" applyFont="1" applyFill="1" applyBorder="1"/>
    <xf numFmtId="0" fontId="53" fillId="7" borderId="0" xfId="0" applyFont="1" applyFill="1" applyAlignment="1">
      <alignment horizontal="center"/>
    </xf>
    <xf numFmtId="0" fontId="19" fillId="2" borderId="44" xfId="1" applyFill="1" applyBorder="1"/>
    <xf numFmtId="0" fontId="19" fillId="2" borderId="1" xfId="1" applyFill="1" applyBorder="1"/>
    <xf numFmtId="0" fontId="19" fillId="2" borderId="36" xfId="1" applyFill="1" applyBorder="1"/>
    <xf numFmtId="0" fontId="57" fillId="2" borderId="44" xfId="1" applyFont="1" applyFill="1" applyBorder="1"/>
    <xf numFmtId="0" fontId="57" fillId="2" borderId="1" xfId="1" applyFont="1" applyFill="1" applyBorder="1"/>
    <xf numFmtId="0" fontId="57" fillId="2" borderId="36" xfId="1" applyFont="1" applyFill="1" applyBorder="1"/>
    <xf numFmtId="0" fontId="57" fillId="2" borderId="0" xfId="1" applyFont="1" applyFill="1" applyAlignment="1">
      <alignment horizontal="left"/>
    </xf>
    <xf numFmtId="165" fontId="59" fillId="8" borderId="43" xfId="1" applyNumberFormat="1" applyFont="1" applyFill="1" applyBorder="1"/>
    <xf numFmtId="165" fontId="59" fillId="9" borderId="43" xfId="1" applyNumberFormat="1" applyFont="1" applyFill="1" applyBorder="1"/>
    <xf numFmtId="171" fontId="57" fillId="9" borderId="43" xfId="1" applyNumberFormat="1" applyFont="1" applyFill="1" applyBorder="1" applyAlignment="1">
      <alignment horizontal="left"/>
    </xf>
    <xf numFmtId="171" fontId="57" fillId="9" borderId="43" xfId="1" applyNumberFormat="1" applyFont="1" applyFill="1" applyBorder="1"/>
    <xf numFmtId="0" fontId="59" fillId="9" borderId="43" xfId="1" applyFont="1" applyFill="1" applyBorder="1"/>
    <xf numFmtId="0" fontId="0" fillId="2" borderId="3" xfId="0" applyFill="1" applyBorder="1"/>
    <xf numFmtId="165" fontId="0" fillId="2" borderId="4" xfId="0" applyNumberFormat="1" applyFill="1" applyBorder="1"/>
    <xf numFmtId="165" fontId="0" fillId="2" borderId="5" xfId="0" applyNumberFormat="1" applyFill="1" applyBorder="1"/>
    <xf numFmtId="0" fontId="59" fillId="2" borderId="1" xfId="1" applyFont="1" applyFill="1" applyBorder="1" applyAlignment="1">
      <alignment horizontal="right"/>
    </xf>
    <xf numFmtId="0" fontId="0" fillId="2" borderId="11" xfId="0" applyFill="1" applyBorder="1"/>
    <xf numFmtId="165" fontId="0" fillId="2" borderId="12" xfId="0" applyNumberFormat="1" applyFill="1" applyBorder="1"/>
    <xf numFmtId="165" fontId="0" fillId="2" borderId="13" xfId="0" applyNumberFormat="1" applyFill="1" applyBorder="1"/>
    <xf numFmtId="0" fontId="60" fillId="2" borderId="0" xfId="1" applyFont="1" applyFill="1"/>
    <xf numFmtId="4" fontId="57" fillId="8" borderId="45" xfId="1" applyNumberFormat="1" applyFont="1" applyFill="1" applyBorder="1" applyAlignment="1">
      <alignment horizontal="center"/>
    </xf>
    <xf numFmtId="0" fontId="59" fillId="2" borderId="0" xfId="1" applyFont="1" applyFill="1"/>
    <xf numFmtId="0" fontId="53" fillId="7" borderId="11" xfId="0" applyFont="1" applyFill="1" applyBorder="1" applyAlignment="1">
      <alignment horizontal="center"/>
    </xf>
    <xf numFmtId="165" fontId="53" fillId="2" borderId="12" xfId="0" applyNumberFormat="1" applyFont="1" applyFill="1" applyBorder="1" applyAlignment="1">
      <alignment horizontal="center"/>
    </xf>
    <xf numFmtId="165" fontId="53" fillId="2" borderId="13" xfId="0" applyNumberFormat="1" applyFont="1" applyFill="1" applyBorder="1" applyAlignment="1">
      <alignment horizontal="center"/>
    </xf>
    <xf numFmtId="2" fontId="19" fillId="2" borderId="0" xfId="1" applyNumberFormat="1" applyFill="1" applyAlignment="1">
      <alignment horizontal="center"/>
    </xf>
    <xf numFmtId="0" fontId="57" fillId="2" borderId="46" xfId="1" applyFont="1" applyFill="1" applyBorder="1"/>
    <xf numFmtId="165" fontId="61" fillId="10" borderId="12" xfId="0" applyNumberFormat="1" applyFont="1" applyFill="1" applyBorder="1" applyAlignment="1">
      <alignment horizontal="center"/>
    </xf>
    <xf numFmtId="165" fontId="61" fillId="10" borderId="13" xfId="0" applyNumberFormat="1" applyFont="1" applyFill="1" applyBorder="1" applyAlignment="1">
      <alignment horizontal="center"/>
    </xf>
    <xf numFmtId="0" fontId="62" fillId="8" borderId="47" xfId="1" applyFont="1" applyFill="1" applyBorder="1" applyAlignment="1">
      <alignment horizontal="center"/>
    </xf>
    <xf numFmtId="0" fontId="62" fillId="8" borderId="48" xfId="1" applyFont="1" applyFill="1" applyBorder="1" applyAlignment="1">
      <alignment horizontal="center"/>
    </xf>
    <xf numFmtId="0" fontId="62" fillId="8" borderId="49" xfId="1" applyFont="1" applyFill="1" applyBorder="1" applyAlignment="1">
      <alignment horizontal="center"/>
    </xf>
    <xf numFmtId="171" fontId="58" fillId="8" borderId="47" xfId="1" applyNumberFormat="1" applyFont="1" applyFill="1" applyBorder="1" applyAlignment="1">
      <alignment horizontal="center"/>
    </xf>
    <xf numFmtId="171" fontId="58" fillId="8" borderId="48" xfId="1" applyNumberFormat="1" applyFont="1" applyFill="1" applyBorder="1" applyAlignment="1">
      <alignment horizontal="center"/>
    </xf>
    <xf numFmtId="172" fontId="58" fillId="8" borderId="49" xfId="1" applyNumberFormat="1" applyFont="1" applyFill="1" applyBorder="1" applyAlignment="1">
      <alignment horizontal="center"/>
    </xf>
    <xf numFmtId="165" fontId="63" fillId="2" borderId="12" xfId="0" applyNumberFormat="1" applyFont="1" applyFill="1" applyBorder="1" applyAlignment="1">
      <alignment horizontal="center"/>
    </xf>
    <xf numFmtId="165" fontId="63" fillId="2" borderId="13" xfId="0" applyNumberFormat="1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165" fontId="61" fillId="2" borderId="0" xfId="0" applyNumberFormat="1" applyFont="1" applyFill="1" applyAlignment="1">
      <alignment horizontal="center"/>
    </xf>
    <xf numFmtId="0" fontId="64" fillId="2" borderId="32" xfId="1" applyFont="1" applyFill="1" applyBorder="1" applyAlignment="1">
      <alignment horizontal="center"/>
    </xf>
    <xf numFmtId="0" fontId="57" fillId="2" borderId="50" xfId="1" applyFont="1" applyFill="1" applyBorder="1"/>
    <xf numFmtId="0" fontId="57" fillId="2" borderId="2" xfId="1" applyFont="1" applyFill="1" applyBorder="1"/>
    <xf numFmtId="169" fontId="65" fillId="2" borderId="32" xfId="1" applyNumberFormat="1" applyFont="1" applyFill="1" applyBorder="1" applyAlignment="1">
      <alignment horizontal="center" vertical="center"/>
    </xf>
    <xf numFmtId="4" fontId="65" fillId="2" borderId="32" xfId="1" applyNumberFormat="1" applyFont="1" applyFill="1" applyBorder="1" applyAlignment="1">
      <alignment horizontal="center" vertical="center"/>
    </xf>
    <xf numFmtId="173" fontId="65" fillId="2" borderId="32" xfId="1" applyNumberFormat="1" applyFont="1" applyFill="1" applyBorder="1" applyAlignment="1">
      <alignment horizontal="center" vertical="center"/>
    </xf>
    <xf numFmtId="174" fontId="65" fillId="2" borderId="32" xfId="1" applyNumberFormat="1" applyFont="1" applyFill="1" applyBorder="1" applyAlignment="1">
      <alignment horizontal="center" vertical="center"/>
    </xf>
    <xf numFmtId="0" fontId="57" fillId="2" borderId="40" xfId="1" applyFont="1" applyFill="1" applyBorder="1"/>
    <xf numFmtId="0" fontId="57" fillId="2" borderId="41" xfId="1" applyFont="1" applyFill="1" applyBorder="1"/>
    <xf numFmtId="172" fontId="65" fillId="2" borderId="32" xfId="1" applyNumberFormat="1" applyFont="1" applyFill="1" applyBorder="1" applyAlignment="1">
      <alignment horizontal="center" vertical="center"/>
    </xf>
    <xf numFmtId="175" fontId="65" fillId="2" borderId="32" xfId="1" applyNumberFormat="1" applyFont="1" applyFill="1" applyBorder="1" applyAlignment="1">
      <alignment horizontal="center" vertical="center"/>
    </xf>
    <xf numFmtId="0" fontId="66" fillId="2" borderId="0" xfId="1" applyFont="1" applyFill="1"/>
    <xf numFmtId="0" fontId="66" fillId="8" borderId="11" xfId="1" applyFont="1" applyFill="1" applyBorder="1"/>
    <xf numFmtId="0" fontId="54" fillId="8" borderId="12" xfId="1" applyFont="1" applyFill="1" applyBorder="1"/>
    <xf numFmtId="0" fontId="19" fillId="8" borderId="12" xfId="1" applyFill="1" applyBorder="1"/>
    <xf numFmtId="0" fontId="66" fillId="8" borderId="13" xfId="1" applyFont="1" applyFill="1" applyBorder="1"/>
    <xf numFmtId="0" fontId="66" fillId="2" borderId="8" xfId="1" applyFont="1" applyFill="1" applyBorder="1"/>
    <xf numFmtId="0" fontId="19" fillId="2" borderId="9" xfId="1" applyFill="1" applyBorder="1"/>
    <xf numFmtId="0" fontId="66" fillId="2" borderId="10" xfId="1" applyFont="1" applyFill="1" applyBorder="1"/>
    <xf numFmtId="0" fontId="54" fillId="2" borderId="51" xfId="1" applyFont="1" applyFill="1" applyBorder="1" applyAlignment="1">
      <alignment horizontal="center"/>
    </xf>
    <xf numFmtId="0" fontId="54" fillId="2" borderId="37" xfId="1" applyFont="1" applyFill="1" applyBorder="1" applyAlignment="1">
      <alignment horizontal="center"/>
    </xf>
    <xf numFmtId="0" fontId="54" fillId="2" borderId="52" xfId="1" applyFont="1" applyFill="1" applyBorder="1" applyAlignment="1">
      <alignment horizontal="center"/>
    </xf>
    <xf numFmtId="0" fontId="64" fillId="2" borderId="0" xfId="1" applyFont="1" applyFill="1" applyAlignment="1">
      <alignment horizontal="center"/>
    </xf>
    <xf numFmtId="165" fontId="66" fillId="9" borderId="53" xfId="1" applyNumberFormat="1" applyFont="1" applyFill="1" applyBorder="1"/>
    <xf numFmtId="4" fontId="66" fillId="9" borderId="32" xfId="1" applyNumberFormat="1" applyFont="1" applyFill="1" applyBorder="1"/>
    <xf numFmtId="166" fontId="66" fillId="9" borderId="54" xfId="1" applyNumberFormat="1" applyFont="1" applyFill="1" applyBorder="1"/>
    <xf numFmtId="165" fontId="66" fillId="10" borderId="53" xfId="1" applyNumberFormat="1" applyFont="1" applyFill="1" applyBorder="1"/>
    <xf numFmtId="0" fontId="66" fillId="10" borderId="32" xfId="1" applyFont="1" applyFill="1" applyBorder="1"/>
    <xf numFmtId="166" fontId="66" fillId="10" borderId="54" xfId="1" applyNumberFormat="1" applyFont="1" applyFill="1" applyBorder="1"/>
    <xf numFmtId="0" fontId="64" fillId="2" borderId="0" xfId="1" applyFont="1" applyFill="1"/>
    <xf numFmtId="165" fontId="54" fillId="8" borderId="55" xfId="1" applyNumberFormat="1" applyFont="1" applyFill="1" applyBorder="1"/>
    <xf numFmtId="0" fontId="54" fillId="8" borderId="55" xfId="1" applyFont="1" applyFill="1" applyBorder="1"/>
    <xf numFmtId="166" fontId="54" fillId="8" borderId="55" xfId="1" applyNumberFormat="1" applyFont="1" applyFill="1" applyBorder="1"/>
    <xf numFmtId="0" fontId="57" fillId="2" borderId="0" xfId="1" applyFont="1" applyFill="1" applyAlignment="1">
      <alignment horizontal="center"/>
    </xf>
    <xf numFmtId="0" fontId="67" fillId="2" borderId="0" xfId="1" applyFont="1" applyFill="1"/>
    <xf numFmtId="0" fontId="56" fillId="2" borderId="12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45" xfId="0" applyFill="1" applyBorder="1"/>
    <xf numFmtId="0" fontId="0" fillId="2" borderId="7" xfId="0" applyFill="1" applyBorder="1"/>
    <xf numFmtId="0" fontId="56" fillId="2" borderId="0" xfId="0" applyFont="1" applyFill="1" applyAlignment="1">
      <alignment horizontal="center"/>
    </xf>
    <xf numFmtId="165" fontId="68" fillId="2" borderId="0" xfId="0" applyNumberFormat="1" applyFont="1" applyFill="1" applyAlignment="1">
      <alignment horizontal="center"/>
    </xf>
    <xf numFmtId="0" fontId="53" fillId="2" borderId="0" xfId="0" applyFont="1" applyFill="1"/>
    <xf numFmtId="0" fontId="68" fillId="2" borderId="9" xfId="0" applyFont="1" applyFill="1" applyBorder="1" applyAlignment="1">
      <alignment horizontal="center"/>
    </xf>
    <xf numFmtId="0" fontId="56" fillId="2" borderId="9" xfId="0" applyFont="1" applyFill="1" applyBorder="1" applyAlignment="1">
      <alignment horizontal="center"/>
    </xf>
    <xf numFmtId="2" fontId="68" fillId="2" borderId="0" xfId="0" applyNumberFormat="1" applyFont="1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69" fillId="2" borderId="9" xfId="0" applyFont="1" applyFill="1" applyBorder="1" applyAlignment="1">
      <alignment horizontal="center"/>
    </xf>
    <xf numFmtId="0" fontId="53" fillId="2" borderId="9" xfId="0" applyFont="1" applyFill="1" applyBorder="1" applyAlignment="1">
      <alignment horizontal="center"/>
    </xf>
    <xf numFmtId="165" fontId="68" fillId="2" borderId="9" xfId="0" applyNumberFormat="1" applyFont="1" applyFill="1" applyBorder="1" applyAlignment="1">
      <alignment horizontal="center"/>
    </xf>
    <xf numFmtId="0" fontId="68" fillId="2" borderId="9" xfId="0" applyFont="1" applyFill="1" applyBorder="1"/>
    <xf numFmtId="0" fontId="69" fillId="2" borderId="0" xfId="0" applyFont="1" applyFill="1" applyAlignment="1">
      <alignment horizontal="center"/>
    </xf>
    <xf numFmtId="0" fontId="68" fillId="2" borderId="0" xfId="0" applyFont="1" applyFill="1"/>
    <xf numFmtId="0" fontId="0" fillId="2" borderId="32" xfId="0" applyFill="1" applyBorder="1" applyAlignment="1">
      <alignment horizontal="center"/>
    </xf>
    <xf numFmtId="0" fontId="70" fillId="2" borderId="0" xfId="0" applyFont="1" applyFill="1" applyAlignment="1">
      <alignment horizontal="center"/>
    </xf>
    <xf numFmtId="165" fontId="0" fillId="2" borderId="0" xfId="0" applyNumberFormat="1" applyFill="1" applyAlignment="1">
      <alignment horizontal="left"/>
    </xf>
    <xf numFmtId="165" fontId="56" fillId="2" borderId="0" xfId="0" applyNumberFormat="1" applyFont="1" applyFill="1" applyAlignment="1">
      <alignment horizontal="center"/>
    </xf>
    <xf numFmtId="0" fontId="0" fillId="2" borderId="45" xfId="0" applyFill="1" applyBorder="1" applyAlignment="1">
      <alignment horizontal="center"/>
    </xf>
    <xf numFmtId="2" fontId="56" fillId="2" borderId="0" xfId="0" applyNumberFormat="1" applyFont="1" applyFill="1" applyAlignment="1">
      <alignment horizontal="center"/>
    </xf>
    <xf numFmtId="2" fontId="53" fillId="2" borderId="45" xfId="0" applyNumberFormat="1" applyFont="1" applyFill="1" applyBorder="1" applyAlignment="1">
      <alignment horizontal="center"/>
    </xf>
    <xf numFmtId="0" fontId="71" fillId="2" borderId="0" xfId="0" quotePrefix="1" applyFont="1" applyFill="1" applyAlignment="1">
      <alignment horizontal="left"/>
    </xf>
    <xf numFmtId="0" fontId="0" fillId="5" borderId="0" xfId="0" applyFill="1" applyAlignment="1">
      <alignment horizontal="center" vertical="center"/>
    </xf>
    <xf numFmtId="0" fontId="21" fillId="0" borderId="0" xfId="1" applyFont="1" applyAlignment="1">
      <alignment vertical="center"/>
    </xf>
    <xf numFmtId="0" fontId="15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166" fontId="6" fillId="2" borderId="0" xfId="0" applyNumberFormat="1" applyFont="1" applyFill="1" applyAlignment="1">
      <alignment horizontal="right"/>
    </xf>
    <xf numFmtId="0" fontId="17" fillId="2" borderId="0" xfId="0" applyFont="1" applyFill="1" applyAlignment="1">
      <alignment horizontal="center"/>
    </xf>
    <xf numFmtId="166" fontId="17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8" fillId="2" borderId="0" xfId="0" applyFont="1" applyFill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165" fontId="8" fillId="2" borderId="9" xfId="0" applyNumberFormat="1" applyFont="1" applyFill="1" applyBorder="1"/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right" vertical="center"/>
    </xf>
    <xf numFmtId="0" fontId="0" fillId="2" borderId="10" xfId="0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quotePrefix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8" xfId="0" quotePrefix="1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3" fillId="2" borderId="0" xfId="0" applyFont="1" applyFill="1"/>
    <xf numFmtId="14" fontId="74" fillId="3" borderId="9" xfId="0" applyNumberFormat="1" applyFont="1" applyFill="1" applyBorder="1" applyAlignment="1">
      <alignment horizontal="center" vertical="center"/>
    </xf>
    <xf numFmtId="20" fontId="74" fillId="3" borderId="9" xfId="0" applyNumberFormat="1" applyFont="1" applyFill="1" applyBorder="1" applyAlignment="1">
      <alignment horizontal="left" vertical="center"/>
    </xf>
    <xf numFmtId="4" fontId="74" fillId="2" borderId="0" xfId="0" applyNumberFormat="1" applyFont="1" applyFill="1" applyAlignment="1">
      <alignment horizontal="right"/>
    </xf>
    <xf numFmtId="0" fontId="75" fillId="2" borderId="0" xfId="0" quotePrefix="1" applyFont="1" applyFill="1" applyAlignment="1">
      <alignment horizontal="left" vertical="center"/>
    </xf>
    <xf numFmtId="0" fontId="77" fillId="0" borderId="0" xfId="0" applyFont="1" applyAlignment="1">
      <alignment horizontal="left" vertical="center" readingOrder="1"/>
    </xf>
    <xf numFmtId="0" fontId="78" fillId="2" borderId="0" xfId="0" applyFont="1" applyFill="1" applyAlignment="1">
      <alignment horizontal="left"/>
    </xf>
    <xf numFmtId="0" fontId="6" fillId="2" borderId="6" xfId="0" quotePrefix="1" applyFont="1" applyFill="1" applyBorder="1"/>
    <xf numFmtId="0" fontId="3" fillId="0" borderId="0" xfId="0" quotePrefix="1" applyFont="1" applyAlignment="1">
      <alignment horizontal="left" vertical="center"/>
    </xf>
    <xf numFmtId="0" fontId="67" fillId="0" borderId="0" xfId="1" applyFont="1"/>
    <xf numFmtId="0" fontId="79" fillId="0" borderId="0" xfId="0" applyFont="1" applyAlignment="1">
      <alignment horizontal="right" vertical="center" readingOrder="1"/>
    </xf>
    <xf numFmtId="0" fontId="80" fillId="0" borderId="0" xfId="1" applyFont="1"/>
    <xf numFmtId="0" fontId="21" fillId="0" borderId="11" xfId="1" applyFont="1" applyBorder="1" applyAlignment="1">
      <alignment vertical="center"/>
    </xf>
    <xf numFmtId="0" fontId="21" fillId="0" borderId="12" xfId="1" applyFont="1" applyBorder="1" applyAlignment="1">
      <alignment horizontal="right" vertical="center"/>
    </xf>
    <xf numFmtId="2" fontId="21" fillId="0" borderId="12" xfId="1" applyNumberFormat="1" applyFont="1" applyBorder="1" applyAlignment="1" applyProtection="1">
      <alignment horizontal="left" vertical="center"/>
      <protection locked="0"/>
    </xf>
    <xf numFmtId="2" fontId="21" fillId="0" borderId="12" xfId="1" applyNumberFormat="1" applyFont="1" applyBorder="1" applyAlignment="1">
      <alignment horizontal="center"/>
    </xf>
    <xf numFmtId="0" fontId="21" fillId="0" borderId="13" xfId="1" applyFont="1" applyBorder="1" applyAlignment="1">
      <alignment horizontal="center" vertical="center"/>
    </xf>
    <xf numFmtId="0" fontId="30" fillId="4" borderId="0" xfId="1" applyFont="1" applyFill="1" applyAlignment="1">
      <alignment vertical="center"/>
    </xf>
    <xf numFmtId="0" fontId="30" fillId="2" borderId="0" xfId="1" applyFont="1" applyFill="1" applyAlignment="1">
      <alignment vertical="center"/>
    </xf>
    <xf numFmtId="0" fontId="30" fillId="4" borderId="15" xfId="1" applyFont="1" applyFill="1" applyBorder="1" applyAlignment="1">
      <alignment horizontal="center" vertical="center"/>
    </xf>
    <xf numFmtId="0" fontId="30" fillId="4" borderId="16" xfId="1" applyFont="1" applyFill="1" applyBorder="1" applyAlignment="1">
      <alignment horizontal="center" vertical="center"/>
    </xf>
    <xf numFmtId="0" fontId="30" fillId="4" borderId="17" xfId="1" applyFont="1" applyFill="1" applyBorder="1" applyAlignment="1">
      <alignment horizontal="center" vertical="center"/>
    </xf>
    <xf numFmtId="0" fontId="30" fillId="4" borderId="18" xfId="1" applyFont="1" applyFill="1" applyBorder="1" applyAlignment="1">
      <alignment horizontal="center" vertical="center"/>
    </xf>
    <xf numFmtId="0" fontId="30" fillId="4" borderId="19" xfId="1" applyFont="1" applyFill="1" applyBorder="1" applyAlignment="1">
      <alignment horizontal="center" vertical="center"/>
    </xf>
    <xf numFmtId="0" fontId="30" fillId="4" borderId="23" xfId="1" applyFont="1" applyFill="1" applyBorder="1" applyAlignment="1">
      <alignment horizontal="center" vertical="center"/>
    </xf>
    <xf numFmtId="0" fontId="30" fillId="4" borderId="24" xfId="1" applyFont="1" applyFill="1" applyBorder="1" applyAlignment="1">
      <alignment horizontal="center" vertical="center"/>
    </xf>
    <xf numFmtId="0" fontId="30" fillId="4" borderId="25" xfId="1" applyFont="1" applyFill="1" applyBorder="1" applyAlignment="1">
      <alignment horizontal="center" vertical="center"/>
    </xf>
    <xf numFmtId="0" fontId="30" fillId="4" borderId="26" xfId="1" applyFont="1" applyFill="1" applyBorder="1" applyAlignment="1">
      <alignment horizontal="center" vertical="center"/>
    </xf>
    <xf numFmtId="0" fontId="30" fillId="4" borderId="31" xfId="1" applyFont="1" applyFill="1" applyBorder="1" applyAlignment="1">
      <alignment horizontal="center" vertical="center"/>
    </xf>
    <xf numFmtId="0" fontId="21" fillId="0" borderId="20" xfId="1" applyFont="1" applyBorder="1" applyAlignment="1" applyProtection="1">
      <alignment horizontal="left" vertical="center"/>
      <protection locked="0"/>
    </xf>
    <xf numFmtId="49" fontId="21" fillId="0" borderId="0" xfId="1" applyNumberFormat="1" applyFont="1" applyAlignment="1" applyProtection="1">
      <alignment horizontal="left" vertical="center"/>
      <protection locked="0"/>
    </xf>
    <xf numFmtId="49" fontId="21" fillId="0" borderId="28" xfId="1" applyNumberFormat="1" applyFont="1" applyBorder="1" applyAlignment="1" applyProtection="1">
      <alignment horizontal="left" vertical="center"/>
      <protection locked="0"/>
    </xf>
    <xf numFmtId="2" fontId="21" fillId="0" borderId="17" xfId="1" applyNumberFormat="1" applyFont="1" applyBorder="1" applyAlignment="1" applyProtection="1">
      <alignment horizontal="center" vertical="center"/>
      <protection locked="0"/>
    </xf>
    <xf numFmtId="165" fontId="21" fillId="0" borderId="29" xfId="1" applyNumberFormat="1" applyFont="1" applyBorder="1" applyAlignment="1" applyProtection="1">
      <alignment horizontal="center" vertical="center"/>
      <protection locked="0"/>
    </xf>
    <xf numFmtId="2" fontId="21" fillId="0" borderId="29" xfId="1" applyNumberFormat="1" applyFont="1" applyBorder="1" applyAlignment="1" applyProtection="1">
      <alignment horizontal="center" vertical="center"/>
      <protection locked="0"/>
    </xf>
    <xf numFmtId="2" fontId="21" fillId="0" borderId="30" xfId="1" applyNumberFormat="1" applyFont="1" applyBorder="1" applyAlignment="1" applyProtection="1">
      <alignment horizontal="center" vertical="center"/>
      <protection locked="0"/>
    </xf>
    <xf numFmtId="167" fontId="21" fillId="0" borderId="29" xfId="1" applyNumberFormat="1" applyFont="1" applyBorder="1" applyAlignment="1" applyProtection="1">
      <alignment horizontal="center" vertical="center"/>
      <protection locked="0"/>
    </xf>
    <xf numFmtId="165" fontId="21" fillId="0" borderId="66" xfId="1" applyNumberFormat="1" applyFont="1" applyBorder="1" applyAlignment="1">
      <alignment vertical="center"/>
    </xf>
    <xf numFmtId="2" fontId="21" fillId="0" borderId="28" xfId="1" applyNumberFormat="1" applyFont="1" applyBorder="1" applyAlignment="1" applyProtection="1">
      <alignment horizontal="center" vertical="center"/>
      <protection locked="0"/>
    </xf>
    <xf numFmtId="167" fontId="21" fillId="0" borderId="0" xfId="1" applyNumberFormat="1" applyFont="1" applyAlignment="1" applyProtection="1">
      <alignment horizontal="center" vertical="center"/>
      <protection locked="0"/>
    </xf>
    <xf numFmtId="165" fontId="21" fillId="0" borderId="31" xfId="1" applyNumberFormat="1" applyFont="1" applyBorder="1" applyAlignment="1">
      <alignment vertical="center"/>
    </xf>
    <xf numFmtId="165" fontId="21" fillId="0" borderId="30" xfId="1" applyNumberFormat="1" applyFont="1" applyBorder="1" applyAlignment="1">
      <alignment horizontal="center"/>
    </xf>
    <xf numFmtId="0" fontId="21" fillId="0" borderId="22" xfId="1" applyFont="1" applyBorder="1" applyAlignment="1" applyProtection="1">
      <alignment horizontal="left" vertical="center"/>
      <protection locked="0"/>
    </xf>
    <xf numFmtId="49" fontId="21" fillId="0" borderId="23" xfId="1" applyNumberFormat="1" applyFont="1" applyBorder="1" applyAlignment="1" applyProtection="1">
      <alignment horizontal="left" vertical="center"/>
      <protection locked="0"/>
    </xf>
    <xf numFmtId="49" fontId="21" fillId="0" borderId="24" xfId="1" applyNumberFormat="1" applyFont="1" applyBorder="1" applyAlignment="1" applyProtection="1">
      <alignment horizontal="left" vertical="center"/>
      <protection locked="0"/>
    </xf>
    <xf numFmtId="2" fontId="21" fillId="0" borderId="24" xfId="1" applyNumberFormat="1" applyFont="1" applyBorder="1" applyAlignment="1" applyProtection="1">
      <alignment horizontal="center" vertical="center"/>
      <protection locked="0"/>
    </xf>
    <xf numFmtId="165" fontId="21" fillId="0" borderId="25" xfId="1" applyNumberFormat="1" applyFont="1" applyBorder="1" applyAlignment="1">
      <alignment horizontal="center"/>
    </xf>
    <xf numFmtId="2" fontId="21" fillId="0" borderId="26" xfId="1" applyNumberFormat="1" applyFont="1" applyBorder="1" applyAlignment="1" applyProtection="1">
      <alignment horizontal="center" vertical="center"/>
      <protection locked="0"/>
    </xf>
    <xf numFmtId="2" fontId="21" fillId="0" borderId="25" xfId="1" applyNumberFormat="1" applyFont="1" applyBorder="1" applyAlignment="1" applyProtection="1">
      <alignment horizontal="center" vertical="center"/>
      <protection locked="0"/>
    </xf>
    <xf numFmtId="167" fontId="21" fillId="0" borderId="23" xfId="1" applyNumberFormat="1" applyFont="1" applyBorder="1" applyAlignment="1" applyProtection="1">
      <alignment horizontal="center" vertical="center"/>
      <protection locked="0"/>
    </xf>
    <xf numFmtId="165" fontId="21" fillId="0" borderId="27" xfId="1" applyNumberFormat="1" applyFont="1" applyBorder="1" applyAlignment="1">
      <alignment vertical="center"/>
    </xf>
    <xf numFmtId="4" fontId="21" fillId="4" borderId="0" xfId="1" applyNumberFormat="1" applyFont="1" applyFill="1" applyAlignment="1">
      <alignment horizontal="right" vertical="center"/>
    </xf>
    <xf numFmtId="0" fontId="21" fillId="2" borderId="0" xfId="1" applyFont="1" applyFill="1"/>
    <xf numFmtId="165" fontId="30" fillId="4" borderId="0" xfId="1" applyNumberFormat="1" applyFont="1" applyFill="1" applyAlignment="1">
      <alignment vertical="center"/>
    </xf>
    <xf numFmtId="0" fontId="67" fillId="4" borderId="0" xfId="1" applyFont="1" applyFill="1" applyAlignment="1">
      <alignment vertical="center"/>
    </xf>
    <xf numFmtId="0" fontId="30" fillId="4" borderId="27" xfId="1" applyFont="1" applyFill="1" applyBorder="1" applyAlignment="1">
      <alignment horizontal="center" vertical="center"/>
    </xf>
    <xf numFmtId="0" fontId="21" fillId="0" borderId="14" xfId="1" applyFont="1" applyBorder="1" applyAlignment="1" applyProtection="1">
      <alignment horizontal="left" vertical="center"/>
      <protection locked="0"/>
    </xf>
    <xf numFmtId="0" fontId="67" fillId="0" borderId="15" xfId="1" applyFont="1" applyBorder="1" applyAlignment="1">
      <alignment horizontal="center"/>
    </xf>
    <xf numFmtId="0" fontId="67" fillId="0" borderId="15" xfId="1" applyFont="1" applyBorder="1"/>
    <xf numFmtId="2" fontId="21" fillId="0" borderId="18" xfId="1" applyNumberFormat="1" applyFont="1" applyBorder="1" applyAlignment="1" applyProtection="1">
      <alignment horizontal="center" vertical="center"/>
      <protection locked="0"/>
    </xf>
    <xf numFmtId="167" fontId="21" fillId="0" borderId="18" xfId="1" applyNumberFormat="1" applyFont="1" applyBorder="1" applyAlignment="1" applyProtection="1">
      <alignment horizontal="center" vertical="center"/>
      <protection locked="0"/>
    </xf>
    <xf numFmtId="165" fontId="21" fillId="0" borderId="19" xfId="1" applyNumberFormat="1" applyFont="1" applyBorder="1" applyAlignment="1">
      <alignment vertical="center"/>
    </xf>
    <xf numFmtId="0" fontId="67" fillId="0" borderId="0" xfId="1" applyFont="1" applyAlignment="1">
      <alignment horizontal="center"/>
    </xf>
    <xf numFmtId="0" fontId="67" fillId="0" borderId="23" xfId="1" applyFont="1" applyBorder="1"/>
    <xf numFmtId="0" fontId="67" fillId="0" borderId="24" xfId="1" applyFont="1" applyBorder="1"/>
    <xf numFmtId="0" fontId="67" fillId="0" borderId="25" xfId="1" applyFont="1" applyBorder="1"/>
    <xf numFmtId="167" fontId="21" fillId="0" borderId="26" xfId="1" applyNumberFormat="1" applyFont="1" applyBorder="1" applyAlignment="1" applyProtection="1">
      <alignment horizontal="center" vertical="center"/>
      <protection locked="0"/>
    </xf>
    <xf numFmtId="166" fontId="21" fillId="4" borderId="0" xfId="1" applyNumberFormat="1" applyFont="1" applyFill="1" applyAlignment="1">
      <alignment horizontal="right" vertical="center"/>
    </xf>
    <xf numFmtId="2" fontId="21" fillId="0" borderId="0" xfId="1" applyNumberFormat="1" applyFont="1" applyProtection="1">
      <protection locked="0"/>
    </xf>
    <xf numFmtId="167" fontId="21" fillId="0" borderId="0" xfId="1" applyNumberFormat="1" applyFont="1" applyAlignment="1" applyProtection="1">
      <alignment horizontal="center"/>
      <protection locked="0"/>
    </xf>
    <xf numFmtId="0" fontId="21" fillId="4" borderId="0" xfId="1" applyFont="1" applyFill="1" applyAlignment="1">
      <alignment vertical="center"/>
    </xf>
    <xf numFmtId="165" fontId="67" fillId="0" borderId="0" xfId="1" applyNumberFormat="1" applyFont="1"/>
    <xf numFmtId="0" fontId="67" fillId="0" borderId="0" xfId="1" applyFont="1" applyAlignment="1">
      <alignment vertical="center"/>
    </xf>
    <xf numFmtId="0" fontId="83" fillId="0" borderId="0" xfId="1" applyFont="1"/>
    <xf numFmtId="0" fontId="84" fillId="0" borderId="0" xfId="0" applyFont="1" applyAlignment="1">
      <alignment horizontal="left" vertical="center" readingOrder="1"/>
    </xf>
    <xf numFmtId="0" fontId="85" fillId="0" borderId="0" xfId="1" applyFont="1"/>
    <xf numFmtId="0" fontId="34" fillId="0" borderId="0" xfId="1" applyFont="1" applyAlignment="1">
      <alignment horizontal="center"/>
    </xf>
    <xf numFmtId="0" fontId="34" fillId="4" borderId="0" xfId="1" applyFont="1" applyFill="1" applyAlignment="1">
      <alignment vertical="center"/>
    </xf>
    <xf numFmtId="165" fontId="34" fillId="4" borderId="0" xfId="1" applyNumberFormat="1" applyFont="1" applyFill="1" applyAlignment="1">
      <alignment vertical="center"/>
    </xf>
    <xf numFmtId="0" fontId="34" fillId="3" borderId="0" xfId="1" applyFont="1" applyFill="1" applyAlignment="1">
      <alignment horizontal="left" vertical="center"/>
    </xf>
    <xf numFmtId="4" fontId="22" fillId="3" borderId="0" xfId="1" applyNumberFormat="1" applyFont="1" applyFill="1" applyAlignment="1">
      <alignment horizontal="right" vertical="center"/>
    </xf>
    <xf numFmtId="0" fontId="22" fillId="2" borderId="0" xfId="1" applyFont="1" applyFill="1"/>
    <xf numFmtId="0" fontId="22" fillId="0" borderId="0" xfId="1" applyFont="1"/>
    <xf numFmtId="4" fontId="83" fillId="0" borderId="0" xfId="1" applyNumberFormat="1" applyFont="1"/>
    <xf numFmtId="165" fontId="34" fillId="0" borderId="0" xfId="1" applyNumberFormat="1" applyFont="1" applyAlignment="1">
      <alignment vertical="center"/>
    </xf>
    <xf numFmtId="0" fontId="22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left" vertical="center"/>
    </xf>
    <xf numFmtId="0" fontId="34" fillId="3" borderId="0" xfId="1" applyFont="1" applyFill="1" applyAlignment="1">
      <alignment horizontal="center" vertical="center"/>
    </xf>
    <xf numFmtId="2" fontId="22" fillId="0" borderId="56" xfId="1" applyNumberFormat="1" applyFont="1" applyBorder="1" applyAlignment="1" applyProtection="1">
      <alignment horizontal="center" vertical="center"/>
      <protection locked="0"/>
    </xf>
    <xf numFmtId="4" fontId="22" fillId="0" borderId="65" xfId="1" applyNumberFormat="1" applyFont="1" applyBorder="1" applyAlignment="1" applyProtection="1">
      <alignment vertical="center"/>
      <protection locked="0"/>
    </xf>
    <xf numFmtId="165" fontId="22" fillId="3" borderId="0" xfId="1" applyNumberFormat="1" applyFont="1" applyFill="1" applyAlignment="1">
      <alignment vertical="center"/>
    </xf>
    <xf numFmtId="2" fontId="22" fillId="0" borderId="37" xfId="1" applyNumberFormat="1" applyFont="1" applyBorder="1" applyAlignment="1" applyProtection="1">
      <alignment horizontal="center" vertical="center"/>
      <protection locked="0"/>
    </xf>
    <xf numFmtId="4" fontId="22" fillId="0" borderId="39" xfId="1" applyNumberFormat="1" applyFont="1" applyBorder="1" applyAlignment="1" applyProtection="1">
      <alignment vertical="center"/>
      <protection locked="0"/>
    </xf>
    <xf numFmtId="49" fontId="22" fillId="0" borderId="20" xfId="1" applyNumberFormat="1" applyFont="1" applyBorder="1" applyAlignment="1" applyProtection="1">
      <alignment horizontal="center" vertical="center" wrapText="1"/>
      <protection locked="0"/>
    </xf>
    <xf numFmtId="49" fontId="22" fillId="0" borderId="0" xfId="1" applyNumberFormat="1" applyFont="1" applyAlignment="1" applyProtection="1">
      <alignment horizontal="center" vertical="center" wrapText="1"/>
      <protection locked="0"/>
    </xf>
    <xf numFmtId="2" fontId="22" fillId="0" borderId="0" xfId="1" applyNumberFormat="1" applyFont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21" xfId="1" applyFont="1" applyBorder="1" applyAlignment="1" applyProtection="1">
      <alignment horizontal="center" vertical="center"/>
      <protection locked="0"/>
    </xf>
    <xf numFmtId="2" fontId="22" fillId="0" borderId="32" xfId="1" applyNumberFormat="1" applyFont="1" applyBorder="1" applyAlignment="1" applyProtection="1">
      <alignment horizontal="center" vertical="center"/>
      <protection locked="0"/>
    </xf>
    <xf numFmtId="2" fontId="22" fillId="0" borderId="25" xfId="1" applyNumberFormat="1" applyFont="1" applyBorder="1" applyAlignment="1" applyProtection="1">
      <alignment horizontal="center" vertical="center"/>
      <protection locked="0"/>
    </xf>
    <xf numFmtId="4" fontId="22" fillId="0" borderId="38" xfId="1" applyNumberFormat="1" applyFont="1" applyBorder="1" applyAlignment="1" applyProtection="1">
      <alignment vertical="center"/>
      <protection locked="0"/>
    </xf>
    <xf numFmtId="0" fontId="22" fillId="4" borderId="0" xfId="1" applyFont="1" applyFill="1"/>
    <xf numFmtId="165" fontId="22" fillId="0" borderId="0" xfId="1" applyNumberFormat="1" applyFont="1" applyAlignment="1">
      <alignment vertical="center"/>
    </xf>
    <xf numFmtId="165" fontId="34" fillId="0" borderId="0" xfId="1" applyNumberFormat="1" applyFont="1"/>
    <xf numFmtId="0" fontId="22" fillId="0" borderId="0" xfId="1" applyFont="1" applyAlignment="1">
      <alignment horizontal="center"/>
    </xf>
    <xf numFmtId="0" fontId="83" fillId="0" borderId="1" xfId="1" applyFont="1" applyBorder="1"/>
    <xf numFmtId="0" fontId="87" fillId="0" borderId="0" xfId="1" applyFont="1" applyProtection="1">
      <protection locked="0"/>
    </xf>
    <xf numFmtId="0" fontId="21" fillId="0" borderId="0" xfId="1" applyFont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82" fillId="0" borderId="2" xfId="1" applyFont="1" applyBorder="1" applyAlignment="1" applyProtection="1">
      <alignment horizontal="center" vertical="center"/>
      <protection locked="0"/>
    </xf>
    <xf numFmtId="0" fontId="81" fillId="0" borderId="0" xfId="0" applyFont="1" applyAlignment="1">
      <alignment horizontal="center" vertical="top"/>
    </xf>
    <xf numFmtId="167" fontId="32" fillId="0" borderId="0" xfId="1" applyNumberFormat="1" applyFont="1" applyAlignment="1">
      <alignment horizontal="center" vertical="center"/>
    </xf>
    <xf numFmtId="165" fontId="34" fillId="0" borderId="12" xfId="1" applyNumberFormat="1" applyFont="1" applyBorder="1" applyAlignment="1">
      <alignment horizontal="center" vertical="center"/>
    </xf>
    <xf numFmtId="165" fontId="34" fillId="0" borderId="13" xfId="1" applyNumberFormat="1" applyFont="1" applyBorder="1" applyAlignment="1">
      <alignment horizontal="center" vertical="center"/>
    </xf>
    <xf numFmtId="1" fontId="37" fillId="0" borderId="11" xfId="1" applyNumberFormat="1" applyFont="1" applyBorder="1" applyAlignment="1">
      <alignment horizontal="center" vertical="center"/>
    </xf>
    <xf numFmtId="1" fontId="37" fillId="0" borderId="12" xfId="1" applyNumberFormat="1" applyFont="1" applyBorder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21" fillId="3" borderId="0" xfId="1" applyFont="1" applyFill="1" applyAlignment="1">
      <alignment horizontal="center"/>
    </xf>
    <xf numFmtId="0" fontId="14" fillId="3" borderId="0" xfId="1" applyFont="1" applyFill="1" applyAlignment="1">
      <alignment horizontal="center"/>
    </xf>
    <xf numFmtId="0" fontId="8" fillId="3" borderId="1" xfId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horizontal="left"/>
    </xf>
    <xf numFmtId="0" fontId="4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top"/>
    </xf>
    <xf numFmtId="0" fontId="34" fillId="4" borderId="0" xfId="1" applyFont="1" applyFill="1" applyAlignment="1">
      <alignment horizontal="left"/>
    </xf>
    <xf numFmtId="0" fontId="34" fillId="4" borderId="56" xfId="1" applyFont="1" applyFill="1" applyBorder="1" applyAlignment="1">
      <alignment horizontal="center" vertical="center"/>
    </xf>
    <xf numFmtId="0" fontId="34" fillId="4" borderId="32" xfId="1" applyFont="1" applyFill="1" applyBorder="1" applyAlignment="1">
      <alignment horizontal="center" vertical="center"/>
    </xf>
    <xf numFmtId="0" fontId="34" fillId="4" borderId="64" xfId="1" applyFont="1" applyFill="1" applyBorder="1" applyAlignment="1">
      <alignment horizontal="center" vertical="center"/>
    </xf>
    <xf numFmtId="0" fontId="34" fillId="4" borderId="62" xfId="1" applyFont="1" applyFill="1" applyBorder="1" applyAlignment="1">
      <alignment horizontal="center" vertical="center"/>
    </xf>
    <xf numFmtId="49" fontId="22" fillId="0" borderId="62" xfId="1" applyNumberFormat="1" applyFont="1" applyBorder="1" applyAlignment="1" applyProtection="1">
      <alignment horizontal="center" vertical="top" wrapText="1"/>
      <protection locked="0"/>
    </xf>
    <xf numFmtId="49" fontId="22" fillId="0" borderId="32" xfId="1" applyNumberFormat="1" applyFont="1" applyBorder="1" applyAlignment="1" applyProtection="1">
      <alignment horizontal="center" vertical="top" wrapText="1"/>
      <protection locked="0"/>
    </xf>
    <xf numFmtId="4" fontId="22" fillId="0" borderId="32" xfId="1" applyNumberFormat="1" applyFont="1" applyBorder="1" applyAlignment="1" applyProtection="1">
      <alignment horizontal="center" vertical="center"/>
      <protection locked="0"/>
    </xf>
    <xf numFmtId="4" fontId="22" fillId="0" borderId="57" xfId="1" applyNumberFormat="1" applyFont="1" applyBorder="1" applyAlignment="1" applyProtection="1">
      <alignment horizontal="center" vertical="center"/>
      <protection locked="0"/>
    </xf>
    <xf numFmtId="49" fontId="22" fillId="0" borderId="62" xfId="1" applyNumberFormat="1" applyFont="1" applyBorder="1" applyAlignment="1" applyProtection="1">
      <alignment horizontal="center" vertical="center" wrapText="1"/>
      <protection locked="0"/>
    </xf>
    <xf numFmtId="49" fontId="22" fillId="0" borderId="32" xfId="1" applyNumberFormat="1" applyFont="1" applyBorder="1" applyAlignment="1" applyProtection="1">
      <alignment horizontal="center" vertical="center" wrapText="1"/>
      <protection locked="0"/>
    </xf>
    <xf numFmtId="43" fontId="22" fillId="0" borderId="62" xfId="2" applyFont="1" applyBorder="1" applyAlignment="1" applyProtection="1">
      <alignment horizontal="center" vertical="center"/>
      <protection locked="0"/>
    </xf>
    <xf numFmtId="43" fontId="22" fillId="0" borderId="32" xfId="2" applyFont="1" applyBorder="1" applyAlignment="1" applyProtection="1">
      <alignment horizontal="center" vertical="center"/>
      <protection locked="0"/>
    </xf>
    <xf numFmtId="14" fontId="22" fillId="0" borderId="32" xfId="1" applyNumberFormat="1" applyFont="1" applyBorder="1" applyAlignment="1" applyProtection="1">
      <alignment horizontal="center" vertical="center"/>
      <protection locked="0"/>
    </xf>
    <xf numFmtId="20" fontId="22" fillId="0" borderId="32" xfId="1" applyNumberFormat="1" applyFont="1" applyBorder="1" applyAlignment="1" applyProtection="1">
      <alignment horizontal="center" vertical="center"/>
      <protection locked="0"/>
    </xf>
    <xf numFmtId="4" fontId="34" fillId="0" borderId="32" xfId="1" applyNumberFormat="1" applyFont="1" applyBorder="1" applyAlignment="1" applyProtection="1">
      <alignment horizontal="center" vertical="center"/>
      <protection locked="0"/>
    </xf>
    <xf numFmtId="0" fontId="87" fillId="0" borderId="2" xfId="1" applyFont="1" applyBorder="1" applyAlignment="1" applyProtection="1">
      <alignment horizontal="center"/>
      <protection locked="0"/>
    </xf>
    <xf numFmtId="0" fontId="22" fillId="0" borderId="2" xfId="1" applyFont="1" applyBorder="1" applyAlignment="1">
      <alignment horizontal="center"/>
    </xf>
    <xf numFmtId="20" fontId="34" fillId="0" borderId="32" xfId="1" applyNumberFormat="1" applyFont="1" applyBorder="1" applyAlignment="1" applyProtection="1">
      <alignment horizontal="center" vertical="center"/>
      <protection locked="0"/>
    </xf>
    <xf numFmtId="20" fontId="34" fillId="0" borderId="57" xfId="1" applyNumberFormat="1" applyFont="1" applyBorder="1" applyAlignment="1" applyProtection="1">
      <alignment horizontal="center" vertical="center"/>
      <protection locked="0"/>
    </xf>
    <xf numFmtId="4" fontId="34" fillId="0" borderId="57" xfId="1" applyNumberFormat="1" applyFont="1" applyBorder="1" applyAlignment="1" applyProtection="1">
      <alignment horizontal="center" vertical="center"/>
      <protection locked="0"/>
    </xf>
    <xf numFmtId="0" fontId="34" fillId="4" borderId="14" xfId="1" applyFont="1" applyFill="1" applyBorder="1" applyAlignment="1">
      <alignment horizontal="center" vertical="center"/>
    </xf>
    <xf numFmtId="0" fontId="34" fillId="4" borderId="15" xfId="1" applyFont="1" applyFill="1" applyBorder="1" applyAlignment="1">
      <alignment horizontal="center" vertical="center"/>
    </xf>
    <xf numFmtId="0" fontId="34" fillId="4" borderId="16" xfId="1" applyFont="1" applyFill="1" applyBorder="1" applyAlignment="1">
      <alignment horizontal="center" vertical="center"/>
    </xf>
    <xf numFmtId="0" fontId="34" fillId="4" borderId="22" xfId="1" applyFont="1" applyFill="1" applyBorder="1" applyAlignment="1">
      <alignment horizontal="center" vertical="center"/>
    </xf>
    <xf numFmtId="0" fontId="34" fillId="4" borderId="23" xfId="1" applyFont="1" applyFill="1" applyBorder="1" applyAlignment="1">
      <alignment horizontal="center" vertical="center"/>
    </xf>
    <xf numFmtId="0" fontId="34" fillId="4" borderId="24" xfId="1" applyFont="1" applyFill="1" applyBorder="1" applyAlignment="1">
      <alignment horizontal="center" vertical="center"/>
    </xf>
    <xf numFmtId="49" fontId="34" fillId="0" borderId="62" xfId="1" applyNumberFormat="1" applyFont="1" applyBorder="1" applyAlignment="1" applyProtection="1">
      <alignment horizontal="center" vertical="top" wrapText="1"/>
      <protection locked="0"/>
    </xf>
    <xf numFmtId="49" fontId="34" fillId="0" borderId="32" xfId="1" applyNumberFormat="1" applyFont="1" applyBorder="1" applyAlignment="1" applyProtection="1">
      <alignment horizontal="center" vertical="top" wrapText="1"/>
      <protection locked="0"/>
    </xf>
    <xf numFmtId="49" fontId="34" fillId="0" borderId="63" xfId="1" applyNumberFormat="1" applyFont="1" applyBorder="1" applyAlignment="1" applyProtection="1">
      <alignment horizontal="center" vertical="top" wrapText="1"/>
      <protection locked="0"/>
    </xf>
    <xf numFmtId="49" fontId="34" fillId="0" borderId="57" xfId="1" applyNumberFormat="1" applyFont="1" applyBorder="1" applyAlignment="1" applyProtection="1">
      <alignment horizontal="center" vertical="top" wrapText="1"/>
      <protection locked="0"/>
    </xf>
    <xf numFmtId="0" fontId="34" fillId="4" borderId="65" xfId="1" applyFont="1" applyFill="1" applyBorder="1" applyAlignment="1">
      <alignment horizontal="center" vertical="center"/>
    </xf>
    <xf numFmtId="0" fontId="34" fillId="4" borderId="39" xfId="1" applyFont="1" applyFill="1" applyBorder="1" applyAlignment="1">
      <alignment horizontal="center" vertical="center"/>
    </xf>
    <xf numFmtId="14" fontId="34" fillId="0" borderId="32" xfId="1" applyNumberFormat="1" applyFont="1" applyBorder="1" applyAlignment="1" applyProtection="1">
      <alignment horizontal="center" vertical="center"/>
      <protection locked="0"/>
    </xf>
    <xf numFmtId="14" fontId="34" fillId="0" borderId="57" xfId="1" applyNumberFormat="1" applyFont="1" applyBorder="1" applyAlignment="1" applyProtection="1">
      <alignment horizontal="center" vertical="center"/>
      <protection locked="0"/>
    </xf>
    <xf numFmtId="20" fontId="34" fillId="3" borderId="32" xfId="1" applyNumberFormat="1" applyFont="1" applyFill="1" applyBorder="1" applyAlignment="1" applyProtection="1">
      <alignment horizontal="center" vertical="center"/>
      <protection locked="0"/>
    </xf>
    <xf numFmtId="20" fontId="34" fillId="3" borderId="57" xfId="1" applyNumberFormat="1" applyFont="1" applyFill="1" applyBorder="1" applyAlignment="1" applyProtection="1">
      <alignment horizontal="center" vertical="center"/>
      <protection locked="0"/>
    </xf>
    <xf numFmtId="49" fontId="22" fillId="0" borderId="14" xfId="1" applyNumberFormat="1" applyFont="1" applyBorder="1" applyAlignment="1" applyProtection="1">
      <alignment horizontal="center" vertical="center" wrapText="1"/>
      <protection locked="0"/>
    </xf>
    <xf numFmtId="49" fontId="22" fillId="0" borderId="15" xfId="1" applyNumberFormat="1" applyFont="1" applyBorder="1" applyAlignment="1" applyProtection="1">
      <alignment horizontal="center" vertical="center" wrapText="1"/>
      <protection locked="0"/>
    </xf>
    <xf numFmtId="49" fontId="22" fillId="0" borderId="16" xfId="1" applyNumberFormat="1" applyFont="1" applyBorder="1" applyAlignment="1" applyProtection="1">
      <alignment horizontal="center" vertical="center" wrapText="1"/>
      <protection locked="0"/>
    </xf>
    <xf numFmtId="49" fontId="22" fillId="0" borderId="35" xfId="1" applyNumberFormat="1" applyFont="1" applyBorder="1" applyAlignment="1" applyProtection="1">
      <alignment horizontal="center" vertical="center" wrapText="1"/>
      <protection locked="0"/>
    </xf>
    <xf numFmtId="49" fontId="22" fillId="0" borderId="1" xfId="1" applyNumberFormat="1" applyFont="1" applyBorder="1" applyAlignment="1" applyProtection="1">
      <alignment horizontal="center" vertical="center" wrapText="1"/>
      <protection locked="0"/>
    </xf>
    <xf numFmtId="49" fontId="22" fillId="0" borderId="36" xfId="1" applyNumberFormat="1" applyFont="1" applyBorder="1" applyAlignment="1" applyProtection="1">
      <alignment horizontal="center" vertical="center" wrapText="1"/>
      <protection locked="0"/>
    </xf>
    <xf numFmtId="49" fontId="22" fillId="0" borderId="33" xfId="1" applyNumberFormat="1" applyFont="1" applyBorder="1" applyAlignment="1" applyProtection="1">
      <alignment horizontal="center" vertical="center" wrapText="1"/>
      <protection locked="0"/>
    </xf>
    <xf numFmtId="49" fontId="22" fillId="0" borderId="2" xfId="1" applyNumberFormat="1" applyFont="1" applyBorder="1" applyAlignment="1" applyProtection="1">
      <alignment horizontal="center" vertical="center" wrapText="1"/>
      <protection locked="0"/>
    </xf>
    <xf numFmtId="49" fontId="22" fillId="0" borderId="34" xfId="1" applyNumberFormat="1" applyFont="1" applyBorder="1" applyAlignment="1" applyProtection="1">
      <alignment horizontal="center" vertical="center" wrapText="1"/>
      <protection locked="0"/>
    </xf>
    <xf numFmtId="49" fontId="22" fillId="0" borderId="22" xfId="1" applyNumberFormat="1" applyFont="1" applyBorder="1" applyAlignment="1" applyProtection="1">
      <alignment horizontal="center" vertical="center" wrapText="1"/>
      <protection locked="0"/>
    </xf>
    <xf numFmtId="49" fontId="22" fillId="0" borderId="23" xfId="1" applyNumberFormat="1" applyFont="1" applyBorder="1" applyAlignment="1" applyProtection="1">
      <alignment horizontal="center" vertical="center" wrapText="1"/>
      <protection locked="0"/>
    </xf>
    <xf numFmtId="49" fontId="22" fillId="0" borderId="24" xfId="1" applyNumberFormat="1" applyFont="1" applyBorder="1" applyAlignment="1" applyProtection="1">
      <alignment horizontal="center" vertical="center" wrapText="1"/>
      <protection locked="0"/>
    </xf>
    <xf numFmtId="2" fontId="22" fillId="0" borderId="60" xfId="1" applyNumberFormat="1" applyFont="1" applyBorder="1" applyAlignment="1" applyProtection="1">
      <alignment horizontal="center" vertical="center"/>
      <protection locked="0"/>
    </xf>
    <xf numFmtId="2" fontId="22" fillId="0" borderId="61" xfId="1" applyNumberFormat="1" applyFont="1" applyBorder="1" applyAlignment="1" applyProtection="1">
      <alignment horizontal="center" vertical="center"/>
      <protection locked="0"/>
    </xf>
    <xf numFmtId="0" fontId="34" fillId="4" borderId="17" xfId="1" applyFont="1" applyFill="1" applyBorder="1" applyAlignment="1">
      <alignment horizontal="center" vertical="center"/>
    </xf>
    <xf numFmtId="0" fontId="34" fillId="4" borderId="25" xfId="1" applyFont="1" applyFill="1" applyBorder="1" applyAlignment="1">
      <alignment horizontal="center" vertical="center"/>
    </xf>
    <xf numFmtId="0" fontId="34" fillId="4" borderId="19" xfId="1" applyFont="1" applyFill="1" applyBorder="1" applyAlignment="1">
      <alignment horizontal="center" vertical="center"/>
    </xf>
    <xf numFmtId="0" fontId="34" fillId="4" borderId="27" xfId="1" applyFont="1" applyFill="1" applyBorder="1" applyAlignment="1">
      <alignment horizontal="center" vertical="center"/>
    </xf>
    <xf numFmtId="0" fontId="34" fillId="4" borderId="18" xfId="1" applyFont="1" applyFill="1" applyBorder="1" applyAlignment="1">
      <alignment horizontal="center" vertical="center"/>
    </xf>
    <xf numFmtId="0" fontId="34" fillId="4" borderId="26" xfId="1" applyFont="1" applyFill="1" applyBorder="1" applyAlignment="1">
      <alignment horizontal="center" vertical="center"/>
    </xf>
    <xf numFmtId="2" fontId="22" fillId="0" borderId="58" xfId="1" applyNumberFormat="1" applyFont="1" applyBorder="1" applyAlignment="1" applyProtection="1">
      <alignment horizontal="center" vertical="center"/>
      <protection locked="0"/>
    </xf>
    <xf numFmtId="2" fontId="22" fillId="0" borderId="59" xfId="1" applyNumberFormat="1" applyFont="1" applyBorder="1" applyAlignment="1" applyProtection="1">
      <alignment horizontal="center" vertical="center"/>
      <protection locked="0"/>
    </xf>
    <xf numFmtId="2" fontId="22" fillId="0" borderId="40" xfId="1" applyNumberFormat="1" applyFont="1" applyBorder="1" applyAlignment="1" applyProtection="1">
      <alignment horizontal="center" vertical="center"/>
      <protection locked="0"/>
    </xf>
    <xf numFmtId="2" fontId="22" fillId="0" borderId="42" xfId="1" applyNumberFormat="1" applyFont="1" applyBorder="1" applyAlignment="1" applyProtection="1">
      <alignment horizontal="center" vertical="center"/>
      <protection locked="0"/>
    </xf>
    <xf numFmtId="0" fontId="22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4" fontId="22" fillId="0" borderId="39" xfId="1" applyNumberFormat="1" applyFont="1" applyBorder="1" applyAlignment="1" applyProtection="1">
      <alignment horizontal="center" vertical="center"/>
      <protection locked="0"/>
    </xf>
    <xf numFmtId="4" fontId="34" fillId="0" borderId="39" xfId="1" applyNumberFormat="1" applyFont="1" applyBorder="1" applyAlignment="1" applyProtection="1">
      <alignment horizontal="center" vertical="center"/>
      <protection locked="0"/>
    </xf>
    <xf numFmtId="4" fontId="34" fillId="0" borderId="38" xfId="1" applyNumberFormat="1" applyFont="1" applyBorder="1" applyAlignment="1" applyProtection="1">
      <alignment horizontal="center" vertical="center"/>
      <protection locked="0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65" fontId="53" fillId="2" borderId="4" xfId="0" applyNumberFormat="1" applyFont="1" applyFill="1" applyBorder="1" applyAlignment="1">
      <alignment horizontal="center"/>
    </xf>
    <xf numFmtId="165" fontId="70" fillId="2" borderId="4" xfId="0" applyNumberFormat="1" applyFont="1" applyFill="1" applyBorder="1" applyAlignment="1">
      <alignment horizontal="center"/>
    </xf>
    <xf numFmtId="0" fontId="57" fillId="2" borderId="0" xfId="1" applyFont="1" applyFill="1" applyAlignment="1">
      <alignment horizontal="center"/>
    </xf>
    <xf numFmtId="0" fontId="59" fillId="8" borderId="40" xfId="1" applyFont="1" applyFill="1" applyBorder="1" applyAlignment="1">
      <alignment horizontal="left" vertical="justify"/>
    </xf>
    <xf numFmtId="0" fontId="59" fillId="8" borderId="41" xfId="1" applyFont="1" applyFill="1" applyBorder="1" applyAlignment="1">
      <alignment horizontal="left" vertical="justify"/>
    </xf>
    <xf numFmtId="0" fontId="59" fillId="8" borderId="42" xfId="1" applyFont="1" applyFill="1" applyBorder="1" applyAlignment="1">
      <alignment horizontal="left" vertical="justify"/>
    </xf>
    <xf numFmtId="0" fontId="59" fillId="8" borderId="40" xfId="1" applyFont="1" applyFill="1" applyBorder="1" applyAlignment="1">
      <alignment horizontal="left"/>
    </xf>
    <xf numFmtId="0" fontId="59" fillId="8" borderId="41" xfId="1" applyFont="1" applyFill="1" applyBorder="1" applyAlignment="1">
      <alignment horizontal="left"/>
    </xf>
    <xf numFmtId="0" fontId="59" fillId="8" borderId="42" xfId="1" applyFont="1" applyFill="1" applyBorder="1" applyAlignment="1">
      <alignment horizontal="left"/>
    </xf>
    <xf numFmtId="170" fontId="57" fillId="2" borderId="2" xfId="1" applyNumberFormat="1" applyFont="1" applyFill="1" applyBorder="1" applyAlignment="1">
      <alignment horizontal="left"/>
    </xf>
    <xf numFmtId="170" fontId="57" fillId="2" borderId="34" xfId="1" applyNumberFormat="1" applyFont="1" applyFill="1" applyBorder="1" applyAlignment="1">
      <alignment horizontal="left"/>
    </xf>
    <xf numFmtId="0" fontId="59" fillId="2" borderId="40" xfId="1" applyFont="1" applyFill="1" applyBorder="1" applyAlignment="1">
      <alignment horizontal="left" vertical="justify"/>
    </xf>
    <xf numFmtId="0" fontId="59" fillId="2" borderId="41" xfId="1" applyFont="1" applyFill="1" applyBorder="1" applyAlignment="1">
      <alignment horizontal="left" vertical="justify"/>
    </xf>
    <xf numFmtId="0" fontId="59" fillId="2" borderId="42" xfId="1" applyFont="1" applyFill="1" applyBorder="1" applyAlignment="1">
      <alignment horizontal="left" vertical="justify"/>
    </xf>
    <xf numFmtId="0" fontId="59" fillId="9" borderId="40" xfId="1" applyFont="1" applyFill="1" applyBorder="1" applyAlignment="1">
      <alignment horizontal="left"/>
    </xf>
    <xf numFmtId="0" fontId="59" fillId="9" borderId="41" xfId="1" applyFont="1" applyFill="1" applyBorder="1" applyAlignment="1">
      <alignment horizontal="left"/>
    </xf>
    <xf numFmtId="0" fontId="59" fillId="9" borderId="42" xfId="1" applyFont="1" applyFill="1" applyBorder="1" applyAlignment="1">
      <alignment horizontal="left"/>
    </xf>
    <xf numFmtId="0" fontId="57" fillId="2" borderId="2" xfId="1" applyFont="1" applyFill="1" applyBorder="1" applyAlignment="1">
      <alignment horizontal="left"/>
    </xf>
    <xf numFmtId="0" fontId="57" fillId="2" borderId="34" xfId="1" applyFont="1" applyFill="1" applyBorder="1" applyAlignment="1">
      <alignment horizontal="left"/>
    </xf>
    <xf numFmtId="0" fontId="57" fillId="2" borderId="0" xfId="1" applyFont="1" applyFill="1" applyAlignment="1">
      <alignment horizontal="left"/>
    </xf>
    <xf numFmtId="0" fontId="57" fillId="2" borderId="28" xfId="1" applyFont="1" applyFill="1" applyBorder="1" applyAlignment="1">
      <alignment horizontal="left"/>
    </xf>
    <xf numFmtId="0" fontId="57" fillId="2" borderId="0" xfId="1" applyFont="1" applyFill="1" applyAlignment="1">
      <alignment horizontal="justify" vertical="justify"/>
    </xf>
    <xf numFmtId="0" fontId="55" fillId="2" borderId="0" xfId="1" applyFont="1" applyFill="1" applyAlignment="1">
      <alignment horizontal="center"/>
    </xf>
  </cellXfs>
  <cellStyles count="5">
    <cellStyle name="Comma" xfId="2" builtinId="3"/>
    <cellStyle name="Normal" xfId="0" builtinId="0"/>
    <cellStyle name="Normal 2" xfId="1" xr:uid="{A3DB2220-F653-4995-909D-F41CE7AF35B9}"/>
    <cellStyle name="Normale_HEBEI PRINCESS" xfId="3" xr:uid="{CF65316B-CAD1-4CFC-8754-7682A6CEAD6D}"/>
    <cellStyle name="Normale_NODA STAR DISCH. F.O." xfId="4" xr:uid="{2F0FCC7B-2AF6-4803-916C-A9AFC0613EE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37037</xdr:colOff>
      <xdr:row>34</xdr:row>
      <xdr:rowOff>178248</xdr:rowOff>
    </xdr:from>
    <xdr:to>
      <xdr:col>1</xdr:col>
      <xdr:colOff>410860</xdr:colOff>
      <xdr:row>39</xdr:row>
      <xdr:rowOff>107082</xdr:rowOff>
    </xdr:to>
    <xdr:pic>
      <xdr:nvPicPr>
        <xdr:cNvPr id="4" name="38 Imagen">
          <a:extLst>
            <a:ext uri="{FF2B5EF4-FFF2-40B4-BE49-F238E27FC236}">
              <a16:creationId xmlns:a16="http://schemas.microsoft.com/office/drawing/2014/main" id="{76E50092-CD3A-4EFF-AA8C-BEFDACE3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37037" y="8214690"/>
          <a:ext cx="1206707" cy="11161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121005</xdr:colOff>
      <xdr:row>42</xdr:row>
      <xdr:rowOff>214352</xdr:rowOff>
    </xdr:from>
    <xdr:to>
      <xdr:col>9</xdr:col>
      <xdr:colOff>109213</xdr:colOff>
      <xdr:row>44</xdr:row>
      <xdr:rowOff>20137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50297897-F32D-4A90-B7CC-F62611BEB49A}"/>
            </a:ext>
          </a:extLst>
        </xdr:cNvPr>
        <xdr:cNvSpPr txBox="1">
          <a:spLocks noChangeArrowheads="1"/>
        </xdr:cNvSpPr>
      </xdr:nvSpPr>
      <xdr:spPr bwMode="auto">
        <a:xfrm>
          <a:off x="1530705" y="10479581"/>
          <a:ext cx="5913455" cy="25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8</xdr:col>
      <xdr:colOff>60520</xdr:colOff>
      <xdr:row>29</xdr:row>
      <xdr:rowOff>161571</xdr:rowOff>
    </xdr:from>
    <xdr:to>
      <xdr:col>9</xdr:col>
      <xdr:colOff>341435</xdr:colOff>
      <xdr:row>29</xdr:row>
      <xdr:rowOff>161571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1CC3A02F-9849-43AE-ABAD-DFC2533CE8DB}"/>
            </a:ext>
          </a:extLst>
        </xdr:cNvPr>
        <xdr:cNvSpPr>
          <a:spLocks noChangeShapeType="1"/>
        </xdr:cNvSpPr>
      </xdr:nvSpPr>
      <xdr:spPr bwMode="auto">
        <a:xfrm flipV="1">
          <a:off x="6816625" y="7305321"/>
          <a:ext cx="657484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248049</xdr:colOff>
      <xdr:row>29</xdr:row>
      <xdr:rowOff>188644</xdr:rowOff>
    </xdr:from>
    <xdr:to>
      <xdr:col>3</xdr:col>
      <xdr:colOff>292157</xdr:colOff>
      <xdr:row>29</xdr:row>
      <xdr:rowOff>188644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251A135F-2AA4-491B-95E2-618F375204AE}"/>
            </a:ext>
          </a:extLst>
        </xdr:cNvPr>
        <xdr:cNvSpPr>
          <a:spLocks noChangeShapeType="1"/>
        </xdr:cNvSpPr>
      </xdr:nvSpPr>
      <xdr:spPr bwMode="auto">
        <a:xfrm>
          <a:off x="3116625" y="7332394"/>
          <a:ext cx="764020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77529</xdr:colOff>
      <xdr:row>1</xdr:row>
      <xdr:rowOff>566277</xdr:rowOff>
    </xdr:to>
    <xdr:pic>
      <xdr:nvPicPr>
        <xdr:cNvPr id="11" name="Picture 77">
          <a:extLst>
            <a:ext uri="{FF2B5EF4-FFF2-40B4-BE49-F238E27FC236}">
              <a16:creationId xmlns:a16="http://schemas.microsoft.com/office/drawing/2014/main" id="{C1FC7FB7-8496-4FEA-85CC-9C41C9949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633" y="0"/>
          <a:ext cx="4159338" cy="732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68140</xdr:colOff>
      <xdr:row>30</xdr:row>
      <xdr:rowOff>152400</xdr:rowOff>
    </xdr:from>
    <xdr:to>
      <xdr:col>9</xdr:col>
      <xdr:colOff>341435</xdr:colOff>
      <xdr:row>30</xdr:row>
      <xdr:rowOff>152400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C266EB9D-E1F3-497E-851F-9AE530E371D3}"/>
            </a:ext>
          </a:extLst>
        </xdr:cNvPr>
        <xdr:cNvSpPr>
          <a:spLocks noChangeShapeType="1"/>
        </xdr:cNvSpPr>
      </xdr:nvSpPr>
      <xdr:spPr bwMode="auto">
        <a:xfrm flipV="1">
          <a:off x="6828169" y="7336971"/>
          <a:ext cx="648852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240429</xdr:colOff>
      <xdr:row>30</xdr:row>
      <xdr:rowOff>166111</xdr:rowOff>
    </xdr:from>
    <xdr:to>
      <xdr:col>3</xdr:col>
      <xdr:colOff>299777</xdr:colOff>
      <xdr:row>30</xdr:row>
      <xdr:rowOff>166111</xdr:rowOff>
    </xdr:to>
    <xdr:sp macro="" textlink="">
      <xdr:nvSpPr>
        <xdr:cNvPr id="6" name="Line 8">
          <a:extLst>
            <a:ext uri="{FF2B5EF4-FFF2-40B4-BE49-F238E27FC236}">
              <a16:creationId xmlns:a16="http://schemas.microsoft.com/office/drawing/2014/main" id="{84349C46-BFAB-2392-CBCA-C9D3A5E51B09}"/>
            </a:ext>
          </a:extLst>
        </xdr:cNvPr>
        <xdr:cNvSpPr>
          <a:spLocks noChangeShapeType="1"/>
        </xdr:cNvSpPr>
      </xdr:nvSpPr>
      <xdr:spPr bwMode="auto">
        <a:xfrm>
          <a:off x="3119700" y="7579282"/>
          <a:ext cx="783248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  <xdr:twoCellAnchor>
    <xdr:from>
      <xdr:col>2</xdr:col>
      <xdr:colOff>248049</xdr:colOff>
      <xdr:row>29</xdr:row>
      <xdr:rowOff>188644</xdr:rowOff>
    </xdr:from>
    <xdr:to>
      <xdr:col>3</xdr:col>
      <xdr:colOff>292157</xdr:colOff>
      <xdr:row>29</xdr:row>
      <xdr:rowOff>188644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id="{6F9B835C-65DB-4B3A-B910-18C58BA6FD91}"/>
            </a:ext>
          </a:extLst>
        </xdr:cNvPr>
        <xdr:cNvSpPr>
          <a:spLocks noChangeShapeType="1"/>
        </xdr:cNvSpPr>
      </xdr:nvSpPr>
      <xdr:spPr bwMode="auto">
        <a:xfrm>
          <a:off x="3116625" y="7332394"/>
          <a:ext cx="764020" cy="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7</xdr:col>
      <xdr:colOff>131885</xdr:colOff>
      <xdr:row>2</xdr:row>
      <xdr:rowOff>285472</xdr:rowOff>
    </xdr:to>
    <xdr:pic>
      <xdr:nvPicPr>
        <xdr:cNvPr id="7" name="Picture 77">
          <a:extLst>
            <a:ext uri="{FF2B5EF4-FFF2-40B4-BE49-F238E27FC236}">
              <a16:creationId xmlns:a16="http://schemas.microsoft.com/office/drawing/2014/main" id="{DFBBEB78-396E-43CC-A975-9053BC34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04" y="2"/>
          <a:ext cx="3782208" cy="710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19071</xdr:colOff>
      <xdr:row>34</xdr:row>
      <xdr:rowOff>100299</xdr:rowOff>
    </xdr:from>
    <xdr:to>
      <xdr:col>2</xdr:col>
      <xdr:colOff>640213</xdr:colOff>
      <xdr:row>40</xdr:row>
      <xdr:rowOff>76334</xdr:rowOff>
    </xdr:to>
    <xdr:pic>
      <xdr:nvPicPr>
        <xdr:cNvPr id="8" name="38 Imagen">
          <a:extLst>
            <a:ext uri="{FF2B5EF4-FFF2-40B4-BE49-F238E27FC236}">
              <a16:creationId xmlns:a16="http://schemas.microsoft.com/office/drawing/2014/main" id="{123CF994-B2CD-4481-900A-FDDE4927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469645" y="6169795"/>
          <a:ext cx="1124725" cy="969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141204</xdr:colOff>
      <xdr:row>43</xdr:row>
      <xdr:rowOff>58264</xdr:rowOff>
    </xdr:from>
    <xdr:to>
      <xdr:col>9</xdr:col>
      <xdr:colOff>784427</xdr:colOff>
      <xdr:row>44</xdr:row>
      <xdr:rowOff>132262</xdr:rowOff>
    </xdr:to>
    <xdr:sp macro="" textlink="">
      <xdr:nvSpPr>
        <xdr:cNvPr id="2" name="Text Box 29">
          <a:extLst>
            <a:ext uri="{FF2B5EF4-FFF2-40B4-BE49-F238E27FC236}">
              <a16:creationId xmlns:a16="http://schemas.microsoft.com/office/drawing/2014/main" id="{2B57CEE7-E9E0-4D15-80E4-68E21C696F84}"/>
            </a:ext>
          </a:extLst>
        </xdr:cNvPr>
        <xdr:cNvSpPr txBox="1">
          <a:spLocks noChangeArrowheads="1"/>
        </xdr:cNvSpPr>
      </xdr:nvSpPr>
      <xdr:spPr bwMode="auto">
        <a:xfrm>
          <a:off x="587518" y="7743578"/>
          <a:ext cx="5919403" cy="2465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72672</xdr:colOff>
      <xdr:row>31</xdr:row>
      <xdr:rowOff>89545</xdr:rowOff>
    </xdr:from>
    <xdr:to>
      <xdr:col>2</xdr:col>
      <xdr:colOff>371243</xdr:colOff>
      <xdr:row>35</xdr:row>
      <xdr:rowOff>181719</xdr:rowOff>
    </xdr:to>
    <xdr:pic>
      <xdr:nvPicPr>
        <xdr:cNvPr id="6" name="38 Imagen">
          <a:extLst>
            <a:ext uri="{FF2B5EF4-FFF2-40B4-BE49-F238E27FC236}">
              <a16:creationId xmlns:a16="http://schemas.microsoft.com/office/drawing/2014/main" id="{E63B1914-B1EF-47B3-B743-4FDEE7B35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37179">
          <a:off x="1039826" y="6463968"/>
          <a:ext cx="943340" cy="846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0</xdr:row>
      <xdr:rowOff>1</xdr:rowOff>
    </xdr:from>
    <xdr:to>
      <xdr:col>5</xdr:col>
      <xdr:colOff>21772</xdr:colOff>
      <xdr:row>2</xdr:row>
      <xdr:rowOff>184758</xdr:rowOff>
    </xdr:to>
    <xdr:pic>
      <xdr:nvPicPr>
        <xdr:cNvPr id="8" name="Picture 77">
          <a:extLst>
            <a:ext uri="{FF2B5EF4-FFF2-40B4-BE49-F238E27FC236}">
              <a16:creationId xmlns:a16="http://schemas.microsoft.com/office/drawing/2014/main" id="{F2F4389E-1CF6-4DDD-8FC8-2EA2AF764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3113314" cy="60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337464</xdr:colOff>
      <xdr:row>38</xdr:row>
      <xdr:rowOff>114300</xdr:rowOff>
    </xdr:from>
    <xdr:to>
      <xdr:col>10</xdr:col>
      <xdr:colOff>31315</xdr:colOff>
      <xdr:row>40</xdr:row>
      <xdr:rowOff>59870</xdr:rowOff>
    </xdr:to>
    <xdr:sp macro="" textlink="">
      <xdr:nvSpPr>
        <xdr:cNvPr id="2" name="Text Box 29">
          <a:extLst>
            <a:ext uri="{FF2B5EF4-FFF2-40B4-BE49-F238E27FC236}">
              <a16:creationId xmlns:a16="http://schemas.microsoft.com/office/drawing/2014/main" id="{0591DD87-9CAD-4600-B886-079DE0E634AD}"/>
            </a:ext>
          </a:extLst>
        </xdr:cNvPr>
        <xdr:cNvSpPr txBox="1">
          <a:spLocks noChangeArrowheads="1"/>
        </xdr:cNvSpPr>
      </xdr:nvSpPr>
      <xdr:spPr bwMode="auto">
        <a:xfrm>
          <a:off x="674921" y="7810500"/>
          <a:ext cx="5921296" cy="228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s-MX" sz="1000">
              <a:effectLst/>
              <a:latin typeface="Palatino Linotype" panose="02040502050505030304" pitchFamily="18" charset="0"/>
              <a:ea typeface="+mn-ea"/>
              <a:cs typeface="+mn-cs"/>
            </a:rPr>
            <a:t>   Head Office – Alajuela, Plaza Aeropuerto local G-14 - Phone (506) 8814-07-84 – Tele (506) 4052-8382</a:t>
          </a:r>
          <a:endParaRPr lang="es-CR" sz="1000">
            <a:effectLst/>
            <a:latin typeface="Palatino Linotype" panose="02040502050505030304" pitchFamily="18" charset="0"/>
            <a:ea typeface="+mn-ea"/>
            <a:cs typeface="+mn-cs"/>
          </a:endParaRPr>
        </a:p>
        <a:p>
          <a:pPr algn="l" rtl="1">
            <a:lnSpc>
              <a:spcPts val="600"/>
            </a:lnSpc>
            <a:defRPr sz="1000"/>
          </a:pPr>
          <a:endParaRPr lang="es-CO" sz="900" b="0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167640</xdr:colOff>
      <xdr:row>3</xdr:row>
      <xdr:rowOff>15240</xdr:rowOff>
    </xdr:to>
    <xdr:pic>
      <xdr:nvPicPr>
        <xdr:cNvPr id="2" name="Picture 77">
          <a:extLst>
            <a:ext uri="{FF2B5EF4-FFF2-40B4-BE49-F238E27FC236}">
              <a16:creationId xmlns:a16="http://schemas.microsoft.com/office/drawing/2014/main" id="{147486A3-D677-45D3-8A5A-96748598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13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7BDF-D8F2-4742-B8BF-398339C4249B}">
  <dimension ref="A1:N44"/>
  <sheetViews>
    <sheetView tabSelected="1" topLeftCell="A6" zoomScale="86" zoomScaleNormal="86" zoomScaleSheetLayoutView="25" workbookViewId="0">
      <selection activeCell="K38" sqref="K38"/>
    </sheetView>
  </sheetViews>
  <sheetFormatPr defaultColWidth="10.6640625" defaultRowHeight="14.4"/>
  <cols>
    <col min="1" max="1" width="12.109375" style="3" customWidth="1"/>
    <col min="2" max="2" width="21.44140625" style="3" customWidth="1"/>
    <col min="3" max="3" width="10.5546875" style="3" customWidth="1"/>
    <col min="4" max="4" width="8.44140625" style="3" customWidth="1"/>
    <col min="5" max="5" width="6.44140625" style="3" customWidth="1"/>
    <col min="6" max="6" width="11.88671875" style="3" customWidth="1"/>
    <col min="7" max="7" width="10.77734375" style="3" bestFit="1" customWidth="1"/>
    <col min="8" max="8" width="11.44140625" style="3" customWidth="1"/>
    <col min="9" max="9" width="5.44140625" style="3" customWidth="1"/>
    <col min="10" max="10" width="11.88671875" style="3" customWidth="1"/>
    <col min="11" max="11" width="4.109375" style="3" customWidth="1"/>
    <col min="12" max="12" width="2.6640625" style="3" customWidth="1"/>
    <col min="13" max="181" width="11.44140625" style="3"/>
    <col min="182" max="182" width="8.44140625" style="3" customWidth="1"/>
    <col min="183" max="183" width="12.109375" style="3" customWidth="1"/>
    <col min="184" max="184" width="21.44140625" style="3" customWidth="1"/>
    <col min="185" max="185" width="10.5546875" style="3" customWidth="1"/>
    <col min="186" max="186" width="8.44140625" style="3" customWidth="1"/>
    <col min="187" max="187" width="6.44140625" style="3" customWidth="1"/>
    <col min="188" max="188" width="11.88671875" style="3" customWidth="1"/>
    <col min="189" max="189" width="7.88671875" style="3" customWidth="1"/>
    <col min="190" max="190" width="11.44140625" style="3"/>
    <col min="191" max="191" width="5.44140625" style="3" customWidth="1"/>
    <col min="192" max="192" width="11.88671875" style="3" customWidth="1"/>
    <col min="193" max="193" width="4.109375" style="3" customWidth="1"/>
    <col min="194" max="194" width="2.6640625" style="3" customWidth="1"/>
    <col min="195" max="195" width="45.109375" style="3" bestFit="1" customWidth="1"/>
    <col min="196" max="196" width="7.44140625" style="3" bestFit="1" customWidth="1"/>
    <col min="197" max="437" width="11.44140625" style="3"/>
    <col min="438" max="438" width="8.44140625" style="3" customWidth="1"/>
    <col min="439" max="439" width="12.109375" style="3" customWidth="1"/>
    <col min="440" max="440" width="21.44140625" style="3" customWidth="1"/>
    <col min="441" max="441" width="10.5546875" style="3" customWidth="1"/>
    <col min="442" max="442" width="8.44140625" style="3" customWidth="1"/>
    <col min="443" max="443" width="6.44140625" style="3" customWidth="1"/>
    <col min="444" max="444" width="11.88671875" style="3" customWidth="1"/>
    <col min="445" max="445" width="7.88671875" style="3" customWidth="1"/>
    <col min="446" max="446" width="11.44140625" style="3"/>
    <col min="447" max="447" width="5.44140625" style="3" customWidth="1"/>
    <col min="448" max="448" width="11.88671875" style="3" customWidth="1"/>
    <col min="449" max="449" width="4.109375" style="3" customWidth="1"/>
    <col min="450" max="450" width="2.6640625" style="3" customWidth="1"/>
    <col min="451" max="451" width="45.109375" style="3" bestFit="1" customWidth="1"/>
    <col min="452" max="452" width="7.44140625" style="3" bestFit="1" customWidth="1"/>
    <col min="453" max="693" width="11.44140625" style="3"/>
    <col min="694" max="694" width="8.44140625" style="3" customWidth="1"/>
    <col min="695" max="695" width="12.109375" style="3" customWidth="1"/>
    <col min="696" max="696" width="21.44140625" style="3" customWidth="1"/>
    <col min="697" max="697" width="10.5546875" style="3" customWidth="1"/>
    <col min="698" max="698" width="8.44140625" style="3" customWidth="1"/>
    <col min="699" max="699" width="6.44140625" style="3" customWidth="1"/>
    <col min="700" max="700" width="11.88671875" style="3" customWidth="1"/>
    <col min="701" max="701" width="7.88671875" style="3" customWidth="1"/>
    <col min="702" max="702" width="11.44140625" style="3"/>
    <col min="703" max="703" width="5.44140625" style="3" customWidth="1"/>
    <col min="704" max="704" width="11.88671875" style="3" customWidth="1"/>
    <col min="705" max="705" width="4.109375" style="3" customWidth="1"/>
    <col min="706" max="706" width="2.6640625" style="3" customWidth="1"/>
    <col min="707" max="707" width="45.109375" style="3" bestFit="1" customWidth="1"/>
    <col min="708" max="708" width="7.44140625" style="3" bestFit="1" customWidth="1"/>
    <col min="709" max="949" width="11.44140625" style="3"/>
    <col min="950" max="950" width="8.44140625" style="3" customWidth="1"/>
    <col min="951" max="951" width="12.109375" style="3" customWidth="1"/>
    <col min="952" max="952" width="21.44140625" style="3" customWidth="1"/>
    <col min="953" max="953" width="10.5546875" style="3" customWidth="1"/>
    <col min="954" max="954" width="8.44140625" style="3" customWidth="1"/>
    <col min="955" max="955" width="6.44140625" style="3" customWidth="1"/>
    <col min="956" max="956" width="11.88671875" style="3" customWidth="1"/>
    <col min="957" max="957" width="7.88671875" style="3" customWidth="1"/>
    <col min="958" max="958" width="11.44140625" style="3"/>
    <col min="959" max="959" width="5.44140625" style="3" customWidth="1"/>
    <col min="960" max="960" width="11.88671875" style="3" customWidth="1"/>
    <col min="961" max="961" width="4.109375" style="3" customWidth="1"/>
    <col min="962" max="962" width="2.6640625" style="3" customWidth="1"/>
    <col min="963" max="963" width="45.109375" style="3" bestFit="1" customWidth="1"/>
    <col min="964" max="964" width="7.44140625" style="3" bestFit="1" customWidth="1"/>
    <col min="965" max="1205" width="11.44140625" style="3"/>
    <col min="1206" max="1206" width="8.44140625" style="3" customWidth="1"/>
    <col min="1207" max="1207" width="12.109375" style="3" customWidth="1"/>
    <col min="1208" max="1208" width="21.44140625" style="3" customWidth="1"/>
    <col min="1209" max="1209" width="10.5546875" style="3" customWidth="1"/>
    <col min="1210" max="1210" width="8.44140625" style="3" customWidth="1"/>
    <col min="1211" max="1211" width="6.44140625" style="3" customWidth="1"/>
    <col min="1212" max="1212" width="11.88671875" style="3" customWidth="1"/>
    <col min="1213" max="1213" width="7.88671875" style="3" customWidth="1"/>
    <col min="1214" max="1214" width="11.44140625" style="3"/>
    <col min="1215" max="1215" width="5.44140625" style="3" customWidth="1"/>
    <col min="1216" max="1216" width="11.88671875" style="3" customWidth="1"/>
    <col min="1217" max="1217" width="4.109375" style="3" customWidth="1"/>
    <col min="1218" max="1218" width="2.6640625" style="3" customWidth="1"/>
    <col min="1219" max="1219" width="45.109375" style="3" bestFit="1" customWidth="1"/>
    <col min="1220" max="1220" width="7.44140625" style="3" bestFit="1" customWidth="1"/>
    <col min="1221" max="1461" width="11.44140625" style="3"/>
    <col min="1462" max="1462" width="8.44140625" style="3" customWidth="1"/>
    <col min="1463" max="1463" width="12.109375" style="3" customWidth="1"/>
    <col min="1464" max="1464" width="21.44140625" style="3" customWidth="1"/>
    <col min="1465" max="1465" width="10.5546875" style="3" customWidth="1"/>
    <col min="1466" max="1466" width="8.44140625" style="3" customWidth="1"/>
    <col min="1467" max="1467" width="6.44140625" style="3" customWidth="1"/>
    <col min="1468" max="1468" width="11.88671875" style="3" customWidth="1"/>
    <col min="1469" max="1469" width="7.88671875" style="3" customWidth="1"/>
    <col min="1470" max="1470" width="11.44140625" style="3"/>
    <col min="1471" max="1471" width="5.44140625" style="3" customWidth="1"/>
    <col min="1472" max="1472" width="11.88671875" style="3" customWidth="1"/>
    <col min="1473" max="1473" width="4.109375" style="3" customWidth="1"/>
    <col min="1474" max="1474" width="2.6640625" style="3" customWidth="1"/>
    <col min="1475" max="1475" width="45.109375" style="3" bestFit="1" customWidth="1"/>
    <col min="1476" max="1476" width="7.44140625" style="3" bestFit="1" customWidth="1"/>
    <col min="1477" max="1717" width="11.44140625" style="3"/>
    <col min="1718" max="1718" width="8.44140625" style="3" customWidth="1"/>
    <col min="1719" max="1719" width="12.109375" style="3" customWidth="1"/>
    <col min="1720" max="1720" width="21.44140625" style="3" customWidth="1"/>
    <col min="1721" max="1721" width="10.5546875" style="3" customWidth="1"/>
    <col min="1722" max="1722" width="8.44140625" style="3" customWidth="1"/>
    <col min="1723" max="1723" width="6.44140625" style="3" customWidth="1"/>
    <col min="1724" max="1724" width="11.88671875" style="3" customWidth="1"/>
    <col min="1725" max="1725" width="7.88671875" style="3" customWidth="1"/>
    <col min="1726" max="1726" width="11.44140625" style="3"/>
    <col min="1727" max="1727" width="5.44140625" style="3" customWidth="1"/>
    <col min="1728" max="1728" width="11.88671875" style="3" customWidth="1"/>
    <col min="1729" max="1729" width="4.109375" style="3" customWidth="1"/>
    <col min="1730" max="1730" width="2.6640625" style="3" customWidth="1"/>
    <col min="1731" max="1731" width="45.109375" style="3" bestFit="1" customWidth="1"/>
    <col min="1732" max="1732" width="7.44140625" style="3" bestFit="1" customWidth="1"/>
    <col min="1733" max="1973" width="11.44140625" style="3"/>
    <col min="1974" max="1974" width="8.44140625" style="3" customWidth="1"/>
    <col min="1975" max="1975" width="12.109375" style="3" customWidth="1"/>
    <col min="1976" max="1976" width="21.44140625" style="3" customWidth="1"/>
    <col min="1977" max="1977" width="10.5546875" style="3" customWidth="1"/>
    <col min="1978" max="1978" width="8.44140625" style="3" customWidth="1"/>
    <col min="1979" max="1979" width="6.44140625" style="3" customWidth="1"/>
    <col min="1980" max="1980" width="11.88671875" style="3" customWidth="1"/>
    <col min="1981" max="1981" width="7.88671875" style="3" customWidth="1"/>
    <col min="1982" max="1982" width="11.44140625" style="3"/>
    <col min="1983" max="1983" width="5.44140625" style="3" customWidth="1"/>
    <col min="1984" max="1984" width="11.88671875" style="3" customWidth="1"/>
    <col min="1985" max="1985" width="4.109375" style="3" customWidth="1"/>
    <col min="1986" max="1986" width="2.6640625" style="3" customWidth="1"/>
    <col min="1987" max="1987" width="45.109375" style="3" bestFit="1" customWidth="1"/>
    <col min="1988" max="1988" width="7.44140625" style="3" bestFit="1" customWidth="1"/>
    <col min="1989" max="2229" width="11.44140625" style="3"/>
    <col min="2230" max="2230" width="8.44140625" style="3" customWidth="1"/>
    <col min="2231" max="2231" width="12.109375" style="3" customWidth="1"/>
    <col min="2232" max="2232" width="21.44140625" style="3" customWidth="1"/>
    <col min="2233" max="2233" width="10.5546875" style="3" customWidth="1"/>
    <col min="2234" max="2234" width="8.44140625" style="3" customWidth="1"/>
    <col min="2235" max="2235" width="6.44140625" style="3" customWidth="1"/>
    <col min="2236" max="2236" width="11.88671875" style="3" customWidth="1"/>
    <col min="2237" max="2237" width="7.88671875" style="3" customWidth="1"/>
    <col min="2238" max="2238" width="11.44140625" style="3"/>
    <col min="2239" max="2239" width="5.44140625" style="3" customWidth="1"/>
    <col min="2240" max="2240" width="11.88671875" style="3" customWidth="1"/>
    <col min="2241" max="2241" width="4.109375" style="3" customWidth="1"/>
    <col min="2242" max="2242" width="2.6640625" style="3" customWidth="1"/>
    <col min="2243" max="2243" width="45.109375" style="3" bestFit="1" customWidth="1"/>
    <col min="2244" max="2244" width="7.44140625" style="3" bestFit="1" customWidth="1"/>
    <col min="2245" max="2485" width="11.44140625" style="3"/>
    <col min="2486" max="2486" width="8.44140625" style="3" customWidth="1"/>
    <col min="2487" max="2487" width="12.109375" style="3" customWidth="1"/>
    <col min="2488" max="2488" width="21.44140625" style="3" customWidth="1"/>
    <col min="2489" max="2489" width="10.5546875" style="3" customWidth="1"/>
    <col min="2490" max="2490" width="8.44140625" style="3" customWidth="1"/>
    <col min="2491" max="2491" width="6.44140625" style="3" customWidth="1"/>
    <col min="2492" max="2492" width="11.88671875" style="3" customWidth="1"/>
    <col min="2493" max="2493" width="7.88671875" style="3" customWidth="1"/>
    <col min="2494" max="2494" width="11.44140625" style="3"/>
    <col min="2495" max="2495" width="5.44140625" style="3" customWidth="1"/>
    <col min="2496" max="2496" width="11.88671875" style="3" customWidth="1"/>
    <col min="2497" max="2497" width="4.109375" style="3" customWidth="1"/>
    <col min="2498" max="2498" width="2.6640625" style="3" customWidth="1"/>
    <col min="2499" max="2499" width="45.109375" style="3" bestFit="1" customWidth="1"/>
    <col min="2500" max="2500" width="7.44140625" style="3" bestFit="1" customWidth="1"/>
    <col min="2501" max="2741" width="11.44140625" style="3"/>
    <col min="2742" max="2742" width="8.44140625" style="3" customWidth="1"/>
    <col min="2743" max="2743" width="12.109375" style="3" customWidth="1"/>
    <col min="2744" max="2744" width="21.44140625" style="3" customWidth="1"/>
    <col min="2745" max="2745" width="10.5546875" style="3" customWidth="1"/>
    <col min="2746" max="2746" width="8.44140625" style="3" customWidth="1"/>
    <col min="2747" max="2747" width="6.44140625" style="3" customWidth="1"/>
    <col min="2748" max="2748" width="11.88671875" style="3" customWidth="1"/>
    <col min="2749" max="2749" width="7.88671875" style="3" customWidth="1"/>
    <col min="2750" max="2750" width="11.44140625" style="3"/>
    <col min="2751" max="2751" width="5.44140625" style="3" customWidth="1"/>
    <col min="2752" max="2752" width="11.88671875" style="3" customWidth="1"/>
    <col min="2753" max="2753" width="4.109375" style="3" customWidth="1"/>
    <col min="2754" max="2754" width="2.6640625" style="3" customWidth="1"/>
    <col min="2755" max="2755" width="45.109375" style="3" bestFit="1" customWidth="1"/>
    <col min="2756" max="2756" width="7.44140625" style="3" bestFit="1" customWidth="1"/>
    <col min="2757" max="2997" width="11.44140625" style="3"/>
    <col min="2998" max="2998" width="8.44140625" style="3" customWidth="1"/>
    <col min="2999" max="2999" width="12.109375" style="3" customWidth="1"/>
    <col min="3000" max="3000" width="21.44140625" style="3" customWidth="1"/>
    <col min="3001" max="3001" width="10.5546875" style="3" customWidth="1"/>
    <col min="3002" max="3002" width="8.44140625" style="3" customWidth="1"/>
    <col min="3003" max="3003" width="6.44140625" style="3" customWidth="1"/>
    <col min="3004" max="3004" width="11.88671875" style="3" customWidth="1"/>
    <col min="3005" max="3005" width="7.88671875" style="3" customWidth="1"/>
    <col min="3006" max="3006" width="11.44140625" style="3"/>
    <col min="3007" max="3007" width="5.44140625" style="3" customWidth="1"/>
    <col min="3008" max="3008" width="11.88671875" style="3" customWidth="1"/>
    <col min="3009" max="3009" width="4.109375" style="3" customWidth="1"/>
    <col min="3010" max="3010" width="2.6640625" style="3" customWidth="1"/>
    <col min="3011" max="3011" width="45.109375" style="3" bestFit="1" customWidth="1"/>
    <col min="3012" max="3012" width="7.44140625" style="3" bestFit="1" customWidth="1"/>
    <col min="3013" max="3253" width="11.44140625" style="3"/>
    <col min="3254" max="3254" width="8.44140625" style="3" customWidth="1"/>
    <col min="3255" max="3255" width="12.109375" style="3" customWidth="1"/>
    <col min="3256" max="3256" width="21.44140625" style="3" customWidth="1"/>
    <col min="3257" max="3257" width="10.5546875" style="3" customWidth="1"/>
    <col min="3258" max="3258" width="8.44140625" style="3" customWidth="1"/>
    <col min="3259" max="3259" width="6.44140625" style="3" customWidth="1"/>
    <col min="3260" max="3260" width="11.88671875" style="3" customWidth="1"/>
    <col min="3261" max="3261" width="7.88671875" style="3" customWidth="1"/>
    <col min="3262" max="3262" width="11.44140625" style="3"/>
    <col min="3263" max="3263" width="5.44140625" style="3" customWidth="1"/>
    <col min="3264" max="3264" width="11.88671875" style="3" customWidth="1"/>
    <col min="3265" max="3265" width="4.109375" style="3" customWidth="1"/>
    <col min="3266" max="3266" width="2.6640625" style="3" customWidth="1"/>
    <col min="3267" max="3267" width="45.109375" style="3" bestFit="1" customWidth="1"/>
    <col min="3268" max="3268" width="7.44140625" style="3" bestFit="1" customWidth="1"/>
    <col min="3269" max="3509" width="11.44140625" style="3"/>
    <col min="3510" max="3510" width="8.44140625" style="3" customWidth="1"/>
    <col min="3511" max="3511" width="12.109375" style="3" customWidth="1"/>
    <col min="3512" max="3512" width="21.44140625" style="3" customWidth="1"/>
    <col min="3513" max="3513" width="10.5546875" style="3" customWidth="1"/>
    <col min="3514" max="3514" width="8.44140625" style="3" customWidth="1"/>
    <col min="3515" max="3515" width="6.44140625" style="3" customWidth="1"/>
    <col min="3516" max="3516" width="11.88671875" style="3" customWidth="1"/>
    <col min="3517" max="3517" width="7.88671875" style="3" customWidth="1"/>
    <col min="3518" max="3518" width="11.44140625" style="3"/>
    <col min="3519" max="3519" width="5.44140625" style="3" customWidth="1"/>
    <col min="3520" max="3520" width="11.88671875" style="3" customWidth="1"/>
    <col min="3521" max="3521" width="4.109375" style="3" customWidth="1"/>
    <col min="3522" max="3522" width="2.6640625" style="3" customWidth="1"/>
    <col min="3523" max="3523" width="45.109375" style="3" bestFit="1" customWidth="1"/>
    <col min="3524" max="3524" width="7.44140625" style="3" bestFit="1" customWidth="1"/>
    <col min="3525" max="3765" width="11.44140625" style="3"/>
    <col min="3766" max="3766" width="8.44140625" style="3" customWidth="1"/>
    <col min="3767" max="3767" width="12.109375" style="3" customWidth="1"/>
    <col min="3768" max="3768" width="21.44140625" style="3" customWidth="1"/>
    <col min="3769" max="3769" width="10.5546875" style="3" customWidth="1"/>
    <col min="3770" max="3770" width="8.44140625" style="3" customWidth="1"/>
    <col min="3771" max="3771" width="6.44140625" style="3" customWidth="1"/>
    <col min="3772" max="3772" width="11.88671875" style="3" customWidth="1"/>
    <col min="3773" max="3773" width="7.88671875" style="3" customWidth="1"/>
    <col min="3774" max="3774" width="11.44140625" style="3"/>
    <col min="3775" max="3775" width="5.44140625" style="3" customWidth="1"/>
    <col min="3776" max="3776" width="11.88671875" style="3" customWidth="1"/>
    <col min="3777" max="3777" width="4.109375" style="3" customWidth="1"/>
    <col min="3778" max="3778" width="2.6640625" style="3" customWidth="1"/>
    <col min="3779" max="3779" width="45.109375" style="3" bestFit="1" customWidth="1"/>
    <col min="3780" max="3780" width="7.44140625" style="3" bestFit="1" customWidth="1"/>
    <col min="3781" max="4021" width="11.44140625" style="3"/>
    <col min="4022" max="4022" width="8.44140625" style="3" customWidth="1"/>
    <col min="4023" max="4023" width="12.109375" style="3" customWidth="1"/>
    <col min="4024" max="4024" width="21.44140625" style="3" customWidth="1"/>
    <col min="4025" max="4025" width="10.5546875" style="3" customWidth="1"/>
    <col min="4026" max="4026" width="8.44140625" style="3" customWidth="1"/>
    <col min="4027" max="4027" width="6.44140625" style="3" customWidth="1"/>
    <col min="4028" max="4028" width="11.88671875" style="3" customWidth="1"/>
    <col min="4029" max="4029" width="7.88671875" style="3" customWidth="1"/>
    <col min="4030" max="4030" width="11.44140625" style="3"/>
    <col min="4031" max="4031" width="5.44140625" style="3" customWidth="1"/>
    <col min="4032" max="4032" width="11.88671875" style="3" customWidth="1"/>
    <col min="4033" max="4033" width="4.109375" style="3" customWidth="1"/>
    <col min="4034" max="4034" width="2.6640625" style="3" customWidth="1"/>
    <col min="4035" max="4035" width="45.109375" style="3" bestFit="1" customWidth="1"/>
    <col min="4036" max="4036" width="7.44140625" style="3" bestFit="1" customWidth="1"/>
    <col min="4037" max="4277" width="11.44140625" style="3"/>
    <col min="4278" max="4278" width="8.44140625" style="3" customWidth="1"/>
    <col min="4279" max="4279" width="12.109375" style="3" customWidth="1"/>
    <col min="4280" max="4280" width="21.44140625" style="3" customWidth="1"/>
    <col min="4281" max="4281" width="10.5546875" style="3" customWidth="1"/>
    <col min="4282" max="4282" width="8.44140625" style="3" customWidth="1"/>
    <col min="4283" max="4283" width="6.44140625" style="3" customWidth="1"/>
    <col min="4284" max="4284" width="11.88671875" style="3" customWidth="1"/>
    <col min="4285" max="4285" width="7.88671875" style="3" customWidth="1"/>
    <col min="4286" max="4286" width="11.44140625" style="3"/>
    <col min="4287" max="4287" width="5.44140625" style="3" customWidth="1"/>
    <col min="4288" max="4288" width="11.88671875" style="3" customWidth="1"/>
    <col min="4289" max="4289" width="4.109375" style="3" customWidth="1"/>
    <col min="4290" max="4290" width="2.6640625" style="3" customWidth="1"/>
    <col min="4291" max="4291" width="45.109375" style="3" bestFit="1" customWidth="1"/>
    <col min="4292" max="4292" width="7.44140625" style="3" bestFit="1" customWidth="1"/>
    <col min="4293" max="4533" width="11.44140625" style="3"/>
    <col min="4534" max="4534" width="8.44140625" style="3" customWidth="1"/>
    <col min="4535" max="4535" width="12.109375" style="3" customWidth="1"/>
    <col min="4536" max="4536" width="21.44140625" style="3" customWidth="1"/>
    <col min="4537" max="4537" width="10.5546875" style="3" customWidth="1"/>
    <col min="4538" max="4538" width="8.44140625" style="3" customWidth="1"/>
    <col min="4539" max="4539" width="6.44140625" style="3" customWidth="1"/>
    <col min="4540" max="4540" width="11.88671875" style="3" customWidth="1"/>
    <col min="4541" max="4541" width="7.88671875" style="3" customWidth="1"/>
    <col min="4542" max="4542" width="11.44140625" style="3"/>
    <col min="4543" max="4543" width="5.44140625" style="3" customWidth="1"/>
    <col min="4544" max="4544" width="11.88671875" style="3" customWidth="1"/>
    <col min="4545" max="4545" width="4.109375" style="3" customWidth="1"/>
    <col min="4546" max="4546" width="2.6640625" style="3" customWidth="1"/>
    <col min="4547" max="4547" width="45.109375" style="3" bestFit="1" customWidth="1"/>
    <col min="4548" max="4548" width="7.44140625" style="3" bestFit="1" customWidth="1"/>
    <col min="4549" max="4789" width="11.44140625" style="3"/>
    <col min="4790" max="4790" width="8.44140625" style="3" customWidth="1"/>
    <col min="4791" max="4791" width="12.109375" style="3" customWidth="1"/>
    <col min="4792" max="4792" width="21.44140625" style="3" customWidth="1"/>
    <col min="4793" max="4793" width="10.5546875" style="3" customWidth="1"/>
    <col min="4794" max="4794" width="8.44140625" style="3" customWidth="1"/>
    <col min="4795" max="4795" width="6.44140625" style="3" customWidth="1"/>
    <col min="4796" max="4796" width="11.88671875" style="3" customWidth="1"/>
    <col min="4797" max="4797" width="7.88671875" style="3" customWidth="1"/>
    <col min="4798" max="4798" width="11.44140625" style="3"/>
    <col min="4799" max="4799" width="5.44140625" style="3" customWidth="1"/>
    <col min="4800" max="4800" width="11.88671875" style="3" customWidth="1"/>
    <col min="4801" max="4801" width="4.109375" style="3" customWidth="1"/>
    <col min="4802" max="4802" width="2.6640625" style="3" customWidth="1"/>
    <col min="4803" max="4803" width="45.109375" style="3" bestFit="1" customWidth="1"/>
    <col min="4804" max="4804" width="7.44140625" style="3" bestFit="1" customWidth="1"/>
    <col min="4805" max="5045" width="11.44140625" style="3"/>
    <col min="5046" max="5046" width="8.44140625" style="3" customWidth="1"/>
    <col min="5047" max="5047" width="12.109375" style="3" customWidth="1"/>
    <col min="5048" max="5048" width="21.44140625" style="3" customWidth="1"/>
    <col min="5049" max="5049" width="10.5546875" style="3" customWidth="1"/>
    <col min="5050" max="5050" width="8.44140625" style="3" customWidth="1"/>
    <col min="5051" max="5051" width="6.44140625" style="3" customWidth="1"/>
    <col min="5052" max="5052" width="11.88671875" style="3" customWidth="1"/>
    <col min="5053" max="5053" width="7.88671875" style="3" customWidth="1"/>
    <col min="5054" max="5054" width="11.44140625" style="3"/>
    <col min="5055" max="5055" width="5.44140625" style="3" customWidth="1"/>
    <col min="5056" max="5056" width="11.88671875" style="3" customWidth="1"/>
    <col min="5057" max="5057" width="4.109375" style="3" customWidth="1"/>
    <col min="5058" max="5058" width="2.6640625" style="3" customWidth="1"/>
    <col min="5059" max="5059" width="45.109375" style="3" bestFit="1" customWidth="1"/>
    <col min="5060" max="5060" width="7.44140625" style="3" bestFit="1" customWidth="1"/>
    <col min="5061" max="5301" width="11.44140625" style="3"/>
    <col min="5302" max="5302" width="8.44140625" style="3" customWidth="1"/>
    <col min="5303" max="5303" width="12.109375" style="3" customWidth="1"/>
    <col min="5304" max="5304" width="21.44140625" style="3" customWidth="1"/>
    <col min="5305" max="5305" width="10.5546875" style="3" customWidth="1"/>
    <col min="5306" max="5306" width="8.44140625" style="3" customWidth="1"/>
    <col min="5307" max="5307" width="6.44140625" style="3" customWidth="1"/>
    <col min="5308" max="5308" width="11.88671875" style="3" customWidth="1"/>
    <col min="5309" max="5309" width="7.88671875" style="3" customWidth="1"/>
    <col min="5310" max="5310" width="11.44140625" style="3"/>
    <col min="5311" max="5311" width="5.44140625" style="3" customWidth="1"/>
    <col min="5312" max="5312" width="11.88671875" style="3" customWidth="1"/>
    <col min="5313" max="5313" width="4.109375" style="3" customWidth="1"/>
    <col min="5314" max="5314" width="2.6640625" style="3" customWidth="1"/>
    <col min="5315" max="5315" width="45.109375" style="3" bestFit="1" customWidth="1"/>
    <col min="5316" max="5316" width="7.44140625" style="3" bestFit="1" customWidth="1"/>
    <col min="5317" max="5557" width="11.44140625" style="3"/>
    <col min="5558" max="5558" width="8.44140625" style="3" customWidth="1"/>
    <col min="5559" max="5559" width="12.109375" style="3" customWidth="1"/>
    <col min="5560" max="5560" width="21.44140625" style="3" customWidth="1"/>
    <col min="5561" max="5561" width="10.5546875" style="3" customWidth="1"/>
    <col min="5562" max="5562" width="8.44140625" style="3" customWidth="1"/>
    <col min="5563" max="5563" width="6.44140625" style="3" customWidth="1"/>
    <col min="5564" max="5564" width="11.88671875" style="3" customWidth="1"/>
    <col min="5565" max="5565" width="7.88671875" style="3" customWidth="1"/>
    <col min="5566" max="5566" width="11.44140625" style="3"/>
    <col min="5567" max="5567" width="5.44140625" style="3" customWidth="1"/>
    <col min="5568" max="5568" width="11.88671875" style="3" customWidth="1"/>
    <col min="5569" max="5569" width="4.109375" style="3" customWidth="1"/>
    <col min="5570" max="5570" width="2.6640625" style="3" customWidth="1"/>
    <col min="5571" max="5571" width="45.109375" style="3" bestFit="1" customWidth="1"/>
    <col min="5572" max="5572" width="7.44140625" style="3" bestFit="1" customWidth="1"/>
    <col min="5573" max="5813" width="11.44140625" style="3"/>
    <col min="5814" max="5814" width="8.44140625" style="3" customWidth="1"/>
    <col min="5815" max="5815" width="12.109375" style="3" customWidth="1"/>
    <col min="5816" max="5816" width="21.44140625" style="3" customWidth="1"/>
    <col min="5817" max="5817" width="10.5546875" style="3" customWidth="1"/>
    <col min="5818" max="5818" width="8.44140625" style="3" customWidth="1"/>
    <col min="5819" max="5819" width="6.44140625" style="3" customWidth="1"/>
    <col min="5820" max="5820" width="11.88671875" style="3" customWidth="1"/>
    <col min="5821" max="5821" width="7.88671875" style="3" customWidth="1"/>
    <col min="5822" max="5822" width="11.44140625" style="3"/>
    <col min="5823" max="5823" width="5.44140625" style="3" customWidth="1"/>
    <col min="5824" max="5824" width="11.88671875" style="3" customWidth="1"/>
    <col min="5825" max="5825" width="4.109375" style="3" customWidth="1"/>
    <col min="5826" max="5826" width="2.6640625" style="3" customWidth="1"/>
    <col min="5827" max="5827" width="45.109375" style="3" bestFit="1" customWidth="1"/>
    <col min="5828" max="5828" width="7.44140625" style="3" bestFit="1" customWidth="1"/>
    <col min="5829" max="6069" width="11.44140625" style="3"/>
    <col min="6070" max="6070" width="8.44140625" style="3" customWidth="1"/>
    <col min="6071" max="6071" width="12.109375" style="3" customWidth="1"/>
    <col min="6072" max="6072" width="21.44140625" style="3" customWidth="1"/>
    <col min="6073" max="6073" width="10.5546875" style="3" customWidth="1"/>
    <col min="6074" max="6074" width="8.44140625" style="3" customWidth="1"/>
    <col min="6075" max="6075" width="6.44140625" style="3" customWidth="1"/>
    <col min="6076" max="6076" width="11.88671875" style="3" customWidth="1"/>
    <col min="6077" max="6077" width="7.88671875" style="3" customWidth="1"/>
    <col min="6078" max="6078" width="11.44140625" style="3"/>
    <col min="6079" max="6079" width="5.44140625" style="3" customWidth="1"/>
    <col min="6080" max="6080" width="11.88671875" style="3" customWidth="1"/>
    <col min="6081" max="6081" width="4.109375" style="3" customWidth="1"/>
    <col min="6082" max="6082" width="2.6640625" style="3" customWidth="1"/>
    <col min="6083" max="6083" width="45.109375" style="3" bestFit="1" customWidth="1"/>
    <col min="6084" max="6084" width="7.44140625" style="3" bestFit="1" customWidth="1"/>
    <col min="6085" max="6325" width="11.44140625" style="3"/>
    <col min="6326" max="6326" width="8.44140625" style="3" customWidth="1"/>
    <col min="6327" max="6327" width="12.109375" style="3" customWidth="1"/>
    <col min="6328" max="6328" width="21.44140625" style="3" customWidth="1"/>
    <col min="6329" max="6329" width="10.5546875" style="3" customWidth="1"/>
    <col min="6330" max="6330" width="8.44140625" style="3" customWidth="1"/>
    <col min="6331" max="6331" width="6.44140625" style="3" customWidth="1"/>
    <col min="6332" max="6332" width="11.88671875" style="3" customWidth="1"/>
    <col min="6333" max="6333" width="7.88671875" style="3" customWidth="1"/>
    <col min="6334" max="6334" width="11.44140625" style="3"/>
    <col min="6335" max="6335" width="5.44140625" style="3" customWidth="1"/>
    <col min="6336" max="6336" width="11.88671875" style="3" customWidth="1"/>
    <col min="6337" max="6337" width="4.109375" style="3" customWidth="1"/>
    <col min="6338" max="6338" width="2.6640625" style="3" customWidth="1"/>
    <col min="6339" max="6339" width="45.109375" style="3" bestFit="1" customWidth="1"/>
    <col min="6340" max="6340" width="7.44140625" style="3" bestFit="1" customWidth="1"/>
    <col min="6341" max="6581" width="11.44140625" style="3"/>
    <col min="6582" max="6582" width="8.44140625" style="3" customWidth="1"/>
    <col min="6583" max="6583" width="12.109375" style="3" customWidth="1"/>
    <col min="6584" max="6584" width="21.44140625" style="3" customWidth="1"/>
    <col min="6585" max="6585" width="10.5546875" style="3" customWidth="1"/>
    <col min="6586" max="6586" width="8.44140625" style="3" customWidth="1"/>
    <col min="6587" max="6587" width="6.44140625" style="3" customWidth="1"/>
    <col min="6588" max="6588" width="11.88671875" style="3" customWidth="1"/>
    <col min="6589" max="6589" width="7.88671875" style="3" customWidth="1"/>
    <col min="6590" max="6590" width="11.44140625" style="3"/>
    <col min="6591" max="6591" width="5.44140625" style="3" customWidth="1"/>
    <col min="6592" max="6592" width="11.88671875" style="3" customWidth="1"/>
    <col min="6593" max="6593" width="4.109375" style="3" customWidth="1"/>
    <col min="6594" max="6594" width="2.6640625" style="3" customWidth="1"/>
    <col min="6595" max="6595" width="45.109375" style="3" bestFit="1" customWidth="1"/>
    <col min="6596" max="6596" width="7.44140625" style="3" bestFit="1" customWidth="1"/>
    <col min="6597" max="6837" width="11.44140625" style="3"/>
    <col min="6838" max="6838" width="8.44140625" style="3" customWidth="1"/>
    <col min="6839" max="6839" width="12.109375" style="3" customWidth="1"/>
    <col min="6840" max="6840" width="21.44140625" style="3" customWidth="1"/>
    <col min="6841" max="6841" width="10.5546875" style="3" customWidth="1"/>
    <col min="6842" max="6842" width="8.44140625" style="3" customWidth="1"/>
    <col min="6843" max="6843" width="6.44140625" style="3" customWidth="1"/>
    <col min="6844" max="6844" width="11.88671875" style="3" customWidth="1"/>
    <col min="6845" max="6845" width="7.88671875" style="3" customWidth="1"/>
    <col min="6846" max="6846" width="11.44140625" style="3"/>
    <col min="6847" max="6847" width="5.44140625" style="3" customWidth="1"/>
    <col min="6848" max="6848" width="11.88671875" style="3" customWidth="1"/>
    <col min="6849" max="6849" width="4.109375" style="3" customWidth="1"/>
    <col min="6850" max="6850" width="2.6640625" style="3" customWidth="1"/>
    <col min="6851" max="6851" width="45.109375" style="3" bestFit="1" customWidth="1"/>
    <col min="6852" max="6852" width="7.44140625" style="3" bestFit="1" customWidth="1"/>
    <col min="6853" max="7093" width="11.44140625" style="3"/>
    <col min="7094" max="7094" width="8.44140625" style="3" customWidth="1"/>
    <col min="7095" max="7095" width="12.109375" style="3" customWidth="1"/>
    <col min="7096" max="7096" width="21.44140625" style="3" customWidth="1"/>
    <col min="7097" max="7097" width="10.5546875" style="3" customWidth="1"/>
    <col min="7098" max="7098" width="8.44140625" style="3" customWidth="1"/>
    <col min="7099" max="7099" width="6.44140625" style="3" customWidth="1"/>
    <col min="7100" max="7100" width="11.88671875" style="3" customWidth="1"/>
    <col min="7101" max="7101" width="7.88671875" style="3" customWidth="1"/>
    <col min="7102" max="7102" width="11.44140625" style="3"/>
    <col min="7103" max="7103" width="5.44140625" style="3" customWidth="1"/>
    <col min="7104" max="7104" width="11.88671875" style="3" customWidth="1"/>
    <col min="7105" max="7105" width="4.109375" style="3" customWidth="1"/>
    <col min="7106" max="7106" width="2.6640625" style="3" customWidth="1"/>
    <col min="7107" max="7107" width="45.109375" style="3" bestFit="1" customWidth="1"/>
    <col min="7108" max="7108" width="7.44140625" style="3" bestFit="1" customWidth="1"/>
    <col min="7109" max="7349" width="11.44140625" style="3"/>
    <col min="7350" max="7350" width="8.44140625" style="3" customWidth="1"/>
    <col min="7351" max="7351" width="12.109375" style="3" customWidth="1"/>
    <col min="7352" max="7352" width="21.44140625" style="3" customWidth="1"/>
    <col min="7353" max="7353" width="10.5546875" style="3" customWidth="1"/>
    <col min="7354" max="7354" width="8.44140625" style="3" customWidth="1"/>
    <col min="7355" max="7355" width="6.44140625" style="3" customWidth="1"/>
    <col min="7356" max="7356" width="11.88671875" style="3" customWidth="1"/>
    <col min="7357" max="7357" width="7.88671875" style="3" customWidth="1"/>
    <col min="7358" max="7358" width="11.44140625" style="3"/>
    <col min="7359" max="7359" width="5.44140625" style="3" customWidth="1"/>
    <col min="7360" max="7360" width="11.88671875" style="3" customWidth="1"/>
    <col min="7361" max="7361" width="4.109375" style="3" customWidth="1"/>
    <col min="7362" max="7362" width="2.6640625" style="3" customWidth="1"/>
    <col min="7363" max="7363" width="45.109375" style="3" bestFit="1" customWidth="1"/>
    <col min="7364" max="7364" width="7.44140625" style="3" bestFit="1" customWidth="1"/>
    <col min="7365" max="7605" width="11.44140625" style="3"/>
    <col min="7606" max="7606" width="8.44140625" style="3" customWidth="1"/>
    <col min="7607" max="7607" width="12.109375" style="3" customWidth="1"/>
    <col min="7608" max="7608" width="21.44140625" style="3" customWidth="1"/>
    <col min="7609" max="7609" width="10.5546875" style="3" customWidth="1"/>
    <col min="7610" max="7610" width="8.44140625" style="3" customWidth="1"/>
    <col min="7611" max="7611" width="6.44140625" style="3" customWidth="1"/>
    <col min="7612" max="7612" width="11.88671875" style="3" customWidth="1"/>
    <col min="7613" max="7613" width="7.88671875" style="3" customWidth="1"/>
    <col min="7614" max="7614" width="11.44140625" style="3"/>
    <col min="7615" max="7615" width="5.44140625" style="3" customWidth="1"/>
    <col min="7616" max="7616" width="11.88671875" style="3" customWidth="1"/>
    <col min="7617" max="7617" width="4.109375" style="3" customWidth="1"/>
    <col min="7618" max="7618" width="2.6640625" style="3" customWidth="1"/>
    <col min="7619" max="7619" width="45.109375" style="3" bestFit="1" customWidth="1"/>
    <col min="7620" max="7620" width="7.44140625" style="3" bestFit="1" customWidth="1"/>
    <col min="7621" max="7861" width="11.44140625" style="3"/>
    <col min="7862" max="7862" width="8.44140625" style="3" customWidth="1"/>
    <col min="7863" max="7863" width="12.109375" style="3" customWidth="1"/>
    <col min="7864" max="7864" width="21.44140625" style="3" customWidth="1"/>
    <col min="7865" max="7865" width="10.5546875" style="3" customWidth="1"/>
    <col min="7866" max="7866" width="8.44140625" style="3" customWidth="1"/>
    <col min="7867" max="7867" width="6.44140625" style="3" customWidth="1"/>
    <col min="7868" max="7868" width="11.88671875" style="3" customWidth="1"/>
    <col min="7869" max="7869" width="7.88671875" style="3" customWidth="1"/>
    <col min="7870" max="7870" width="11.44140625" style="3"/>
    <col min="7871" max="7871" width="5.44140625" style="3" customWidth="1"/>
    <col min="7872" max="7872" width="11.88671875" style="3" customWidth="1"/>
    <col min="7873" max="7873" width="4.109375" style="3" customWidth="1"/>
    <col min="7874" max="7874" width="2.6640625" style="3" customWidth="1"/>
    <col min="7875" max="7875" width="45.109375" style="3" bestFit="1" customWidth="1"/>
    <col min="7876" max="7876" width="7.44140625" style="3" bestFit="1" customWidth="1"/>
    <col min="7877" max="8117" width="11.44140625" style="3"/>
    <col min="8118" max="8118" width="8.44140625" style="3" customWidth="1"/>
    <col min="8119" max="8119" width="12.109375" style="3" customWidth="1"/>
    <col min="8120" max="8120" width="21.44140625" style="3" customWidth="1"/>
    <col min="8121" max="8121" width="10.5546875" style="3" customWidth="1"/>
    <col min="8122" max="8122" width="8.44140625" style="3" customWidth="1"/>
    <col min="8123" max="8123" width="6.44140625" style="3" customWidth="1"/>
    <col min="8124" max="8124" width="11.88671875" style="3" customWidth="1"/>
    <col min="8125" max="8125" width="7.88671875" style="3" customWidth="1"/>
    <col min="8126" max="8126" width="11.44140625" style="3"/>
    <col min="8127" max="8127" width="5.44140625" style="3" customWidth="1"/>
    <col min="8128" max="8128" width="11.88671875" style="3" customWidth="1"/>
    <col min="8129" max="8129" width="4.109375" style="3" customWidth="1"/>
    <col min="8130" max="8130" width="2.6640625" style="3" customWidth="1"/>
    <col min="8131" max="8131" width="45.109375" style="3" bestFit="1" customWidth="1"/>
    <col min="8132" max="8132" width="7.44140625" style="3" bestFit="1" customWidth="1"/>
    <col min="8133" max="8373" width="11.44140625" style="3"/>
    <col min="8374" max="8374" width="8.44140625" style="3" customWidth="1"/>
    <col min="8375" max="8375" width="12.109375" style="3" customWidth="1"/>
    <col min="8376" max="8376" width="21.44140625" style="3" customWidth="1"/>
    <col min="8377" max="8377" width="10.5546875" style="3" customWidth="1"/>
    <col min="8378" max="8378" width="8.44140625" style="3" customWidth="1"/>
    <col min="8379" max="8379" width="6.44140625" style="3" customWidth="1"/>
    <col min="8380" max="8380" width="11.88671875" style="3" customWidth="1"/>
    <col min="8381" max="8381" width="7.88671875" style="3" customWidth="1"/>
    <col min="8382" max="8382" width="11.44140625" style="3"/>
    <col min="8383" max="8383" width="5.44140625" style="3" customWidth="1"/>
    <col min="8384" max="8384" width="11.88671875" style="3" customWidth="1"/>
    <col min="8385" max="8385" width="4.109375" style="3" customWidth="1"/>
    <col min="8386" max="8386" width="2.6640625" style="3" customWidth="1"/>
    <col min="8387" max="8387" width="45.109375" style="3" bestFit="1" customWidth="1"/>
    <col min="8388" max="8388" width="7.44140625" style="3" bestFit="1" customWidth="1"/>
    <col min="8389" max="8629" width="11.44140625" style="3"/>
    <col min="8630" max="8630" width="8.44140625" style="3" customWidth="1"/>
    <col min="8631" max="8631" width="12.109375" style="3" customWidth="1"/>
    <col min="8632" max="8632" width="21.44140625" style="3" customWidth="1"/>
    <col min="8633" max="8633" width="10.5546875" style="3" customWidth="1"/>
    <col min="8634" max="8634" width="8.44140625" style="3" customWidth="1"/>
    <col min="8635" max="8635" width="6.44140625" style="3" customWidth="1"/>
    <col min="8636" max="8636" width="11.88671875" style="3" customWidth="1"/>
    <col min="8637" max="8637" width="7.88671875" style="3" customWidth="1"/>
    <col min="8638" max="8638" width="11.44140625" style="3"/>
    <col min="8639" max="8639" width="5.44140625" style="3" customWidth="1"/>
    <col min="8640" max="8640" width="11.88671875" style="3" customWidth="1"/>
    <col min="8641" max="8641" width="4.109375" style="3" customWidth="1"/>
    <col min="8642" max="8642" width="2.6640625" style="3" customWidth="1"/>
    <col min="8643" max="8643" width="45.109375" style="3" bestFit="1" customWidth="1"/>
    <col min="8644" max="8644" width="7.44140625" style="3" bestFit="1" customWidth="1"/>
    <col min="8645" max="8885" width="11.44140625" style="3"/>
    <col min="8886" max="8886" width="8.44140625" style="3" customWidth="1"/>
    <col min="8887" max="8887" width="12.109375" style="3" customWidth="1"/>
    <col min="8888" max="8888" width="21.44140625" style="3" customWidth="1"/>
    <col min="8889" max="8889" width="10.5546875" style="3" customWidth="1"/>
    <col min="8890" max="8890" width="8.44140625" style="3" customWidth="1"/>
    <col min="8891" max="8891" width="6.44140625" style="3" customWidth="1"/>
    <col min="8892" max="8892" width="11.88671875" style="3" customWidth="1"/>
    <col min="8893" max="8893" width="7.88671875" style="3" customWidth="1"/>
    <col min="8894" max="8894" width="11.44140625" style="3"/>
    <col min="8895" max="8895" width="5.44140625" style="3" customWidth="1"/>
    <col min="8896" max="8896" width="11.88671875" style="3" customWidth="1"/>
    <col min="8897" max="8897" width="4.109375" style="3" customWidth="1"/>
    <col min="8898" max="8898" width="2.6640625" style="3" customWidth="1"/>
    <col min="8899" max="8899" width="45.109375" style="3" bestFit="1" customWidth="1"/>
    <col min="8900" max="8900" width="7.44140625" style="3" bestFit="1" customWidth="1"/>
    <col min="8901" max="9141" width="11.44140625" style="3"/>
    <col min="9142" max="9142" width="8.44140625" style="3" customWidth="1"/>
    <col min="9143" max="9143" width="12.109375" style="3" customWidth="1"/>
    <col min="9144" max="9144" width="21.44140625" style="3" customWidth="1"/>
    <col min="9145" max="9145" width="10.5546875" style="3" customWidth="1"/>
    <col min="9146" max="9146" width="8.44140625" style="3" customWidth="1"/>
    <col min="9147" max="9147" width="6.44140625" style="3" customWidth="1"/>
    <col min="9148" max="9148" width="11.88671875" style="3" customWidth="1"/>
    <col min="9149" max="9149" width="7.88671875" style="3" customWidth="1"/>
    <col min="9150" max="9150" width="11.44140625" style="3"/>
    <col min="9151" max="9151" width="5.44140625" style="3" customWidth="1"/>
    <col min="9152" max="9152" width="11.88671875" style="3" customWidth="1"/>
    <col min="9153" max="9153" width="4.109375" style="3" customWidth="1"/>
    <col min="9154" max="9154" width="2.6640625" style="3" customWidth="1"/>
    <col min="9155" max="9155" width="45.109375" style="3" bestFit="1" customWidth="1"/>
    <col min="9156" max="9156" width="7.44140625" style="3" bestFit="1" customWidth="1"/>
    <col min="9157" max="9397" width="11.44140625" style="3"/>
    <col min="9398" max="9398" width="8.44140625" style="3" customWidth="1"/>
    <col min="9399" max="9399" width="12.109375" style="3" customWidth="1"/>
    <col min="9400" max="9400" width="21.44140625" style="3" customWidth="1"/>
    <col min="9401" max="9401" width="10.5546875" style="3" customWidth="1"/>
    <col min="9402" max="9402" width="8.44140625" style="3" customWidth="1"/>
    <col min="9403" max="9403" width="6.44140625" style="3" customWidth="1"/>
    <col min="9404" max="9404" width="11.88671875" style="3" customWidth="1"/>
    <col min="9405" max="9405" width="7.88671875" style="3" customWidth="1"/>
    <col min="9406" max="9406" width="11.44140625" style="3"/>
    <col min="9407" max="9407" width="5.44140625" style="3" customWidth="1"/>
    <col min="9408" max="9408" width="11.88671875" style="3" customWidth="1"/>
    <col min="9409" max="9409" width="4.109375" style="3" customWidth="1"/>
    <col min="9410" max="9410" width="2.6640625" style="3" customWidth="1"/>
    <col min="9411" max="9411" width="45.109375" style="3" bestFit="1" customWidth="1"/>
    <col min="9412" max="9412" width="7.44140625" style="3" bestFit="1" customWidth="1"/>
    <col min="9413" max="9653" width="11.44140625" style="3"/>
    <col min="9654" max="9654" width="8.44140625" style="3" customWidth="1"/>
    <col min="9655" max="9655" width="12.109375" style="3" customWidth="1"/>
    <col min="9656" max="9656" width="21.44140625" style="3" customWidth="1"/>
    <col min="9657" max="9657" width="10.5546875" style="3" customWidth="1"/>
    <col min="9658" max="9658" width="8.44140625" style="3" customWidth="1"/>
    <col min="9659" max="9659" width="6.44140625" style="3" customWidth="1"/>
    <col min="9660" max="9660" width="11.88671875" style="3" customWidth="1"/>
    <col min="9661" max="9661" width="7.88671875" style="3" customWidth="1"/>
    <col min="9662" max="9662" width="11.44140625" style="3"/>
    <col min="9663" max="9663" width="5.44140625" style="3" customWidth="1"/>
    <col min="9664" max="9664" width="11.88671875" style="3" customWidth="1"/>
    <col min="9665" max="9665" width="4.109375" style="3" customWidth="1"/>
    <col min="9666" max="9666" width="2.6640625" style="3" customWidth="1"/>
    <col min="9667" max="9667" width="45.109375" style="3" bestFit="1" customWidth="1"/>
    <col min="9668" max="9668" width="7.44140625" style="3" bestFit="1" customWidth="1"/>
    <col min="9669" max="9909" width="11.44140625" style="3"/>
    <col min="9910" max="9910" width="8.44140625" style="3" customWidth="1"/>
    <col min="9911" max="9911" width="12.109375" style="3" customWidth="1"/>
    <col min="9912" max="9912" width="21.44140625" style="3" customWidth="1"/>
    <col min="9913" max="9913" width="10.5546875" style="3" customWidth="1"/>
    <col min="9914" max="9914" width="8.44140625" style="3" customWidth="1"/>
    <col min="9915" max="9915" width="6.44140625" style="3" customWidth="1"/>
    <col min="9916" max="9916" width="11.88671875" style="3" customWidth="1"/>
    <col min="9917" max="9917" width="7.88671875" style="3" customWidth="1"/>
    <col min="9918" max="9918" width="11.44140625" style="3"/>
    <col min="9919" max="9919" width="5.44140625" style="3" customWidth="1"/>
    <col min="9920" max="9920" width="11.88671875" style="3" customWidth="1"/>
    <col min="9921" max="9921" width="4.109375" style="3" customWidth="1"/>
    <col min="9922" max="9922" width="2.6640625" style="3" customWidth="1"/>
    <col min="9923" max="9923" width="45.109375" style="3" bestFit="1" customWidth="1"/>
    <col min="9924" max="9924" width="7.44140625" style="3" bestFit="1" customWidth="1"/>
    <col min="9925" max="10165" width="11.44140625" style="3"/>
    <col min="10166" max="10166" width="8.44140625" style="3" customWidth="1"/>
    <col min="10167" max="10167" width="12.109375" style="3" customWidth="1"/>
    <col min="10168" max="10168" width="21.44140625" style="3" customWidth="1"/>
    <col min="10169" max="10169" width="10.5546875" style="3" customWidth="1"/>
    <col min="10170" max="10170" width="8.44140625" style="3" customWidth="1"/>
    <col min="10171" max="10171" width="6.44140625" style="3" customWidth="1"/>
    <col min="10172" max="10172" width="11.88671875" style="3" customWidth="1"/>
    <col min="10173" max="10173" width="7.88671875" style="3" customWidth="1"/>
    <col min="10174" max="10174" width="11.44140625" style="3"/>
    <col min="10175" max="10175" width="5.44140625" style="3" customWidth="1"/>
    <col min="10176" max="10176" width="11.88671875" style="3" customWidth="1"/>
    <col min="10177" max="10177" width="4.109375" style="3" customWidth="1"/>
    <col min="10178" max="10178" width="2.6640625" style="3" customWidth="1"/>
    <col min="10179" max="10179" width="45.109375" style="3" bestFit="1" customWidth="1"/>
    <col min="10180" max="10180" width="7.44140625" style="3" bestFit="1" customWidth="1"/>
    <col min="10181" max="10421" width="11.44140625" style="3"/>
    <col min="10422" max="10422" width="8.44140625" style="3" customWidth="1"/>
    <col min="10423" max="10423" width="12.109375" style="3" customWidth="1"/>
    <col min="10424" max="10424" width="21.44140625" style="3" customWidth="1"/>
    <col min="10425" max="10425" width="10.5546875" style="3" customWidth="1"/>
    <col min="10426" max="10426" width="8.44140625" style="3" customWidth="1"/>
    <col min="10427" max="10427" width="6.44140625" style="3" customWidth="1"/>
    <col min="10428" max="10428" width="11.88671875" style="3" customWidth="1"/>
    <col min="10429" max="10429" width="7.88671875" style="3" customWidth="1"/>
    <col min="10430" max="10430" width="11.44140625" style="3"/>
    <col min="10431" max="10431" width="5.44140625" style="3" customWidth="1"/>
    <col min="10432" max="10432" width="11.88671875" style="3" customWidth="1"/>
    <col min="10433" max="10433" width="4.109375" style="3" customWidth="1"/>
    <col min="10434" max="10434" width="2.6640625" style="3" customWidth="1"/>
    <col min="10435" max="10435" width="45.109375" style="3" bestFit="1" customWidth="1"/>
    <col min="10436" max="10436" width="7.44140625" style="3" bestFit="1" customWidth="1"/>
    <col min="10437" max="10677" width="11.44140625" style="3"/>
    <col min="10678" max="10678" width="8.44140625" style="3" customWidth="1"/>
    <col min="10679" max="10679" width="12.109375" style="3" customWidth="1"/>
    <col min="10680" max="10680" width="21.44140625" style="3" customWidth="1"/>
    <col min="10681" max="10681" width="10.5546875" style="3" customWidth="1"/>
    <col min="10682" max="10682" width="8.44140625" style="3" customWidth="1"/>
    <col min="10683" max="10683" width="6.44140625" style="3" customWidth="1"/>
    <col min="10684" max="10684" width="11.88671875" style="3" customWidth="1"/>
    <col min="10685" max="10685" width="7.88671875" style="3" customWidth="1"/>
    <col min="10686" max="10686" width="11.44140625" style="3"/>
    <col min="10687" max="10687" width="5.44140625" style="3" customWidth="1"/>
    <col min="10688" max="10688" width="11.88671875" style="3" customWidth="1"/>
    <col min="10689" max="10689" width="4.109375" style="3" customWidth="1"/>
    <col min="10690" max="10690" width="2.6640625" style="3" customWidth="1"/>
    <col min="10691" max="10691" width="45.109375" style="3" bestFit="1" customWidth="1"/>
    <col min="10692" max="10692" width="7.44140625" style="3" bestFit="1" customWidth="1"/>
    <col min="10693" max="10933" width="11.44140625" style="3"/>
    <col min="10934" max="10934" width="8.44140625" style="3" customWidth="1"/>
    <col min="10935" max="10935" width="12.109375" style="3" customWidth="1"/>
    <col min="10936" max="10936" width="21.44140625" style="3" customWidth="1"/>
    <col min="10937" max="10937" width="10.5546875" style="3" customWidth="1"/>
    <col min="10938" max="10938" width="8.44140625" style="3" customWidth="1"/>
    <col min="10939" max="10939" width="6.44140625" style="3" customWidth="1"/>
    <col min="10940" max="10940" width="11.88671875" style="3" customWidth="1"/>
    <col min="10941" max="10941" width="7.88671875" style="3" customWidth="1"/>
    <col min="10942" max="10942" width="11.44140625" style="3"/>
    <col min="10943" max="10943" width="5.44140625" style="3" customWidth="1"/>
    <col min="10944" max="10944" width="11.88671875" style="3" customWidth="1"/>
    <col min="10945" max="10945" width="4.109375" style="3" customWidth="1"/>
    <col min="10946" max="10946" width="2.6640625" style="3" customWidth="1"/>
    <col min="10947" max="10947" width="45.109375" style="3" bestFit="1" customWidth="1"/>
    <col min="10948" max="10948" width="7.44140625" style="3" bestFit="1" customWidth="1"/>
    <col min="10949" max="11189" width="11.44140625" style="3"/>
    <col min="11190" max="11190" width="8.44140625" style="3" customWidth="1"/>
    <col min="11191" max="11191" width="12.109375" style="3" customWidth="1"/>
    <col min="11192" max="11192" width="21.44140625" style="3" customWidth="1"/>
    <col min="11193" max="11193" width="10.5546875" style="3" customWidth="1"/>
    <col min="11194" max="11194" width="8.44140625" style="3" customWidth="1"/>
    <col min="11195" max="11195" width="6.44140625" style="3" customWidth="1"/>
    <col min="11196" max="11196" width="11.88671875" style="3" customWidth="1"/>
    <col min="11197" max="11197" width="7.88671875" style="3" customWidth="1"/>
    <col min="11198" max="11198" width="11.44140625" style="3"/>
    <col min="11199" max="11199" width="5.44140625" style="3" customWidth="1"/>
    <col min="11200" max="11200" width="11.88671875" style="3" customWidth="1"/>
    <col min="11201" max="11201" width="4.109375" style="3" customWidth="1"/>
    <col min="11202" max="11202" width="2.6640625" style="3" customWidth="1"/>
    <col min="11203" max="11203" width="45.109375" style="3" bestFit="1" customWidth="1"/>
    <col min="11204" max="11204" width="7.44140625" style="3" bestFit="1" customWidth="1"/>
    <col min="11205" max="11445" width="11.44140625" style="3"/>
    <col min="11446" max="11446" width="8.44140625" style="3" customWidth="1"/>
    <col min="11447" max="11447" width="12.109375" style="3" customWidth="1"/>
    <col min="11448" max="11448" width="21.44140625" style="3" customWidth="1"/>
    <col min="11449" max="11449" width="10.5546875" style="3" customWidth="1"/>
    <col min="11450" max="11450" width="8.44140625" style="3" customWidth="1"/>
    <col min="11451" max="11451" width="6.44140625" style="3" customWidth="1"/>
    <col min="11452" max="11452" width="11.88671875" style="3" customWidth="1"/>
    <col min="11453" max="11453" width="7.88671875" style="3" customWidth="1"/>
    <col min="11454" max="11454" width="11.44140625" style="3"/>
    <col min="11455" max="11455" width="5.44140625" style="3" customWidth="1"/>
    <col min="11456" max="11456" width="11.88671875" style="3" customWidth="1"/>
    <col min="11457" max="11457" width="4.109375" style="3" customWidth="1"/>
    <col min="11458" max="11458" width="2.6640625" style="3" customWidth="1"/>
    <col min="11459" max="11459" width="45.109375" style="3" bestFit="1" customWidth="1"/>
    <col min="11460" max="11460" width="7.44140625" style="3" bestFit="1" customWidth="1"/>
    <col min="11461" max="11701" width="11.44140625" style="3"/>
    <col min="11702" max="11702" width="8.44140625" style="3" customWidth="1"/>
    <col min="11703" max="11703" width="12.109375" style="3" customWidth="1"/>
    <col min="11704" max="11704" width="21.44140625" style="3" customWidth="1"/>
    <col min="11705" max="11705" width="10.5546875" style="3" customWidth="1"/>
    <col min="11706" max="11706" width="8.44140625" style="3" customWidth="1"/>
    <col min="11707" max="11707" width="6.44140625" style="3" customWidth="1"/>
    <col min="11708" max="11708" width="11.88671875" style="3" customWidth="1"/>
    <col min="11709" max="11709" width="7.88671875" style="3" customWidth="1"/>
    <col min="11710" max="11710" width="11.44140625" style="3"/>
    <col min="11711" max="11711" width="5.44140625" style="3" customWidth="1"/>
    <col min="11712" max="11712" width="11.88671875" style="3" customWidth="1"/>
    <col min="11713" max="11713" width="4.109375" style="3" customWidth="1"/>
    <col min="11714" max="11714" width="2.6640625" style="3" customWidth="1"/>
    <col min="11715" max="11715" width="45.109375" style="3" bestFit="1" customWidth="1"/>
    <col min="11716" max="11716" width="7.44140625" style="3" bestFit="1" customWidth="1"/>
    <col min="11717" max="11957" width="11.44140625" style="3"/>
    <col min="11958" max="11958" width="8.44140625" style="3" customWidth="1"/>
    <col min="11959" max="11959" width="12.109375" style="3" customWidth="1"/>
    <col min="11960" max="11960" width="21.44140625" style="3" customWidth="1"/>
    <col min="11961" max="11961" width="10.5546875" style="3" customWidth="1"/>
    <col min="11962" max="11962" width="8.44140625" style="3" customWidth="1"/>
    <col min="11963" max="11963" width="6.44140625" style="3" customWidth="1"/>
    <col min="11964" max="11964" width="11.88671875" style="3" customWidth="1"/>
    <col min="11965" max="11965" width="7.88671875" style="3" customWidth="1"/>
    <col min="11966" max="11966" width="11.44140625" style="3"/>
    <col min="11967" max="11967" width="5.44140625" style="3" customWidth="1"/>
    <col min="11968" max="11968" width="11.88671875" style="3" customWidth="1"/>
    <col min="11969" max="11969" width="4.109375" style="3" customWidth="1"/>
    <col min="11970" max="11970" width="2.6640625" style="3" customWidth="1"/>
    <col min="11971" max="11971" width="45.109375" style="3" bestFit="1" customWidth="1"/>
    <col min="11972" max="11972" width="7.44140625" style="3" bestFit="1" customWidth="1"/>
    <col min="11973" max="12213" width="11.44140625" style="3"/>
    <col min="12214" max="12214" width="8.44140625" style="3" customWidth="1"/>
    <col min="12215" max="12215" width="12.109375" style="3" customWidth="1"/>
    <col min="12216" max="12216" width="21.44140625" style="3" customWidth="1"/>
    <col min="12217" max="12217" width="10.5546875" style="3" customWidth="1"/>
    <col min="12218" max="12218" width="8.44140625" style="3" customWidth="1"/>
    <col min="12219" max="12219" width="6.44140625" style="3" customWidth="1"/>
    <col min="12220" max="12220" width="11.88671875" style="3" customWidth="1"/>
    <col min="12221" max="12221" width="7.88671875" style="3" customWidth="1"/>
    <col min="12222" max="12222" width="11.44140625" style="3"/>
    <col min="12223" max="12223" width="5.44140625" style="3" customWidth="1"/>
    <col min="12224" max="12224" width="11.88671875" style="3" customWidth="1"/>
    <col min="12225" max="12225" width="4.109375" style="3" customWidth="1"/>
    <col min="12226" max="12226" width="2.6640625" style="3" customWidth="1"/>
    <col min="12227" max="12227" width="45.109375" style="3" bestFit="1" customWidth="1"/>
    <col min="12228" max="12228" width="7.44140625" style="3" bestFit="1" customWidth="1"/>
    <col min="12229" max="12469" width="11.44140625" style="3"/>
    <col min="12470" max="12470" width="8.44140625" style="3" customWidth="1"/>
    <col min="12471" max="12471" width="12.109375" style="3" customWidth="1"/>
    <col min="12472" max="12472" width="21.44140625" style="3" customWidth="1"/>
    <col min="12473" max="12473" width="10.5546875" style="3" customWidth="1"/>
    <col min="12474" max="12474" width="8.44140625" style="3" customWidth="1"/>
    <col min="12475" max="12475" width="6.44140625" style="3" customWidth="1"/>
    <col min="12476" max="12476" width="11.88671875" style="3" customWidth="1"/>
    <col min="12477" max="12477" width="7.88671875" style="3" customWidth="1"/>
    <col min="12478" max="12478" width="11.44140625" style="3"/>
    <col min="12479" max="12479" width="5.44140625" style="3" customWidth="1"/>
    <col min="12480" max="12480" width="11.88671875" style="3" customWidth="1"/>
    <col min="12481" max="12481" width="4.109375" style="3" customWidth="1"/>
    <col min="12482" max="12482" width="2.6640625" style="3" customWidth="1"/>
    <col min="12483" max="12483" width="45.109375" style="3" bestFit="1" customWidth="1"/>
    <col min="12484" max="12484" width="7.44140625" style="3" bestFit="1" customWidth="1"/>
    <col min="12485" max="12725" width="11.44140625" style="3"/>
    <col min="12726" max="12726" width="8.44140625" style="3" customWidth="1"/>
    <col min="12727" max="12727" width="12.109375" style="3" customWidth="1"/>
    <col min="12728" max="12728" width="21.44140625" style="3" customWidth="1"/>
    <col min="12729" max="12729" width="10.5546875" style="3" customWidth="1"/>
    <col min="12730" max="12730" width="8.44140625" style="3" customWidth="1"/>
    <col min="12731" max="12731" width="6.44140625" style="3" customWidth="1"/>
    <col min="12732" max="12732" width="11.88671875" style="3" customWidth="1"/>
    <col min="12733" max="12733" width="7.88671875" style="3" customWidth="1"/>
    <col min="12734" max="12734" width="11.44140625" style="3"/>
    <col min="12735" max="12735" width="5.44140625" style="3" customWidth="1"/>
    <col min="12736" max="12736" width="11.88671875" style="3" customWidth="1"/>
    <col min="12737" max="12737" width="4.109375" style="3" customWidth="1"/>
    <col min="12738" max="12738" width="2.6640625" style="3" customWidth="1"/>
    <col min="12739" max="12739" width="45.109375" style="3" bestFit="1" customWidth="1"/>
    <col min="12740" max="12740" width="7.44140625" style="3" bestFit="1" customWidth="1"/>
    <col min="12741" max="12981" width="11.44140625" style="3"/>
    <col min="12982" max="12982" width="8.44140625" style="3" customWidth="1"/>
    <col min="12983" max="12983" width="12.109375" style="3" customWidth="1"/>
    <col min="12984" max="12984" width="21.44140625" style="3" customWidth="1"/>
    <col min="12985" max="12985" width="10.5546875" style="3" customWidth="1"/>
    <col min="12986" max="12986" width="8.44140625" style="3" customWidth="1"/>
    <col min="12987" max="12987" width="6.44140625" style="3" customWidth="1"/>
    <col min="12988" max="12988" width="11.88671875" style="3" customWidth="1"/>
    <col min="12989" max="12989" width="7.88671875" style="3" customWidth="1"/>
    <col min="12990" max="12990" width="11.44140625" style="3"/>
    <col min="12991" max="12991" width="5.44140625" style="3" customWidth="1"/>
    <col min="12992" max="12992" width="11.88671875" style="3" customWidth="1"/>
    <col min="12993" max="12993" width="4.109375" style="3" customWidth="1"/>
    <col min="12994" max="12994" width="2.6640625" style="3" customWidth="1"/>
    <col min="12995" max="12995" width="45.109375" style="3" bestFit="1" customWidth="1"/>
    <col min="12996" max="12996" width="7.44140625" style="3" bestFit="1" customWidth="1"/>
    <col min="12997" max="13237" width="11.44140625" style="3"/>
    <col min="13238" max="13238" width="8.44140625" style="3" customWidth="1"/>
    <col min="13239" max="13239" width="12.109375" style="3" customWidth="1"/>
    <col min="13240" max="13240" width="21.44140625" style="3" customWidth="1"/>
    <col min="13241" max="13241" width="10.5546875" style="3" customWidth="1"/>
    <col min="13242" max="13242" width="8.44140625" style="3" customWidth="1"/>
    <col min="13243" max="13243" width="6.44140625" style="3" customWidth="1"/>
    <col min="13244" max="13244" width="11.88671875" style="3" customWidth="1"/>
    <col min="13245" max="13245" width="7.88671875" style="3" customWidth="1"/>
    <col min="13246" max="13246" width="11.44140625" style="3"/>
    <col min="13247" max="13247" width="5.44140625" style="3" customWidth="1"/>
    <col min="13248" max="13248" width="11.88671875" style="3" customWidth="1"/>
    <col min="13249" max="13249" width="4.109375" style="3" customWidth="1"/>
    <col min="13250" max="13250" width="2.6640625" style="3" customWidth="1"/>
    <col min="13251" max="13251" width="45.109375" style="3" bestFit="1" customWidth="1"/>
    <col min="13252" max="13252" width="7.44140625" style="3" bestFit="1" customWidth="1"/>
    <col min="13253" max="13493" width="11.44140625" style="3"/>
    <col min="13494" max="13494" width="8.44140625" style="3" customWidth="1"/>
    <col min="13495" max="13495" width="12.109375" style="3" customWidth="1"/>
    <col min="13496" max="13496" width="21.44140625" style="3" customWidth="1"/>
    <col min="13497" max="13497" width="10.5546875" style="3" customWidth="1"/>
    <col min="13498" max="13498" width="8.44140625" style="3" customWidth="1"/>
    <col min="13499" max="13499" width="6.44140625" style="3" customWidth="1"/>
    <col min="13500" max="13500" width="11.88671875" style="3" customWidth="1"/>
    <col min="13501" max="13501" width="7.88671875" style="3" customWidth="1"/>
    <col min="13502" max="13502" width="11.44140625" style="3"/>
    <col min="13503" max="13503" width="5.44140625" style="3" customWidth="1"/>
    <col min="13504" max="13504" width="11.88671875" style="3" customWidth="1"/>
    <col min="13505" max="13505" width="4.109375" style="3" customWidth="1"/>
    <col min="13506" max="13506" width="2.6640625" style="3" customWidth="1"/>
    <col min="13507" max="13507" width="45.109375" style="3" bestFit="1" customWidth="1"/>
    <col min="13508" max="13508" width="7.44140625" style="3" bestFit="1" customWidth="1"/>
    <col min="13509" max="13749" width="11.44140625" style="3"/>
    <col min="13750" max="13750" width="8.44140625" style="3" customWidth="1"/>
    <col min="13751" max="13751" width="12.109375" style="3" customWidth="1"/>
    <col min="13752" max="13752" width="21.44140625" style="3" customWidth="1"/>
    <col min="13753" max="13753" width="10.5546875" style="3" customWidth="1"/>
    <col min="13754" max="13754" width="8.44140625" style="3" customWidth="1"/>
    <col min="13755" max="13755" width="6.44140625" style="3" customWidth="1"/>
    <col min="13756" max="13756" width="11.88671875" style="3" customWidth="1"/>
    <col min="13757" max="13757" width="7.88671875" style="3" customWidth="1"/>
    <col min="13758" max="13758" width="11.44140625" style="3"/>
    <col min="13759" max="13759" width="5.44140625" style="3" customWidth="1"/>
    <col min="13760" max="13760" width="11.88671875" style="3" customWidth="1"/>
    <col min="13761" max="13761" width="4.109375" style="3" customWidth="1"/>
    <col min="13762" max="13762" width="2.6640625" style="3" customWidth="1"/>
    <col min="13763" max="13763" width="45.109375" style="3" bestFit="1" customWidth="1"/>
    <col min="13764" max="13764" width="7.44140625" style="3" bestFit="1" customWidth="1"/>
    <col min="13765" max="14005" width="11.44140625" style="3"/>
    <col min="14006" max="14006" width="8.44140625" style="3" customWidth="1"/>
    <col min="14007" max="14007" width="12.109375" style="3" customWidth="1"/>
    <col min="14008" max="14008" width="21.44140625" style="3" customWidth="1"/>
    <col min="14009" max="14009" width="10.5546875" style="3" customWidth="1"/>
    <col min="14010" max="14010" width="8.44140625" style="3" customWidth="1"/>
    <col min="14011" max="14011" width="6.44140625" style="3" customWidth="1"/>
    <col min="14012" max="14012" width="11.88671875" style="3" customWidth="1"/>
    <col min="14013" max="14013" width="7.88671875" style="3" customWidth="1"/>
    <col min="14014" max="14014" width="11.44140625" style="3"/>
    <col min="14015" max="14015" width="5.44140625" style="3" customWidth="1"/>
    <col min="14016" max="14016" width="11.88671875" style="3" customWidth="1"/>
    <col min="14017" max="14017" width="4.109375" style="3" customWidth="1"/>
    <col min="14018" max="14018" width="2.6640625" style="3" customWidth="1"/>
    <col min="14019" max="14019" width="45.109375" style="3" bestFit="1" customWidth="1"/>
    <col min="14020" max="14020" width="7.44140625" style="3" bestFit="1" customWidth="1"/>
    <col min="14021" max="14261" width="11.44140625" style="3"/>
    <col min="14262" max="14262" width="8.44140625" style="3" customWidth="1"/>
    <col min="14263" max="14263" width="12.109375" style="3" customWidth="1"/>
    <col min="14264" max="14264" width="21.44140625" style="3" customWidth="1"/>
    <col min="14265" max="14265" width="10.5546875" style="3" customWidth="1"/>
    <col min="14266" max="14266" width="8.44140625" style="3" customWidth="1"/>
    <col min="14267" max="14267" width="6.44140625" style="3" customWidth="1"/>
    <col min="14268" max="14268" width="11.88671875" style="3" customWidth="1"/>
    <col min="14269" max="14269" width="7.88671875" style="3" customWidth="1"/>
    <col min="14270" max="14270" width="11.44140625" style="3"/>
    <col min="14271" max="14271" width="5.44140625" style="3" customWidth="1"/>
    <col min="14272" max="14272" width="11.88671875" style="3" customWidth="1"/>
    <col min="14273" max="14273" width="4.109375" style="3" customWidth="1"/>
    <col min="14274" max="14274" width="2.6640625" style="3" customWidth="1"/>
    <col min="14275" max="14275" width="45.109375" style="3" bestFit="1" customWidth="1"/>
    <col min="14276" max="14276" width="7.44140625" style="3" bestFit="1" customWidth="1"/>
    <col min="14277" max="14517" width="11.44140625" style="3"/>
    <col min="14518" max="14518" width="8.44140625" style="3" customWidth="1"/>
    <col min="14519" max="14519" width="12.109375" style="3" customWidth="1"/>
    <col min="14520" max="14520" width="21.44140625" style="3" customWidth="1"/>
    <col min="14521" max="14521" width="10.5546875" style="3" customWidth="1"/>
    <col min="14522" max="14522" width="8.44140625" style="3" customWidth="1"/>
    <col min="14523" max="14523" width="6.44140625" style="3" customWidth="1"/>
    <col min="14524" max="14524" width="11.88671875" style="3" customWidth="1"/>
    <col min="14525" max="14525" width="7.88671875" style="3" customWidth="1"/>
    <col min="14526" max="14526" width="11.44140625" style="3"/>
    <col min="14527" max="14527" width="5.44140625" style="3" customWidth="1"/>
    <col min="14528" max="14528" width="11.88671875" style="3" customWidth="1"/>
    <col min="14529" max="14529" width="4.109375" style="3" customWidth="1"/>
    <col min="14530" max="14530" width="2.6640625" style="3" customWidth="1"/>
    <col min="14531" max="14531" width="45.109375" style="3" bestFit="1" customWidth="1"/>
    <col min="14532" max="14532" width="7.44140625" style="3" bestFit="1" customWidth="1"/>
    <col min="14533" max="14773" width="11.44140625" style="3"/>
    <col min="14774" max="14774" width="8.44140625" style="3" customWidth="1"/>
    <col min="14775" max="14775" width="12.109375" style="3" customWidth="1"/>
    <col min="14776" max="14776" width="21.44140625" style="3" customWidth="1"/>
    <col min="14777" max="14777" width="10.5546875" style="3" customWidth="1"/>
    <col min="14778" max="14778" width="8.44140625" style="3" customWidth="1"/>
    <col min="14779" max="14779" width="6.44140625" style="3" customWidth="1"/>
    <col min="14780" max="14780" width="11.88671875" style="3" customWidth="1"/>
    <col min="14781" max="14781" width="7.88671875" style="3" customWidth="1"/>
    <col min="14782" max="14782" width="11.44140625" style="3"/>
    <col min="14783" max="14783" width="5.44140625" style="3" customWidth="1"/>
    <col min="14784" max="14784" width="11.88671875" style="3" customWidth="1"/>
    <col min="14785" max="14785" width="4.109375" style="3" customWidth="1"/>
    <col min="14786" max="14786" width="2.6640625" style="3" customWidth="1"/>
    <col min="14787" max="14787" width="45.109375" style="3" bestFit="1" customWidth="1"/>
    <col min="14788" max="14788" width="7.44140625" style="3" bestFit="1" customWidth="1"/>
    <col min="14789" max="15029" width="11.44140625" style="3"/>
    <col min="15030" max="15030" width="8.44140625" style="3" customWidth="1"/>
    <col min="15031" max="15031" width="12.109375" style="3" customWidth="1"/>
    <col min="15032" max="15032" width="21.44140625" style="3" customWidth="1"/>
    <col min="15033" max="15033" width="10.5546875" style="3" customWidth="1"/>
    <col min="15034" max="15034" width="8.44140625" style="3" customWidth="1"/>
    <col min="15035" max="15035" width="6.44140625" style="3" customWidth="1"/>
    <col min="15036" max="15036" width="11.88671875" style="3" customWidth="1"/>
    <col min="15037" max="15037" width="7.88671875" style="3" customWidth="1"/>
    <col min="15038" max="15038" width="11.44140625" style="3"/>
    <col min="15039" max="15039" width="5.44140625" style="3" customWidth="1"/>
    <col min="15040" max="15040" width="11.88671875" style="3" customWidth="1"/>
    <col min="15041" max="15041" width="4.109375" style="3" customWidth="1"/>
    <col min="15042" max="15042" width="2.6640625" style="3" customWidth="1"/>
    <col min="15043" max="15043" width="45.109375" style="3" bestFit="1" customWidth="1"/>
    <col min="15044" max="15044" width="7.44140625" style="3" bestFit="1" customWidth="1"/>
    <col min="15045" max="15285" width="11.44140625" style="3"/>
    <col min="15286" max="15286" width="8.44140625" style="3" customWidth="1"/>
    <col min="15287" max="15287" width="12.109375" style="3" customWidth="1"/>
    <col min="15288" max="15288" width="21.44140625" style="3" customWidth="1"/>
    <col min="15289" max="15289" width="10.5546875" style="3" customWidth="1"/>
    <col min="15290" max="15290" width="8.44140625" style="3" customWidth="1"/>
    <col min="15291" max="15291" width="6.44140625" style="3" customWidth="1"/>
    <col min="15292" max="15292" width="11.88671875" style="3" customWidth="1"/>
    <col min="15293" max="15293" width="7.88671875" style="3" customWidth="1"/>
    <col min="15294" max="15294" width="11.44140625" style="3"/>
    <col min="15295" max="15295" width="5.44140625" style="3" customWidth="1"/>
    <col min="15296" max="15296" width="11.88671875" style="3" customWidth="1"/>
    <col min="15297" max="15297" width="4.109375" style="3" customWidth="1"/>
    <col min="15298" max="15298" width="2.6640625" style="3" customWidth="1"/>
    <col min="15299" max="15299" width="45.109375" style="3" bestFit="1" customWidth="1"/>
    <col min="15300" max="15300" width="7.44140625" style="3" bestFit="1" customWidth="1"/>
    <col min="15301" max="15541" width="11.44140625" style="3"/>
    <col min="15542" max="15542" width="8.44140625" style="3" customWidth="1"/>
    <col min="15543" max="15543" width="12.109375" style="3" customWidth="1"/>
    <col min="15544" max="15544" width="21.44140625" style="3" customWidth="1"/>
    <col min="15545" max="15545" width="10.5546875" style="3" customWidth="1"/>
    <col min="15546" max="15546" width="8.44140625" style="3" customWidth="1"/>
    <col min="15547" max="15547" width="6.44140625" style="3" customWidth="1"/>
    <col min="15548" max="15548" width="11.88671875" style="3" customWidth="1"/>
    <col min="15549" max="15549" width="7.88671875" style="3" customWidth="1"/>
    <col min="15550" max="15550" width="11.44140625" style="3"/>
    <col min="15551" max="15551" width="5.44140625" style="3" customWidth="1"/>
    <col min="15552" max="15552" width="11.88671875" style="3" customWidth="1"/>
    <col min="15553" max="15553" width="4.109375" style="3" customWidth="1"/>
    <col min="15554" max="15554" width="2.6640625" style="3" customWidth="1"/>
    <col min="15555" max="15555" width="45.109375" style="3" bestFit="1" customWidth="1"/>
    <col min="15556" max="15556" width="7.44140625" style="3" bestFit="1" customWidth="1"/>
    <col min="15557" max="15797" width="11.44140625" style="3"/>
    <col min="15798" max="15798" width="8.44140625" style="3" customWidth="1"/>
    <col min="15799" max="15799" width="12.109375" style="3" customWidth="1"/>
    <col min="15800" max="15800" width="21.44140625" style="3" customWidth="1"/>
    <col min="15801" max="15801" width="10.5546875" style="3" customWidth="1"/>
    <col min="15802" max="15802" width="8.44140625" style="3" customWidth="1"/>
    <col min="15803" max="15803" width="6.44140625" style="3" customWidth="1"/>
    <col min="15804" max="15804" width="11.88671875" style="3" customWidth="1"/>
    <col min="15805" max="15805" width="7.88671875" style="3" customWidth="1"/>
    <col min="15806" max="15806" width="11.44140625" style="3"/>
    <col min="15807" max="15807" width="5.44140625" style="3" customWidth="1"/>
    <col min="15808" max="15808" width="11.88671875" style="3" customWidth="1"/>
    <col min="15809" max="15809" width="4.109375" style="3" customWidth="1"/>
    <col min="15810" max="15810" width="2.6640625" style="3" customWidth="1"/>
    <col min="15811" max="15811" width="45.109375" style="3" bestFit="1" customWidth="1"/>
    <col min="15812" max="15812" width="7.44140625" style="3" bestFit="1" customWidth="1"/>
    <col min="15813" max="16053" width="11.44140625" style="3"/>
    <col min="16054" max="16054" width="8.44140625" style="3" customWidth="1"/>
    <col min="16055" max="16055" width="12.109375" style="3" customWidth="1"/>
    <col min="16056" max="16056" width="21.44140625" style="3" customWidth="1"/>
    <col min="16057" max="16057" width="10.5546875" style="3" customWidth="1"/>
    <col min="16058" max="16058" width="8.44140625" style="3" customWidth="1"/>
    <col min="16059" max="16059" width="6.44140625" style="3" customWidth="1"/>
    <col min="16060" max="16060" width="11.88671875" style="3" customWidth="1"/>
    <col min="16061" max="16061" width="7.88671875" style="3" customWidth="1"/>
    <col min="16062" max="16062" width="11.44140625" style="3"/>
    <col min="16063" max="16063" width="5.44140625" style="3" customWidth="1"/>
    <col min="16064" max="16064" width="11.88671875" style="3" customWidth="1"/>
    <col min="16065" max="16065" width="4.109375" style="3" customWidth="1"/>
    <col min="16066" max="16066" width="2.6640625" style="3" customWidth="1"/>
    <col min="16067" max="16067" width="45.109375" style="3" bestFit="1" customWidth="1"/>
    <col min="16068" max="16068" width="7.44140625" style="3" bestFit="1" customWidth="1"/>
    <col min="16069" max="16383" width="11.44140625" style="3"/>
    <col min="16384" max="16384" width="11.44140625" style="3" customWidth="1"/>
  </cols>
  <sheetData>
    <row r="1" spans="1:12" ht="13.95" customHeight="1">
      <c r="A1" s="1"/>
      <c r="B1" s="1"/>
      <c r="C1" s="2"/>
      <c r="D1" s="1"/>
      <c r="E1" s="1"/>
      <c r="F1" s="1"/>
      <c r="G1" s="260" t="s">
        <v>629</v>
      </c>
      <c r="H1" s="261">
        <f>+'Data from DB'!B3</f>
        <v>0</v>
      </c>
      <c r="K1" s="1"/>
      <c r="L1" s="1"/>
    </row>
    <row r="2" spans="1:12" ht="52.95" customHeight="1">
      <c r="A2" s="4"/>
      <c r="B2" s="4"/>
      <c r="C2" s="4"/>
      <c r="D2" s="4"/>
      <c r="E2" s="4"/>
      <c r="F2" s="4"/>
      <c r="G2" s="4"/>
      <c r="H2" s="4"/>
      <c r="J2" s="4"/>
      <c r="K2" s="4"/>
      <c r="L2" s="4"/>
    </row>
    <row r="3" spans="1:12" ht="15" customHeight="1">
      <c r="A3" s="5" t="s">
        <v>0</v>
      </c>
      <c r="B3" s="6"/>
      <c r="C3" s="376">
        <f>+'Data from DB'!B4</f>
        <v>0</v>
      </c>
      <c r="D3" s="376"/>
      <c r="E3" s="376"/>
      <c r="F3" s="5" t="s">
        <v>1</v>
      </c>
      <c r="G3" s="7"/>
      <c r="H3" s="7"/>
      <c r="I3" s="376">
        <f>+'Data from DB'!B5</f>
        <v>0</v>
      </c>
      <c r="J3" s="376"/>
      <c r="K3" s="376"/>
      <c r="L3" s="376"/>
    </row>
    <row r="4" spans="1:12" ht="17.399999999999999">
      <c r="A4" s="7"/>
      <c r="B4" s="6"/>
      <c r="C4" s="7"/>
      <c r="D4" s="7"/>
      <c r="E4" s="7"/>
      <c r="F4" s="7"/>
      <c r="G4" s="7"/>
      <c r="H4" s="7"/>
      <c r="I4" s="7"/>
      <c r="J4" s="7"/>
      <c r="K4" s="9"/>
      <c r="L4" s="9"/>
    </row>
    <row r="5" spans="1:12" ht="17.399999999999999" customHeight="1">
      <c r="A5" s="7" t="s">
        <v>2</v>
      </c>
      <c r="B5" s="6"/>
      <c r="C5" s="377">
        <f>+'Data from DB'!B6</f>
        <v>0</v>
      </c>
      <c r="D5" s="377"/>
      <c r="E5" s="377"/>
      <c r="F5" s="5" t="s">
        <v>3</v>
      </c>
      <c r="G5" s="7"/>
      <c r="H5" s="7"/>
      <c r="I5" s="380">
        <f>+'Data from DB'!B7</f>
        <v>0</v>
      </c>
      <c r="J5" s="380"/>
      <c r="K5" s="380"/>
      <c r="L5" s="380"/>
    </row>
    <row r="6" spans="1:12" ht="14.4" customHeight="1">
      <c r="A6" s="10"/>
      <c r="B6" s="11"/>
      <c r="C6" s="11"/>
      <c r="D6" s="11"/>
      <c r="E6" s="11"/>
      <c r="F6" s="12"/>
      <c r="G6" s="10"/>
      <c r="H6" s="10"/>
      <c r="I6" s="10"/>
      <c r="J6" s="8"/>
      <c r="K6" s="8"/>
      <c r="L6" s="8"/>
    </row>
    <row r="7" spans="1:12" ht="20.399999999999999" customHeight="1">
      <c r="C7" s="13" t="str">
        <f>CONCATENATE('Data from DB'!B8,"CERTIFICATE")</f>
        <v>CERTIFICATE</v>
      </c>
      <c r="D7" s="13"/>
      <c r="E7" s="13"/>
      <c r="F7" s="13"/>
      <c r="G7" s="13"/>
    </row>
    <row r="8" spans="1:12" ht="10.199999999999999" customHeight="1">
      <c r="A8" s="10"/>
      <c r="B8" s="11"/>
      <c r="C8" s="11"/>
      <c r="D8" s="11"/>
      <c r="E8" s="11"/>
      <c r="F8" s="12"/>
      <c r="G8" s="10"/>
      <c r="H8" s="10"/>
      <c r="I8" s="10"/>
      <c r="J8" s="8"/>
      <c r="K8" s="8"/>
      <c r="L8" s="8"/>
    </row>
    <row r="9" spans="1:12" ht="17.399999999999999">
      <c r="A9" s="7" t="str">
        <f>CONCATENATE("At the request of ",'Data from DB'!B10,,", the undersigned MSL Marine Surveyor,")</f>
        <v>At the request of , the undersigned MSL Marine Surveyor,</v>
      </c>
      <c r="B9" s="15"/>
      <c r="C9" s="15"/>
      <c r="D9" s="15"/>
      <c r="E9" s="15"/>
      <c r="F9" s="5"/>
      <c r="G9" s="7"/>
      <c r="H9" s="7"/>
      <c r="I9" s="7"/>
      <c r="J9" s="16"/>
      <c r="K9" s="16"/>
      <c r="L9" s="16"/>
    </row>
    <row r="10" spans="1:12" ht="17.399999999999999">
      <c r="A10" s="5" t="s">
        <v>154</v>
      </c>
      <c r="B10" s="15"/>
      <c r="D10" s="6" t="str">
        <f xml:space="preserve"> +" M/V "  &amp; + C3</f>
        <v xml:space="preserve"> M/V 0</v>
      </c>
      <c r="G10" s="7"/>
      <c r="H10" s="17"/>
      <c r="I10" s="7"/>
      <c r="J10" s="16"/>
      <c r="K10" s="16"/>
      <c r="L10" s="16"/>
    </row>
    <row r="11" spans="1:12" ht="17.399999999999999">
      <c r="A11" s="7"/>
      <c r="B11" s="15"/>
      <c r="C11" s="15"/>
      <c r="D11" s="15"/>
      <c r="E11" s="15"/>
      <c r="F11" s="5"/>
      <c r="G11" s="7"/>
      <c r="H11" s="7"/>
      <c r="I11" s="7"/>
      <c r="J11" s="16"/>
      <c r="K11" s="16"/>
      <c r="L11" s="16"/>
    </row>
    <row r="12" spans="1:12" ht="28.8">
      <c r="A12" s="18" t="s">
        <v>4</v>
      </c>
      <c r="B12" s="15"/>
      <c r="C12" s="15"/>
      <c r="E12" s="14"/>
      <c r="F12" s="14"/>
      <c r="G12" s="14"/>
      <c r="H12" s="14"/>
      <c r="I12" s="14"/>
      <c r="J12" s="14"/>
      <c r="K12" s="14"/>
      <c r="L12" s="14"/>
    </row>
    <row r="13" spans="1:12" ht="17.399999999999999">
      <c r="A13" s="248" t="s">
        <v>5</v>
      </c>
      <c r="B13" s="263" t="str">
        <f>CONCATENATE("Vessel arrived to ",'Data from DB'!B446,"on"," ",'Data from DB'!B13,"at ",'Data from DB'!B470,":",'Data from DB'!B471," ","LT")</f>
        <v>Vessel arrived to on at : LT</v>
      </c>
      <c r="C13" s="250"/>
      <c r="D13" s="250"/>
      <c r="E13" s="250"/>
      <c r="F13" s="249"/>
      <c r="G13" s="248"/>
      <c r="H13" s="248"/>
      <c r="I13" s="7"/>
      <c r="J13" s="16"/>
      <c r="K13" s="16"/>
      <c r="L13" s="16"/>
    </row>
    <row r="14" spans="1:12" ht="17.399999999999999">
      <c r="A14" s="5" t="s">
        <v>6</v>
      </c>
      <c r="B14" s="5" t="str">
        <f>CONCATENATE("On ",'Data from DB'!B402,"at ",'Data from DB'!B454,":",'Data from DB'!B456," ","LT, the undersigned Marine Surveyor start the+'Data from DB'!B8 "," ","Survey")</f>
        <v>On at : LT, the undersigned Marine Surveyor start the+'Data from DB'!B8  Survey</v>
      </c>
      <c r="D14" s="15"/>
      <c r="E14" s="15"/>
      <c r="F14" s="5"/>
      <c r="G14" s="7"/>
      <c r="H14" s="7"/>
      <c r="I14" s="7"/>
      <c r="J14" s="16"/>
      <c r="K14" s="16"/>
      <c r="L14" s="16"/>
    </row>
    <row r="15" spans="1:12" ht="17.399999999999999">
      <c r="A15" s="5"/>
      <c r="B15" s="5" t="str">
        <f>CONCATENATE("Survey untill on ",'Data from DB'!B403,"at ",'Data from DB'!B455,":",'Data from DB'!B457," ","LT.")</f>
        <v>Survey untill on at : LT.</v>
      </c>
      <c r="C15" s="15"/>
      <c r="D15" s="15"/>
      <c r="E15" s="15"/>
      <c r="F15" s="5"/>
      <c r="G15" s="7"/>
      <c r="H15" s="7"/>
      <c r="I15" s="7"/>
      <c r="J15" s="16"/>
      <c r="K15" s="16"/>
      <c r="L15" s="16"/>
    </row>
    <row r="16" spans="1:12" ht="17.399999999999999">
      <c r="A16" s="18" t="s">
        <v>7</v>
      </c>
      <c r="C16" s="15"/>
      <c r="D16" s="15"/>
      <c r="E16" s="15"/>
      <c r="F16" s="5"/>
      <c r="G16" s="7"/>
      <c r="H16" s="7"/>
      <c r="I16" s="7"/>
      <c r="J16" s="16"/>
      <c r="K16" s="16"/>
      <c r="L16" s="16"/>
    </row>
    <row r="17" spans="1:14" ht="17.399999999999999">
      <c r="A17" s="7" t="s">
        <v>8</v>
      </c>
      <c r="B17" s="5" t="s">
        <v>9</v>
      </c>
      <c r="D17" s="15"/>
      <c r="E17" s="15"/>
      <c r="F17" s="5"/>
      <c r="G17" s="7"/>
      <c r="H17" s="7"/>
      <c r="I17" s="7"/>
      <c r="J17" s="19"/>
      <c r="K17" s="16"/>
      <c r="L17" s="16"/>
    </row>
    <row r="18" spans="1:14" ht="17.399999999999999">
      <c r="B18" s="16" t="s">
        <v>10</v>
      </c>
      <c r="C18" s="15"/>
      <c r="D18" s="15"/>
      <c r="E18" s="15"/>
      <c r="F18" s="5"/>
      <c r="G18" s="7"/>
      <c r="H18" s="7"/>
      <c r="I18" s="7"/>
      <c r="J18" s="16"/>
      <c r="K18" s="16"/>
      <c r="L18" s="16"/>
    </row>
    <row r="19" spans="1:14" ht="17.399999999999999">
      <c r="A19" s="7"/>
      <c r="B19" s="259" t="s">
        <v>152</v>
      </c>
      <c r="C19" s="15"/>
      <c r="D19" s="15"/>
      <c r="E19" s="15"/>
      <c r="F19" s="5"/>
      <c r="G19" s="7"/>
      <c r="H19" s="7"/>
      <c r="I19" s="7"/>
      <c r="J19" s="16"/>
      <c r="K19" s="16"/>
      <c r="L19" s="16"/>
    </row>
    <row r="20" spans="1:14" ht="17.399999999999999">
      <c r="A20" s="5"/>
      <c r="B20" s="259" t="s">
        <v>12</v>
      </c>
      <c r="C20" s="15"/>
      <c r="D20" s="15"/>
      <c r="E20" s="15"/>
      <c r="F20" s="5"/>
      <c r="G20" s="7"/>
      <c r="H20" s="7"/>
      <c r="I20" s="7"/>
      <c r="J20" s="16"/>
      <c r="K20" s="16"/>
      <c r="L20" s="16"/>
    </row>
    <row r="21" spans="1:14" ht="17.399999999999999">
      <c r="A21" s="18" t="s">
        <v>11</v>
      </c>
      <c r="E21" s="254"/>
      <c r="F21" s="5"/>
      <c r="G21" s="7"/>
      <c r="I21" s="7"/>
      <c r="J21" s="16"/>
      <c r="K21" s="16"/>
      <c r="L21" s="16"/>
    </row>
    <row r="22" spans="1:14" ht="17.399999999999999">
      <c r="A22" s="5" t="s">
        <v>13</v>
      </c>
      <c r="B22" s="5">
        <f>+'Data from DB'!B24</f>
        <v>0</v>
      </c>
      <c r="C22" s="15"/>
      <c r="D22" s="15"/>
      <c r="E22" s="254"/>
      <c r="F22" s="5"/>
      <c r="G22" s="7"/>
      <c r="H22" s="7"/>
      <c r="I22" s="7"/>
      <c r="J22" s="16"/>
      <c r="K22" s="16"/>
      <c r="L22" s="16"/>
    </row>
    <row r="23" spans="1:14" ht="17.399999999999999">
      <c r="B23" s="5"/>
      <c r="C23" s="15"/>
      <c r="D23" s="15"/>
      <c r="E23" s="15"/>
      <c r="F23" s="5"/>
      <c r="G23" s="7"/>
      <c r="H23" s="7"/>
      <c r="I23" s="7"/>
      <c r="J23" s="16"/>
      <c r="K23" s="16"/>
      <c r="L23" s="16"/>
    </row>
    <row r="24" spans="1:14" ht="17.399999999999999">
      <c r="A24" s="18" t="s">
        <v>14</v>
      </c>
      <c r="B24" s="16"/>
      <c r="C24" s="15"/>
      <c r="D24" s="15"/>
      <c r="E24" s="15"/>
      <c r="F24" s="5"/>
      <c r="G24" s="7"/>
      <c r="H24" s="7"/>
      <c r="I24" s="7"/>
      <c r="J24" s="16"/>
      <c r="K24" s="16"/>
      <c r="L24" s="16"/>
    </row>
    <row r="25" spans="1:14" ht="17.399999999999999">
      <c r="B25" s="15"/>
      <c r="I25" s="7"/>
      <c r="J25" s="16"/>
      <c r="K25" s="16"/>
      <c r="L25" s="16"/>
    </row>
    <row r="26" spans="1:14" ht="17.399999999999999">
      <c r="A26" s="5" t="s">
        <v>15</v>
      </c>
      <c r="B26" s="378" t="str">
        <f>CONCATENATE("DLOSP at ",'Data from DB'!B16," ","on "," ",'Data from DB'!B15,"at "," ",'Data from DB'!B458,":",'Data from DB'!B459," ","LT")</f>
        <v>DLOSP at  on  at  : LT</v>
      </c>
      <c r="C26" s="378"/>
      <c r="D26" s="378"/>
      <c r="E26" s="378"/>
      <c r="F26" s="378"/>
      <c r="G26" s="378"/>
      <c r="H26" s="378"/>
      <c r="I26" s="255">
        <f>+'Data from DB'!B8</f>
        <v>0</v>
      </c>
      <c r="N26" s="3" t="s">
        <v>158</v>
      </c>
    </row>
    <row r="27" spans="1:14" ht="18" customHeight="1" thickBot="1"/>
    <row r="28" spans="1:14" ht="18" customHeight="1" thickBot="1">
      <c r="A28" s="20" t="s">
        <v>16</v>
      </c>
      <c r="B28" s="21"/>
      <c r="C28" s="22"/>
      <c r="D28" s="23" t="s">
        <v>17</v>
      </c>
      <c r="E28" s="24" t="s">
        <v>18</v>
      </c>
      <c r="F28" s="25" t="e">
        <f>CALCULATIONS!$J$22</f>
        <v>#REF!</v>
      </c>
      <c r="G28" s="26" t="s">
        <v>19</v>
      </c>
      <c r="H28" s="27" t="s">
        <v>20</v>
      </c>
      <c r="I28" s="27"/>
      <c r="J28" s="28">
        <f>CALCULATIONS!$J$32</f>
        <v>0</v>
      </c>
      <c r="K28" s="23" t="s">
        <v>19</v>
      </c>
      <c r="L28" s="29"/>
    </row>
    <row r="29" spans="1:14" ht="18" customHeight="1">
      <c r="A29" s="30">
        <f>+'Data from DB'!B406</f>
        <v>0</v>
      </c>
      <c r="C29" s="232">
        <f>+'Data from DB'!B407</f>
        <v>0</v>
      </c>
      <c r="D29" s="233"/>
      <c r="E29" s="234" t="s">
        <v>21</v>
      </c>
      <c r="F29" s="235">
        <f>+'Data from DB'!B408</f>
        <v>0</v>
      </c>
      <c r="G29" s="240" t="s">
        <v>19</v>
      </c>
      <c r="H29" s="27" t="s">
        <v>20</v>
      </c>
      <c r="I29" s="236">
        <f>+'Data from DB'!B409</f>
        <v>0</v>
      </c>
      <c r="J29" s="237">
        <v>0</v>
      </c>
      <c r="K29" s="238" t="s">
        <v>19</v>
      </c>
      <c r="L29" s="31"/>
    </row>
    <row r="30" spans="1:14" ht="18" customHeight="1">
      <c r="A30" s="262">
        <f>+'Data from DB'!B410</f>
        <v>0</v>
      </c>
      <c r="C30" s="239">
        <f>+'Data from DB'!B411</f>
        <v>0</v>
      </c>
      <c r="E30" s="234" t="s">
        <v>21</v>
      </c>
      <c r="F30" s="258">
        <f>+'Data from DB'!B412</f>
        <v>0</v>
      </c>
      <c r="G30" s="240" t="s">
        <v>19</v>
      </c>
      <c r="H30" s="241" t="s">
        <v>22</v>
      </c>
      <c r="I30" s="241">
        <f>+'Data from DB'!B413</f>
        <v>0</v>
      </c>
      <c r="J30" s="258"/>
      <c r="K30" s="240" t="s">
        <v>19</v>
      </c>
      <c r="L30" s="32"/>
    </row>
    <row r="31" spans="1:14" ht="18" customHeight="1">
      <c r="A31" s="262">
        <f>+'Data from DB'!B414</f>
        <v>0</v>
      </c>
      <c r="C31" s="3">
        <f>+'Data from DB'!B415</f>
        <v>0</v>
      </c>
      <c r="E31" s="234" t="s">
        <v>21</v>
      </c>
      <c r="F31" s="258">
        <f>+'Data from DB'!B416</f>
        <v>0</v>
      </c>
      <c r="G31" s="240" t="s">
        <v>19</v>
      </c>
      <c r="H31" s="241" t="s">
        <v>22</v>
      </c>
      <c r="I31" s="241">
        <f>+'Data from DB'!B417</f>
        <v>0</v>
      </c>
      <c r="J31" s="258"/>
      <c r="K31" s="240" t="s">
        <v>19</v>
      </c>
      <c r="L31" s="32"/>
    </row>
    <row r="32" spans="1:14" ht="18" customHeight="1">
      <c r="A32" s="30">
        <f>+'Data from DB'!B418</f>
        <v>0</v>
      </c>
      <c r="C32" s="3">
        <f>+'Data from DB'!B419</f>
        <v>0</v>
      </c>
      <c r="E32" s="234" t="s">
        <v>21</v>
      </c>
      <c r="F32" s="3">
        <f>+'Data from DB'!B420</f>
        <v>0</v>
      </c>
      <c r="G32" s="240" t="s">
        <v>19</v>
      </c>
      <c r="H32" s="241" t="s">
        <v>22</v>
      </c>
      <c r="I32" s="47">
        <f>+'Data from DB'!B421</f>
        <v>0</v>
      </c>
      <c r="L32" s="32"/>
    </row>
    <row r="33" spans="1:12" ht="18" customHeight="1" thickBot="1">
      <c r="A33" s="251" t="s">
        <v>157</v>
      </c>
      <c r="B33" s="256">
        <v>45956</v>
      </c>
      <c r="C33" s="257">
        <v>0.14583333333333334</v>
      </c>
      <c r="D33" s="252" t="s">
        <v>23</v>
      </c>
      <c r="E33" s="253" t="s">
        <v>21</v>
      </c>
      <c r="F33" s="243" t="e">
        <f>F28+F30+F31</f>
        <v>#REF!</v>
      </c>
      <c r="G33" s="244" t="s">
        <v>19</v>
      </c>
      <c r="H33" s="245" t="s">
        <v>22</v>
      </c>
      <c r="I33" s="245"/>
      <c r="J33" s="246">
        <f>J28+J30+J31</f>
        <v>0</v>
      </c>
      <c r="K33" s="242" t="s">
        <v>19</v>
      </c>
      <c r="L33" s="247"/>
    </row>
    <row r="34" spans="1:12" ht="18" customHeight="1"/>
    <row r="35" spans="1:12" ht="18" customHeight="1">
      <c r="A35" s="10" t="str">
        <f>CONCATENATE("             Vessel was delivery from Owners ","(",'Data from DB'!B473,")"," ","to charterers "," ","(",'Data from DB'!B474,")"," ")</f>
        <v xml:space="preserve">             Vessel was delivery from Owners () to charterers  () </v>
      </c>
    </row>
    <row r="36" spans="1:12" ht="18" customHeight="1"/>
    <row r="37" spans="1:12" ht="18" customHeight="1">
      <c r="B37" s="229" t="s">
        <v>155</v>
      </c>
      <c r="C37" s="37"/>
    </row>
    <row r="38" spans="1:12" ht="19.8">
      <c r="B38" s="229" t="s">
        <v>153</v>
      </c>
      <c r="K38" s="38"/>
      <c r="L38" s="38"/>
    </row>
    <row r="39" spans="1:12" ht="19.95" customHeight="1">
      <c r="C39" s="39"/>
      <c r="G39" s="104"/>
      <c r="L39" s="38"/>
    </row>
    <row r="40" spans="1:12" ht="19.95" customHeight="1">
      <c r="A40" s="375" t="s">
        <v>156</v>
      </c>
      <c r="B40" s="375"/>
      <c r="C40" s="39"/>
      <c r="G40" s="104"/>
      <c r="H40" s="379"/>
      <c r="I40" s="379"/>
      <c r="J40" s="379"/>
      <c r="K40" s="379"/>
      <c r="L40" s="379"/>
    </row>
    <row r="41" spans="1:12" ht="19.8">
      <c r="A41" s="373" t="s">
        <v>24</v>
      </c>
      <c r="B41" s="373"/>
      <c r="C41" s="41"/>
      <c r="D41" s="41"/>
      <c r="E41" s="15"/>
      <c r="F41" s="5"/>
      <c r="G41" s="10"/>
      <c r="H41" s="374" t="str">
        <f xml:space="preserve"> +" Master  "  &amp; + C3</f>
        <v xml:space="preserve"> Master  0</v>
      </c>
      <c r="I41" s="374"/>
      <c r="J41" s="374"/>
      <c r="K41" s="374"/>
      <c r="L41" s="374"/>
    </row>
    <row r="42" spans="1:12" ht="19.8">
      <c r="B42" s="40" t="s">
        <v>77</v>
      </c>
      <c r="C42" s="41"/>
      <c r="D42" s="41"/>
      <c r="E42" s="15"/>
      <c r="F42" s="5"/>
      <c r="G42" s="10"/>
      <c r="H42" s="10"/>
      <c r="I42" s="10"/>
      <c r="J42" s="38"/>
      <c r="K42" s="38"/>
    </row>
    <row r="43" spans="1:12" ht="18">
      <c r="B43" s="43" t="s">
        <v>78</v>
      </c>
      <c r="C43" s="44"/>
      <c r="D43" s="44"/>
      <c r="E43" s="45"/>
      <c r="F43" s="46"/>
      <c r="J43" s="42"/>
      <c r="K43" s="42"/>
      <c r="L43" s="42"/>
    </row>
    <row r="44" spans="1:12" ht="18">
      <c r="B44" s="44"/>
      <c r="C44" s="44"/>
      <c r="D44" s="44"/>
      <c r="E44" s="45"/>
      <c r="F44" s="46"/>
      <c r="J44" s="42"/>
      <c r="K44" s="42"/>
      <c r="L44" s="42"/>
    </row>
  </sheetData>
  <mergeCells count="9">
    <mergeCell ref="A41:B41"/>
    <mergeCell ref="H41:L41"/>
    <mergeCell ref="A40:B40"/>
    <mergeCell ref="C3:E3"/>
    <mergeCell ref="C5:E5"/>
    <mergeCell ref="B26:H26"/>
    <mergeCell ref="H40:L40"/>
    <mergeCell ref="I3:L3"/>
    <mergeCell ref="I5:L5"/>
  </mergeCells>
  <pageMargins left="0.23622047244094491" right="0.23622047244094491" top="0.74803149606299213" bottom="0.74803149606299213" header="0.31496062992125984" footer="0.31496062992125984"/>
  <pageSetup scale="77" fitToHeight="2" orientation="portrait" r:id="rId1"/>
  <headerFooter differentFirst="1"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48BCC-5430-4AA8-83AE-8E55524E1DD8}">
  <dimension ref="A1:U47"/>
  <sheetViews>
    <sheetView showGridLines="0" showZeros="0" zoomScale="130" zoomScaleNormal="130" workbookViewId="0">
      <selection activeCell="L5" sqref="L5"/>
    </sheetView>
  </sheetViews>
  <sheetFormatPr defaultColWidth="9.109375" defaultRowHeight="13.2"/>
  <cols>
    <col min="1" max="1" width="3.44140625" style="264" customWidth="1"/>
    <col min="2" max="2" width="7.33203125" style="264" customWidth="1"/>
    <col min="3" max="3" width="13.5546875" style="264" customWidth="1"/>
    <col min="4" max="4" width="7.109375" style="264" customWidth="1"/>
    <col min="5" max="5" width="8.5546875" style="264" customWidth="1"/>
    <col min="6" max="6" width="9" style="264" customWidth="1"/>
    <col min="7" max="7" width="7" style="264" customWidth="1"/>
    <col min="8" max="8" width="7.44140625" style="264" bestFit="1" customWidth="1"/>
    <col min="9" max="9" width="17.109375" style="264" customWidth="1"/>
    <col min="10" max="10" width="11.44140625" style="264" customWidth="1"/>
    <col min="11" max="11" width="3.88671875" style="48" customWidth="1"/>
    <col min="12" max="13" width="12.109375" style="48" bestFit="1" customWidth="1"/>
    <col min="14" max="16" width="9.109375" style="48" customWidth="1"/>
    <col min="17" max="17" width="11.33203125" style="48" customWidth="1"/>
    <col min="18" max="230" width="9.109375" style="48"/>
    <col min="231" max="231" width="3.109375" style="48" customWidth="1"/>
    <col min="232" max="232" width="3.44140625" style="48" customWidth="1"/>
    <col min="233" max="233" width="7.33203125" style="48" customWidth="1"/>
    <col min="234" max="234" width="13.5546875" style="48" customWidth="1"/>
    <col min="235" max="235" width="7.109375" style="48" customWidth="1"/>
    <col min="236" max="236" width="8.5546875" style="48" customWidth="1"/>
    <col min="237" max="237" width="9" style="48" customWidth="1"/>
    <col min="238" max="238" width="5.109375" style="48" customWidth="1"/>
    <col min="239" max="239" width="8.44140625" style="48" customWidth="1"/>
    <col min="240" max="240" width="17.109375" style="48" customWidth="1"/>
    <col min="241" max="241" width="18" style="48" customWidth="1"/>
    <col min="242" max="242" width="3.88671875" style="48" customWidth="1"/>
    <col min="243" max="244" width="12.109375" style="48" bestFit="1" customWidth="1"/>
    <col min="245" max="247" width="9.109375" style="48"/>
    <col min="248" max="248" width="11.33203125" style="48" customWidth="1"/>
    <col min="249" max="486" width="9.109375" style="48"/>
    <col min="487" max="487" width="3.109375" style="48" customWidth="1"/>
    <col min="488" max="488" width="3.44140625" style="48" customWidth="1"/>
    <col min="489" max="489" width="7.33203125" style="48" customWidth="1"/>
    <col min="490" max="490" width="13.5546875" style="48" customWidth="1"/>
    <col min="491" max="491" width="7.109375" style="48" customWidth="1"/>
    <col min="492" max="492" width="8.5546875" style="48" customWidth="1"/>
    <col min="493" max="493" width="9" style="48" customWidth="1"/>
    <col min="494" max="494" width="5.109375" style="48" customWidth="1"/>
    <col min="495" max="495" width="8.44140625" style="48" customWidth="1"/>
    <col min="496" max="496" width="17.109375" style="48" customWidth="1"/>
    <col min="497" max="497" width="18" style="48" customWidth="1"/>
    <col min="498" max="498" width="3.88671875" style="48" customWidth="1"/>
    <col min="499" max="500" width="12.109375" style="48" bestFit="1" customWidth="1"/>
    <col min="501" max="503" width="9.109375" style="48"/>
    <col min="504" max="504" width="11.33203125" style="48" customWidth="1"/>
    <col min="505" max="742" width="9.109375" style="48"/>
    <col min="743" max="743" width="3.109375" style="48" customWidth="1"/>
    <col min="744" max="744" width="3.44140625" style="48" customWidth="1"/>
    <col min="745" max="745" width="7.33203125" style="48" customWidth="1"/>
    <col min="746" max="746" width="13.5546875" style="48" customWidth="1"/>
    <col min="747" max="747" width="7.109375" style="48" customWidth="1"/>
    <col min="748" max="748" width="8.5546875" style="48" customWidth="1"/>
    <col min="749" max="749" width="9" style="48" customWidth="1"/>
    <col min="750" max="750" width="5.109375" style="48" customWidth="1"/>
    <col min="751" max="751" width="8.44140625" style="48" customWidth="1"/>
    <col min="752" max="752" width="17.109375" style="48" customWidth="1"/>
    <col min="753" max="753" width="18" style="48" customWidth="1"/>
    <col min="754" max="754" width="3.88671875" style="48" customWidth="1"/>
    <col min="755" max="756" width="12.109375" style="48" bestFit="1" customWidth="1"/>
    <col min="757" max="759" width="9.109375" style="48"/>
    <col min="760" max="760" width="11.33203125" style="48" customWidth="1"/>
    <col min="761" max="998" width="9.109375" style="48"/>
    <col min="999" max="999" width="3.109375" style="48" customWidth="1"/>
    <col min="1000" max="1000" width="3.44140625" style="48" customWidth="1"/>
    <col min="1001" max="1001" width="7.33203125" style="48" customWidth="1"/>
    <col min="1002" max="1002" width="13.5546875" style="48" customWidth="1"/>
    <col min="1003" max="1003" width="7.109375" style="48" customWidth="1"/>
    <col min="1004" max="1004" width="8.5546875" style="48" customWidth="1"/>
    <col min="1005" max="1005" width="9" style="48" customWidth="1"/>
    <col min="1006" max="1006" width="5.109375" style="48" customWidth="1"/>
    <col min="1007" max="1007" width="8.44140625" style="48" customWidth="1"/>
    <col min="1008" max="1008" width="17.109375" style="48" customWidth="1"/>
    <col min="1009" max="1009" width="18" style="48" customWidth="1"/>
    <col min="1010" max="1010" width="3.88671875" style="48" customWidth="1"/>
    <col min="1011" max="1012" width="12.109375" style="48" bestFit="1" customWidth="1"/>
    <col min="1013" max="1015" width="9.109375" style="48"/>
    <col min="1016" max="1016" width="11.33203125" style="48" customWidth="1"/>
    <col min="1017" max="1254" width="9.109375" style="48"/>
    <col min="1255" max="1255" width="3.109375" style="48" customWidth="1"/>
    <col min="1256" max="1256" width="3.44140625" style="48" customWidth="1"/>
    <col min="1257" max="1257" width="7.33203125" style="48" customWidth="1"/>
    <col min="1258" max="1258" width="13.5546875" style="48" customWidth="1"/>
    <col min="1259" max="1259" width="7.109375" style="48" customWidth="1"/>
    <col min="1260" max="1260" width="8.5546875" style="48" customWidth="1"/>
    <col min="1261" max="1261" width="9" style="48" customWidth="1"/>
    <col min="1262" max="1262" width="5.109375" style="48" customWidth="1"/>
    <col min="1263" max="1263" width="8.44140625" style="48" customWidth="1"/>
    <col min="1264" max="1264" width="17.109375" style="48" customWidth="1"/>
    <col min="1265" max="1265" width="18" style="48" customWidth="1"/>
    <col min="1266" max="1266" width="3.88671875" style="48" customWidth="1"/>
    <col min="1267" max="1268" width="12.109375" style="48" bestFit="1" customWidth="1"/>
    <col min="1269" max="1271" width="9.109375" style="48"/>
    <col min="1272" max="1272" width="11.33203125" style="48" customWidth="1"/>
    <col min="1273" max="1510" width="9.109375" style="48"/>
    <col min="1511" max="1511" width="3.109375" style="48" customWidth="1"/>
    <col min="1512" max="1512" width="3.44140625" style="48" customWidth="1"/>
    <col min="1513" max="1513" width="7.33203125" style="48" customWidth="1"/>
    <col min="1514" max="1514" width="13.5546875" style="48" customWidth="1"/>
    <col min="1515" max="1515" width="7.109375" style="48" customWidth="1"/>
    <col min="1516" max="1516" width="8.5546875" style="48" customWidth="1"/>
    <col min="1517" max="1517" width="9" style="48" customWidth="1"/>
    <col min="1518" max="1518" width="5.109375" style="48" customWidth="1"/>
    <col min="1519" max="1519" width="8.44140625" style="48" customWidth="1"/>
    <col min="1520" max="1520" width="17.109375" style="48" customWidth="1"/>
    <col min="1521" max="1521" width="18" style="48" customWidth="1"/>
    <col min="1522" max="1522" width="3.88671875" style="48" customWidth="1"/>
    <col min="1523" max="1524" width="12.109375" style="48" bestFit="1" customWidth="1"/>
    <col min="1525" max="1527" width="9.109375" style="48"/>
    <col min="1528" max="1528" width="11.33203125" style="48" customWidth="1"/>
    <col min="1529" max="1766" width="9.109375" style="48"/>
    <col min="1767" max="1767" width="3.109375" style="48" customWidth="1"/>
    <col min="1768" max="1768" width="3.44140625" style="48" customWidth="1"/>
    <col min="1769" max="1769" width="7.33203125" style="48" customWidth="1"/>
    <col min="1770" max="1770" width="13.5546875" style="48" customWidth="1"/>
    <col min="1771" max="1771" width="7.109375" style="48" customWidth="1"/>
    <col min="1772" max="1772" width="8.5546875" style="48" customWidth="1"/>
    <col min="1773" max="1773" width="9" style="48" customWidth="1"/>
    <col min="1774" max="1774" width="5.109375" style="48" customWidth="1"/>
    <col min="1775" max="1775" width="8.44140625" style="48" customWidth="1"/>
    <col min="1776" max="1776" width="17.109375" style="48" customWidth="1"/>
    <col min="1777" max="1777" width="18" style="48" customWidth="1"/>
    <col min="1778" max="1778" width="3.88671875" style="48" customWidth="1"/>
    <col min="1779" max="1780" width="12.109375" style="48" bestFit="1" customWidth="1"/>
    <col min="1781" max="1783" width="9.109375" style="48"/>
    <col min="1784" max="1784" width="11.33203125" style="48" customWidth="1"/>
    <col min="1785" max="2022" width="9.109375" style="48"/>
    <col min="2023" max="2023" width="3.109375" style="48" customWidth="1"/>
    <col min="2024" max="2024" width="3.44140625" style="48" customWidth="1"/>
    <col min="2025" max="2025" width="7.33203125" style="48" customWidth="1"/>
    <col min="2026" max="2026" width="13.5546875" style="48" customWidth="1"/>
    <col min="2027" max="2027" width="7.109375" style="48" customWidth="1"/>
    <col min="2028" max="2028" width="8.5546875" style="48" customWidth="1"/>
    <col min="2029" max="2029" width="9" style="48" customWidth="1"/>
    <col min="2030" max="2030" width="5.109375" style="48" customWidth="1"/>
    <col min="2031" max="2031" width="8.44140625" style="48" customWidth="1"/>
    <col min="2032" max="2032" width="17.109375" style="48" customWidth="1"/>
    <col min="2033" max="2033" width="18" style="48" customWidth="1"/>
    <col min="2034" max="2034" width="3.88671875" style="48" customWidth="1"/>
    <col min="2035" max="2036" width="12.109375" style="48" bestFit="1" customWidth="1"/>
    <col min="2037" max="2039" width="9.109375" style="48"/>
    <col min="2040" max="2040" width="11.33203125" style="48" customWidth="1"/>
    <col min="2041" max="2278" width="9.109375" style="48"/>
    <col min="2279" max="2279" width="3.109375" style="48" customWidth="1"/>
    <col min="2280" max="2280" width="3.44140625" style="48" customWidth="1"/>
    <col min="2281" max="2281" width="7.33203125" style="48" customWidth="1"/>
    <col min="2282" max="2282" width="13.5546875" style="48" customWidth="1"/>
    <col min="2283" max="2283" width="7.109375" style="48" customWidth="1"/>
    <col min="2284" max="2284" width="8.5546875" style="48" customWidth="1"/>
    <col min="2285" max="2285" width="9" style="48" customWidth="1"/>
    <col min="2286" max="2286" width="5.109375" style="48" customWidth="1"/>
    <col min="2287" max="2287" width="8.44140625" style="48" customWidth="1"/>
    <col min="2288" max="2288" width="17.109375" style="48" customWidth="1"/>
    <col min="2289" max="2289" width="18" style="48" customWidth="1"/>
    <col min="2290" max="2290" width="3.88671875" style="48" customWidth="1"/>
    <col min="2291" max="2292" width="12.109375" style="48" bestFit="1" customWidth="1"/>
    <col min="2293" max="2295" width="9.109375" style="48"/>
    <col min="2296" max="2296" width="11.33203125" style="48" customWidth="1"/>
    <col min="2297" max="2534" width="9.109375" style="48"/>
    <col min="2535" max="2535" width="3.109375" style="48" customWidth="1"/>
    <col min="2536" max="2536" width="3.44140625" style="48" customWidth="1"/>
    <col min="2537" max="2537" width="7.33203125" style="48" customWidth="1"/>
    <col min="2538" max="2538" width="13.5546875" style="48" customWidth="1"/>
    <col min="2539" max="2539" width="7.109375" style="48" customWidth="1"/>
    <col min="2540" max="2540" width="8.5546875" style="48" customWidth="1"/>
    <col min="2541" max="2541" width="9" style="48" customWidth="1"/>
    <col min="2542" max="2542" width="5.109375" style="48" customWidth="1"/>
    <col min="2543" max="2543" width="8.44140625" style="48" customWidth="1"/>
    <col min="2544" max="2544" width="17.109375" style="48" customWidth="1"/>
    <col min="2545" max="2545" width="18" style="48" customWidth="1"/>
    <col min="2546" max="2546" width="3.88671875" style="48" customWidth="1"/>
    <col min="2547" max="2548" width="12.109375" style="48" bestFit="1" customWidth="1"/>
    <col min="2549" max="2551" width="9.109375" style="48"/>
    <col min="2552" max="2552" width="11.33203125" style="48" customWidth="1"/>
    <col min="2553" max="2790" width="9.109375" style="48"/>
    <col min="2791" max="2791" width="3.109375" style="48" customWidth="1"/>
    <col min="2792" max="2792" width="3.44140625" style="48" customWidth="1"/>
    <col min="2793" max="2793" width="7.33203125" style="48" customWidth="1"/>
    <col min="2794" max="2794" width="13.5546875" style="48" customWidth="1"/>
    <col min="2795" max="2795" width="7.109375" style="48" customWidth="1"/>
    <col min="2796" max="2796" width="8.5546875" style="48" customWidth="1"/>
    <col min="2797" max="2797" width="9" style="48" customWidth="1"/>
    <col min="2798" max="2798" width="5.109375" style="48" customWidth="1"/>
    <col min="2799" max="2799" width="8.44140625" style="48" customWidth="1"/>
    <col min="2800" max="2800" width="17.109375" style="48" customWidth="1"/>
    <col min="2801" max="2801" width="18" style="48" customWidth="1"/>
    <col min="2802" max="2802" width="3.88671875" style="48" customWidth="1"/>
    <col min="2803" max="2804" width="12.109375" style="48" bestFit="1" customWidth="1"/>
    <col min="2805" max="2807" width="9.109375" style="48"/>
    <col min="2808" max="2808" width="11.33203125" style="48" customWidth="1"/>
    <col min="2809" max="3046" width="9.109375" style="48"/>
    <col min="3047" max="3047" width="3.109375" style="48" customWidth="1"/>
    <col min="3048" max="3048" width="3.44140625" style="48" customWidth="1"/>
    <col min="3049" max="3049" width="7.33203125" style="48" customWidth="1"/>
    <col min="3050" max="3050" width="13.5546875" style="48" customWidth="1"/>
    <col min="3051" max="3051" width="7.109375" style="48" customWidth="1"/>
    <col min="3052" max="3052" width="8.5546875" style="48" customWidth="1"/>
    <col min="3053" max="3053" width="9" style="48" customWidth="1"/>
    <col min="3054" max="3054" width="5.109375" style="48" customWidth="1"/>
    <col min="3055" max="3055" width="8.44140625" style="48" customWidth="1"/>
    <col min="3056" max="3056" width="17.109375" style="48" customWidth="1"/>
    <col min="3057" max="3057" width="18" style="48" customWidth="1"/>
    <col min="3058" max="3058" width="3.88671875" style="48" customWidth="1"/>
    <col min="3059" max="3060" width="12.109375" style="48" bestFit="1" customWidth="1"/>
    <col min="3061" max="3063" width="9.109375" style="48"/>
    <col min="3064" max="3064" width="11.33203125" style="48" customWidth="1"/>
    <col min="3065" max="3302" width="9.109375" style="48"/>
    <col min="3303" max="3303" width="3.109375" style="48" customWidth="1"/>
    <col min="3304" max="3304" width="3.44140625" style="48" customWidth="1"/>
    <col min="3305" max="3305" width="7.33203125" style="48" customWidth="1"/>
    <col min="3306" max="3306" width="13.5546875" style="48" customWidth="1"/>
    <col min="3307" max="3307" width="7.109375" style="48" customWidth="1"/>
    <col min="3308" max="3308" width="8.5546875" style="48" customWidth="1"/>
    <col min="3309" max="3309" width="9" style="48" customWidth="1"/>
    <col min="3310" max="3310" width="5.109375" style="48" customWidth="1"/>
    <col min="3311" max="3311" width="8.44140625" style="48" customWidth="1"/>
    <col min="3312" max="3312" width="17.109375" style="48" customWidth="1"/>
    <col min="3313" max="3313" width="18" style="48" customWidth="1"/>
    <col min="3314" max="3314" width="3.88671875" style="48" customWidth="1"/>
    <col min="3315" max="3316" width="12.109375" style="48" bestFit="1" customWidth="1"/>
    <col min="3317" max="3319" width="9.109375" style="48"/>
    <col min="3320" max="3320" width="11.33203125" style="48" customWidth="1"/>
    <col min="3321" max="3558" width="9.109375" style="48"/>
    <col min="3559" max="3559" width="3.109375" style="48" customWidth="1"/>
    <col min="3560" max="3560" width="3.44140625" style="48" customWidth="1"/>
    <col min="3561" max="3561" width="7.33203125" style="48" customWidth="1"/>
    <col min="3562" max="3562" width="13.5546875" style="48" customWidth="1"/>
    <col min="3563" max="3563" width="7.109375" style="48" customWidth="1"/>
    <col min="3564" max="3564" width="8.5546875" style="48" customWidth="1"/>
    <col min="3565" max="3565" width="9" style="48" customWidth="1"/>
    <col min="3566" max="3566" width="5.109375" style="48" customWidth="1"/>
    <col min="3567" max="3567" width="8.44140625" style="48" customWidth="1"/>
    <col min="3568" max="3568" width="17.109375" style="48" customWidth="1"/>
    <col min="3569" max="3569" width="18" style="48" customWidth="1"/>
    <col min="3570" max="3570" width="3.88671875" style="48" customWidth="1"/>
    <col min="3571" max="3572" width="12.109375" style="48" bestFit="1" customWidth="1"/>
    <col min="3573" max="3575" width="9.109375" style="48"/>
    <col min="3576" max="3576" width="11.33203125" style="48" customWidth="1"/>
    <col min="3577" max="3814" width="9.109375" style="48"/>
    <col min="3815" max="3815" width="3.109375" style="48" customWidth="1"/>
    <col min="3816" max="3816" width="3.44140625" style="48" customWidth="1"/>
    <col min="3817" max="3817" width="7.33203125" style="48" customWidth="1"/>
    <col min="3818" max="3818" width="13.5546875" style="48" customWidth="1"/>
    <col min="3819" max="3819" width="7.109375" style="48" customWidth="1"/>
    <col min="3820" max="3820" width="8.5546875" style="48" customWidth="1"/>
    <col min="3821" max="3821" width="9" style="48" customWidth="1"/>
    <col min="3822" max="3822" width="5.109375" style="48" customWidth="1"/>
    <col min="3823" max="3823" width="8.44140625" style="48" customWidth="1"/>
    <col min="3824" max="3824" width="17.109375" style="48" customWidth="1"/>
    <col min="3825" max="3825" width="18" style="48" customWidth="1"/>
    <col min="3826" max="3826" width="3.88671875" style="48" customWidth="1"/>
    <col min="3827" max="3828" width="12.109375" style="48" bestFit="1" customWidth="1"/>
    <col min="3829" max="3831" width="9.109375" style="48"/>
    <col min="3832" max="3832" width="11.33203125" style="48" customWidth="1"/>
    <col min="3833" max="4070" width="9.109375" style="48"/>
    <col min="4071" max="4071" width="3.109375" style="48" customWidth="1"/>
    <col min="4072" max="4072" width="3.44140625" style="48" customWidth="1"/>
    <col min="4073" max="4073" width="7.33203125" style="48" customWidth="1"/>
    <col min="4074" max="4074" width="13.5546875" style="48" customWidth="1"/>
    <col min="4075" max="4075" width="7.109375" style="48" customWidth="1"/>
    <col min="4076" max="4076" width="8.5546875" style="48" customWidth="1"/>
    <col min="4077" max="4077" width="9" style="48" customWidth="1"/>
    <col min="4078" max="4078" width="5.109375" style="48" customWidth="1"/>
    <col min="4079" max="4079" width="8.44140625" style="48" customWidth="1"/>
    <col min="4080" max="4080" width="17.109375" style="48" customWidth="1"/>
    <col min="4081" max="4081" width="18" style="48" customWidth="1"/>
    <col min="4082" max="4082" width="3.88671875" style="48" customWidth="1"/>
    <col min="4083" max="4084" width="12.109375" style="48" bestFit="1" customWidth="1"/>
    <col min="4085" max="4087" width="9.109375" style="48"/>
    <col min="4088" max="4088" width="11.33203125" style="48" customWidth="1"/>
    <col min="4089" max="4326" width="9.109375" style="48"/>
    <col min="4327" max="4327" width="3.109375" style="48" customWidth="1"/>
    <col min="4328" max="4328" width="3.44140625" style="48" customWidth="1"/>
    <col min="4329" max="4329" width="7.33203125" style="48" customWidth="1"/>
    <col min="4330" max="4330" width="13.5546875" style="48" customWidth="1"/>
    <col min="4331" max="4331" width="7.109375" style="48" customWidth="1"/>
    <col min="4332" max="4332" width="8.5546875" style="48" customWidth="1"/>
    <col min="4333" max="4333" width="9" style="48" customWidth="1"/>
    <col min="4334" max="4334" width="5.109375" style="48" customWidth="1"/>
    <col min="4335" max="4335" width="8.44140625" style="48" customWidth="1"/>
    <col min="4336" max="4336" width="17.109375" style="48" customWidth="1"/>
    <col min="4337" max="4337" width="18" style="48" customWidth="1"/>
    <col min="4338" max="4338" width="3.88671875" style="48" customWidth="1"/>
    <col min="4339" max="4340" width="12.109375" style="48" bestFit="1" customWidth="1"/>
    <col min="4341" max="4343" width="9.109375" style="48"/>
    <col min="4344" max="4344" width="11.33203125" style="48" customWidth="1"/>
    <col min="4345" max="4582" width="9.109375" style="48"/>
    <col min="4583" max="4583" width="3.109375" style="48" customWidth="1"/>
    <col min="4584" max="4584" width="3.44140625" style="48" customWidth="1"/>
    <col min="4585" max="4585" width="7.33203125" style="48" customWidth="1"/>
    <col min="4586" max="4586" width="13.5546875" style="48" customWidth="1"/>
    <col min="4587" max="4587" width="7.109375" style="48" customWidth="1"/>
    <col min="4588" max="4588" width="8.5546875" style="48" customWidth="1"/>
    <col min="4589" max="4589" width="9" style="48" customWidth="1"/>
    <col min="4590" max="4590" width="5.109375" style="48" customWidth="1"/>
    <col min="4591" max="4591" width="8.44140625" style="48" customWidth="1"/>
    <col min="4592" max="4592" width="17.109375" style="48" customWidth="1"/>
    <col min="4593" max="4593" width="18" style="48" customWidth="1"/>
    <col min="4594" max="4594" width="3.88671875" style="48" customWidth="1"/>
    <col min="4595" max="4596" width="12.109375" style="48" bestFit="1" customWidth="1"/>
    <col min="4597" max="4599" width="9.109375" style="48"/>
    <col min="4600" max="4600" width="11.33203125" style="48" customWidth="1"/>
    <col min="4601" max="4838" width="9.109375" style="48"/>
    <col min="4839" max="4839" width="3.109375" style="48" customWidth="1"/>
    <col min="4840" max="4840" width="3.44140625" style="48" customWidth="1"/>
    <col min="4841" max="4841" width="7.33203125" style="48" customWidth="1"/>
    <col min="4842" max="4842" width="13.5546875" style="48" customWidth="1"/>
    <col min="4843" max="4843" width="7.109375" style="48" customWidth="1"/>
    <col min="4844" max="4844" width="8.5546875" style="48" customWidth="1"/>
    <col min="4845" max="4845" width="9" style="48" customWidth="1"/>
    <col min="4846" max="4846" width="5.109375" style="48" customWidth="1"/>
    <col min="4847" max="4847" width="8.44140625" style="48" customWidth="1"/>
    <col min="4848" max="4848" width="17.109375" style="48" customWidth="1"/>
    <col min="4849" max="4849" width="18" style="48" customWidth="1"/>
    <col min="4850" max="4850" width="3.88671875" style="48" customWidth="1"/>
    <col min="4851" max="4852" width="12.109375" style="48" bestFit="1" customWidth="1"/>
    <col min="4853" max="4855" width="9.109375" style="48"/>
    <col min="4856" max="4856" width="11.33203125" style="48" customWidth="1"/>
    <col min="4857" max="5094" width="9.109375" style="48"/>
    <col min="5095" max="5095" width="3.109375" style="48" customWidth="1"/>
    <col min="5096" max="5096" width="3.44140625" style="48" customWidth="1"/>
    <col min="5097" max="5097" width="7.33203125" style="48" customWidth="1"/>
    <col min="5098" max="5098" width="13.5546875" style="48" customWidth="1"/>
    <col min="5099" max="5099" width="7.109375" style="48" customWidth="1"/>
    <col min="5100" max="5100" width="8.5546875" style="48" customWidth="1"/>
    <col min="5101" max="5101" width="9" style="48" customWidth="1"/>
    <col min="5102" max="5102" width="5.109375" style="48" customWidth="1"/>
    <col min="5103" max="5103" width="8.44140625" style="48" customWidth="1"/>
    <col min="5104" max="5104" width="17.109375" style="48" customWidth="1"/>
    <col min="5105" max="5105" width="18" style="48" customWidth="1"/>
    <col min="5106" max="5106" width="3.88671875" style="48" customWidth="1"/>
    <col min="5107" max="5108" width="12.109375" style="48" bestFit="1" customWidth="1"/>
    <col min="5109" max="5111" width="9.109375" style="48"/>
    <col min="5112" max="5112" width="11.33203125" style="48" customWidth="1"/>
    <col min="5113" max="5350" width="9.109375" style="48"/>
    <col min="5351" max="5351" width="3.109375" style="48" customWidth="1"/>
    <col min="5352" max="5352" width="3.44140625" style="48" customWidth="1"/>
    <col min="5353" max="5353" width="7.33203125" style="48" customWidth="1"/>
    <col min="5354" max="5354" width="13.5546875" style="48" customWidth="1"/>
    <col min="5355" max="5355" width="7.109375" style="48" customWidth="1"/>
    <col min="5356" max="5356" width="8.5546875" style="48" customWidth="1"/>
    <col min="5357" max="5357" width="9" style="48" customWidth="1"/>
    <col min="5358" max="5358" width="5.109375" style="48" customWidth="1"/>
    <col min="5359" max="5359" width="8.44140625" style="48" customWidth="1"/>
    <col min="5360" max="5360" width="17.109375" style="48" customWidth="1"/>
    <col min="5361" max="5361" width="18" style="48" customWidth="1"/>
    <col min="5362" max="5362" width="3.88671875" style="48" customWidth="1"/>
    <col min="5363" max="5364" width="12.109375" style="48" bestFit="1" customWidth="1"/>
    <col min="5365" max="5367" width="9.109375" style="48"/>
    <col min="5368" max="5368" width="11.33203125" style="48" customWidth="1"/>
    <col min="5369" max="5606" width="9.109375" style="48"/>
    <col min="5607" max="5607" width="3.109375" style="48" customWidth="1"/>
    <col min="5608" max="5608" width="3.44140625" style="48" customWidth="1"/>
    <col min="5609" max="5609" width="7.33203125" style="48" customWidth="1"/>
    <col min="5610" max="5610" width="13.5546875" style="48" customWidth="1"/>
    <col min="5611" max="5611" width="7.109375" style="48" customWidth="1"/>
    <col min="5612" max="5612" width="8.5546875" style="48" customWidth="1"/>
    <col min="5613" max="5613" width="9" style="48" customWidth="1"/>
    <col min="5614" max="5614" width="5.109375" style="48" customWidth="1"/>
    <col min="5615" max="5615" width="8.44140625" style="48" customWidth="1"/>
    <col min="5616" max="5616" width="17.109375" style="48" customWidth="1"/>
    <col min="5617" max="5617" width="18" style="48" customWidth="1"/>
    <col min="5618" max="5618" width="3.88671875" style="48" customWidth="1"/>
    <col min="5619" max="5620" width="12.109375" style="48" bestFit="1" customWidth="1"/>
    <col min="5621" max="5623" width="9.109375" style="48"/>
    <col min="5624" max="5624" width="11.33203125" style="48" customWidth="1"/>
    <col min="5625" max="5862" width="9.109375" style="48"/>
    <col min="5863" max="5863" width="3.109375" style="48" customWidth="1"/>
    <col min="5864" max="5864" width="3.44140625" style="48" customWidth="1"/>
    <col min="5865" max="5865" width="7.33203125" style="48" customWidth="1"/>
    <col min="5866" max="5866" width="13.5546875" style="48" customWidth="1"/>
    <col min="5867" max="5867" width="7.109375" style="48" customWidth="1"/>
    <col min="5868" max="5868" width="8.5546875" style="48" customWidth="1"/>
    <col min="5869" max="5869" width="9" style="48" customWidth="1"/>
    <col min="5870" max="5870" width="5.109375" style="48" customWidth="1"/>
    <col min="5871" max="5871" width="8.44140625" style="48" customWidth="1"/>
    <col min="5872" max="5872" width="17.109375" style="48" customWidth="1"/>
    <col min="5873" max="5873" width="18" style="48" customWidth="1"/>
    <col min="5874" max="5874" width="3.88671875" style="48" customWidth="1"/>
    <col min="5875" max="5876" width="12.109375" style="48" bestFit="1" customWidth="1"/>
    <col min="5877" max="5879" width="9.109375" style="48"/>
    <col min="5880" max="5880" width="11.33203125" style="48" customWidth="1"/>
    <col min="5881" max="6118" width="9.109375" style="48"/>
    <col min="6119" max="6119" width="3.109375" style="48" customWidth="1"/>
    <col min="6120" max="6120" width="3.44140625" style="48" customWidth="1"/>
    <col min="6121" max="6121" width="7.33203125" style="48" customWidth="1"/>
    <col min="6122" max="6122" width="13.5546875" style="48" customWidth="1"/>
    <col min="6123" max="6123" width="7.109375" style="48" customWidth="1"/>
    <col min="6124" max="6124" width="8.5546875" style="48" customWidth="1"/>
    <col min="6125" max="6125" width="9" style="48" customWidth="1"/>
    <col min="6126" max="6126" width="5.109375" style="48" customWidth="1"/>
    <col min="6127" max="6127" width="8.44140625" style="48" customWidth="1"/>
    <col min="6128" max="6128" width="17.109375" style="48" customWidth="1"/>
    <col min="6129" max="6129" width="18" style="48" customWidth="1"/>
    <col min="6130" max="6130" width="3.88671875" style="48" customWidth="1"/>
    <col min="6131" max="6132" width="12.109375" style="48" bestFit="1" customWidth="1"/>
    <col min="6133" max="6135" width="9.109375" style="48"/>
    <col min="6136" max="6136" width="11.33203125" style="48" customWidth="1"/>
    <col min="6137" max="6374" width="9.109375" style="48"/>
    <col min="6375" max="6375" width="3.109375" style="48" customWidth="1"/>
    <col min="6376" max="6376" width="3.44140625" style="48" customWidth="1"/>
    <col min="6377" max="6377" width="7.33203125" style="48" customWidth="1"/>
    <col min="6378" max="6378" width="13.5546875" style="48" customWidth="1"/>
    <col min="6379" max="6379" width="7.109375" style="48" customWidth="1"/>
    <col min="6380" max="6380" width="8.5546875" style="48" customWidth="1"/>
    <col min="6381" max="6381" width="9" style="48" customWidth="1"/>
    <col min="6382" max="6382" width="5.109375" style="48" customWidth="1"/>
    <col min="6383" max="6383" width="8.44140625" style="48" customWidth="1"/>
    <col min="6384" max="6384" width="17.109375" style="48" customWidth="1"/>
    <col min="6385" max="6385" width="18" style="48" customWidth="1"/>
    <col min="6386" max="6386" width="3.88671875" style="48" customWidth="1"/>
    <col min="6387" max="6388" width="12.109375" style="48" bestFit="1" customWidth="1"/>
    <col min="6389" max="6391" width="9.109375" style="48"/>
    <col min="6392" max="6392" width="11.33203125" style="48" customWidth="1"/>
    <col min="6393" max="6630" width="9.109375" style="48"/>
    <col min="6631" max="6631" width="3.109375" style="48" customWidth="1"/>
    <col min="6632" max="6632" width="3.44140625" style="48" customWidth="1"/>
    <col min="6633" max="6633" width="7.33203125" style="48" customWidth="1"/>
    <col min="6634" max="6634" width="13.5546875" style="48" customWidth="1"/>
    <col min="6635" max="6635" width="7.109375" style="48" customWidth="1"/>
    <col min="6636" max="6636" width="8.5546875" style="48" customWidth="1"/>
    <col min="6637" max="6637" width="9" style="48" customWidth="1"/>
    <col min="6638" max="6638" width="5.109375" style="48" customWidth="1"/>
    <col min="6639" max="6639" width="8.44140625" style="48" customWidth="1"/>
    <col min="6640" max="6640" width="17.109375" style="48" customWidth="1"/>
    <col min="6641" max="6641" width="18" style="48" customWidth="1"/>
    <col min="6642" max="6642" width="3.88671875" style="48" customWidth="1"/>
    <col min="6643" max="6644" width="12.109375" style="48" bestFit="1" customWidth="1"/>
    <col min="6645" max="6647" width="9.109375" style="48"/>
    <col min="6648" max="6648" width="11.33203125" style="48" customWidth="1"/>
    <col min="6649" max="6886" width="9.109375" style="48"/>
    <col min="6887" max="6887" width="3.109375" style="48" customWidth="1"/>
    <col min="6888" max="6888" width="3.44140625" style="48" customWidth="1"/>
    <col min="6889" max="6889" width="7.33203125" style="48" customWidth="1"/>
    <col min="6890" max="6890" width="13.5546875" style="48" customWidth="1"/>
    <col min="6891" max="6891" width="7.109375" style="48" customWidth="1"/>
    <col min="6892" max="6892" width="8.5546875" style="48" customWidth="1"/>
    <col min="6893" max="6893" width="9" style="48" customWidth="1"/>
    <col min="6894" max="6894" width="5.109375" style="48" customWidth="1"/>
    <col min="6895" max="6895" width="8.44140625" style="48" customWidth="1"/>
    <col min="6896" max="6896" width="17.109375" style="48" customWidth="1"/>
    <col min="6897" max="6897" width="18" style="48" customWidth="1"/>
    <col min="6898" max="6898" width="3.88671875" style="48" customWidth="1"/>
    <col min="6899" max="6900" width="12.109375" style="48" bestFit="1" customWidth="1"/>
    <col min="6901" max="6903" width="9.109375" style="48"/>
    <col min="6904" max="6904" width="11.33203125" style="48" customWidth="1"/>
    <col min="6905" max="7142" width="9.109375" style="48"/>
    <col min="7143" max="7143" width="3.109375" style="48" customWidth="1"/>
    <col min="7144" max="7144" width="3.44140625" style="48" customWidth="1"/>
    <col min="7145" max="7145" width="7.33203125" style="48" customWidth="1"/>
    <col min="7146" max="7146" width="13.5546875" style="48" customWidth="1"/>
    <col min="7147" max="7147" width="7.109375" style="48" customWidth="1"/>
    <col min="7148" max="7148" width="8.5546875" style="48" customWidth="1"/>
    <col min="7149" max="7149" width="9" style="48" customWidth="1"/>
    <col min="7150" max="7150" width="5.109375" style="48" customWidth="1"/>
    <col min="7151" max="7151" width="8.44140625" style="48" customWidth="1"/>
    <col min="7152" max="7152" width="17.109375" style="48" customWidth="1"/>
    <col min="7153" max="7153" width="18" style="48" customWidth="1"/>
    <col min="7154" max="7154" width="3.88671875" style="48" customWidth="1"/>
    <col min="7155" max="7156" width="12.109375" style="48" bestFit="1" customWidth="1"/>
    <col min="7157" max="7159" width="9.109375" style="48"/>
    <col min="7160" max="7160" width="11.33203125" style="48" customWidth="1"/>
    <col min="7161" max="7398" width="9.109375" style="48"/>
    <col min="7399" max="7399" width="3.109375" style="48" customWidth="1"/>
    <col min="7400" max="7400" width="3.44140625" style="48" customWidth="1"/>
    <col min="7401" max="7401" width="7.33203125" style="48" customWidth="1"/>
    <col min="7402" max="7402" width="13.5546875" style="48" customWidth="1"/>
    <col min="7403" max="7403" width="7.109375" style="48" customWidth="1"/>
    <col min="7404" max="7404" width="8.5546875" style="48" customWidth="1"/>
    <col min="7405" max="7405" width="9" style="48" customWidth="1"/>
    <col min="7406" max="7406" width="5.109375" style="48" customWidth="1"/>
    <col min="7407" max="7407" width="8.44140625" style="48" customWidth="1"/>
    <col min="7408" max="7408" width="17.109375" style="48" customWidth="1"/>
    <col min="7409" max="7409" width="18" style="48" customWidth="1"/>
    <col min="7410" max="7410" width="3.88671875" style="48" customWidth="1"/>
    <col min="7411" max="7412" width="12.109375" style="48" bestFit="1" customWidth="1"/>
    <col min="7413" max="7415" width="9.109375" style="48"/>
    <col min="7416" max="7416" width="11.33203125" style="48" customWidth="1"/>
    <col min="7417" max="7654" width="9.109375" style="48"/>
    <col min="7655" max="7655" width="3.109375" style="48" customWidth="1"/>
    <col min="7656" max="7656" width="3.44140625" style="48" customWidth="1"/>
    <col min="7657" max="7657" width="7.33203125" style="48" customWidth="1"/>
    <col min="7658" max="7658" width="13.5546875" style="48" customWidth="1"/>
    <col min="7659" max="7659" width="7.109375" style="48" customWidth="1"/>
    <col min="7660" max="7660" width="8.5546875" style="48" customWidth="1"/>
    <col min="7661" max="7661" width="9" style="48" customWidth="1"/>
    <col min="7662" max="7662" width="5.109375" style="48" customWidth="1"/>
    <col min="7663" max="7663" width="8.44140625" style="48" customWidth="1"/>
    <col min="7664" max="7664" width="17.109375" style="48" customWidth="1"/>
    <col min="7665" max="7665" width="18" style="48" customWidth="1"/>
    <col min="7666" max="7666" width="3.88671875" style="48" customWidth="1"/>
    <col min="7667" max="7668" width="12.109375" style="48" bestFit="1" customWidth="1"/>
    <col min="7669" max="7671" width="9.109375" style="48"/>
    <col min="7672" max="7672" width="11.33203125" style="48" customWidth="1"/>
    <col min="7673" max="7910" width="9.109375" style="48"/>
    <col min="7911" max="7911" width="3.109375" style="48" customWidth="1"/>
    <col min="7912" max="7912" width="3.44140625" style="48" customWidth="1"/>
    <col min="7913" max="7913" width="7.33203125" style="48" customWidth="1"/>
    <col min="7914" max="7914" width="13.5546875" style="48" customWidth="1"/>
    <col min="7915" max="7915" width="7.109375" style="48" customWidth="1"/>
    <col min="7916" max="7916" width="8.5546875" style="48" customWidth="1"/>
    <col min="7917" max="7917" width="9" style="48" customWidth="1"/>
    <col min="7918" max="7918" width="5.109375" style="48" customWidth="1"/>
    <col min="7919" max="7919" width="8.44140625" style="48" customWidth="1"/>
    <col min="7920" max="7920" width="17.109375" style="48" customWidth="1"/>
    <col min="7921" max="7921" width="18" style="48" customWidth="1"/>
    <col min="7922" max="7922" width="3.88671875" style="48" customWidth="1"/>
    <col min="7923" max="7924" width="12.109375" style="48" bestFit="1" customWidth="1"/>
    <col min="7925" max="7927" width="9.109375" style="48"/>
    <col min="7928" max="7928" width="11.33203125" style="48" customWidth="1"/>
    <col min="7929" max="8166" width="9.109375" style="48"/>
    <col min="8167" max="8167" width="3.109375" style="48" customWidth="1"/>
    <col min="8168" max="8168" width="3.44140625" style="48" customWidth="1"/>
    <col min="8169" max="8169" width="7.33203125" style="48" customWidth="1"/>
    <col min="8170" max="8170" width="13.5546875" style="48" customWidth="1"/>
    <col min="8171" max="8171" width="7.109375" style="48" customWidth="1"/>
    <col min="8172" max="8172" width="8.5546875" style="48" customWidth="1"/>
    <col min="8173" max="8173" width="9" style="48" customWidth="1"/>
    <col min="8174" max="8174" width="5.109375" style="48" customWidth="1"/>
    <col min="8175" max="8175" width="8.44140625" style="48" customWidth="1"/>
    <col min="8176" max="8176" width="17.109375" style="48" customWidth="1"/>
    <col min="8177" max="8177" width="18" style="48" customWidth="1"/>
    <col min="8178" max="8178" width="3.88671875" style="48" customWidth="1"/>
    <col min="8179" max="8180" width="12.109375" style="48" bestFit="1" customWidth="1"/>
    <col min="8181" max="8183" width="9.109375" style="48"/>
    <col min="8184" max="8184" width="11.33203125" style="48" customWidth="1"/>
    <col min="8185" max="8422" width="9.109375" style="48"/>
    <col min="8423" max="8423" width="3.109375" style="48" customWidth="1"/>
    <col min="8424" max="8424" width="3.44140625" style="48" customWidth="1"/>
    <col min="8425" max="8425" width="7.33203125" style="48" customWidth="1"/>
    <col min="8426" max="8426" width="13.5546875" style="48" customWidth="1"/>
    <col min="8427" max="8427" width="7.109375" style="48" customWidth="1"/>
    <col min="8428" max="8428" width="8.5546875" style="48" customWidth="1"/>
    <col min="8429" max="8429" width="9" style="48" customWidth="1"/>
    <col min="8430" max="8430" width="5.109375" style="48" customWidth="1"/>
    <col min="8431" max="8431" width="8.44140625" style="48" customWidth="1"/>
    <col min="8432" max="8432" width="17.109375" style="48" customWidth="1"/>
    <col min="8433" max="8433" width="18" style="48" customWidth="1"/>
    <col min="8434" max="8434" width="3.88671875" style="48" customWidth="1"/>
    <col min="8435" max="8436" width="12.109375" style="48" bestFit="1" customWidth="1"/>
    <col min="8437" max="8439" width="9.109375" style="48"/>
    <col min="8440" max="8440" width="11.33203125" style="48" customWidth="1"/>
    <col min="8441" max="8678" width="9.109375" style="48"/>
    <col min="8679" max="8679" width="3.109375" style="48" customWidth="1"/>
    <col min="8680" max="8680" width="3.44140625" style="48" customWidth="1"/>
    <col min="8681" max="8681" width="7.33203125" style="48" customWidth="1"/>
    <col min="8682" max="8682" width="13.5546875" style="48" customWidth="1"/>
    <col min="8683" max="8683" width="7.109375" style="48" customWidth="1"/>
    <col min="8684" max="8684" width="8.5546875" style="48" customWidth="1"/>
    <col min="8685" max="8685" width="9" style="48" customWidth="1"/>
    <col min="8686" max="8686" width="5.109375" style="48" customWidth="1"/>
    <col min="8687" max="8687" width="8.44140625" style="48" customWidth="1"/>
    <col min="8688" max="8688" width="17.109375" style="48" customWidth="1"/>
    <col min="8689" max="8689" width="18" style="48" customWidth="1"/>
    <col min="8690" max="8690" width="3.88671875" style="48" customWidth="1"/>
    <col min="8691" max="8692" width="12.109375" style="48" bestFit="1" customWidth="1"/>
    <col min="8693" max="8695" width="9.109375" style="48"/>
    <col min="8696" max="8696" width="11.33203125" style="48" customWidth="1"/>
    <col min="8697" max="8934" width="9.109375" style="48"/>
    <col min="8935" max="8935" width="3.109375" style="48" customWidth="1"/>
    <col min="8936" max="8936" width="3.44140625" style="48" customWidth="1"/>
    <col min="8937" max="8937" width="7.33203125" style="48" customWidth="1"/>
    <col min="8938" max="8938" width="13.5546875" style="48" customWidth="1"/>
    <col min="8939" max="8939" width="7.109375" style="48" customWidth="1"/>
    <col min="8940" max="8940" width="8.5546875" style="48" customWidth="1"/>
    <col min="8941" max="8941" width="9" style="48" customWidth="1"/>
    <col min="8942" max="8942" width="5.109375" style="48" customWidth="1"/>
    <col min="8943" max="8943" width="8.44140625" style="48" customWidth="1"/>
    <col min="8944" max="8944" width="17.109375" style="48" customWidth="1"/>
    <col min="8945" max="8945" width="18" style="48" customWidth="1"/>
    <col min="8946" max="8946" width="3.88671875" style="48" customWidth="1"/>
    <col min="8947" max="8948" width="12.109375" style="48" bestFit="1" customWidth="1"/>
    <col min="8949" max="8951" width="9.109375" style="48"/>
    <col min="8952" max="8952" width="11.33203125" style="48" customWidth="1"/>
    <col min="8953" max="9190" width="9.109375" style="48"/>
    <col min="9191" max="9191" width="3.109375" style="48" customWidth="1"/>
    <col min="9192" max="9192" width="3.44140625" style="48" customWidth="1"/>
    <col min="9193" max="9193" width="7.33203125" style="48" customWidth="1"/>
    <col min="9194" max="9194" width="13.5546875" style="48" customWidth="1"/>
    <col min="9195" max="9195" width="7.109375" style="48" customWidth="1"/>
    <col min="9196" max="9196" width="8.5546875" style="48" customWidth="1"/>
    <col min="9197" max="9197" width="9" style="48" customWidth="1"/>
    <col min="9198" max="9198" width="5.109375" style="48" customWidth="1"/>
    <col min="9199" max="9199" width="8.44140625" style="48" customWidth="1"/>
    <col min="9200" max="9200" width="17.109375" style="48" customWidth="1"/>
    <col min="9201" max="9201" width="18" style="48" customWidth="1"/>
    <col min="9202" max="9202" width="3.88671875" style="48" customWidth="1"/>
    <col min="9203" max="9204" width="12.109375" style="48" bestFit="1" customWidth="1"/>
    <col min="9205" max="9207" width="9.109375" style="48"/>
    <col min="9208" max="9208" width="11.33203125" style="48" customWidth="1"/>
    <col min="9209" max="9446" width="9.109375" style="48"/>
    <col min="9447" max="9447" width="3.109375" style="48" customWidth="1"/>
    <col min="9448" max="9448" width="3.44140625" style="48" customWidth="1"/>
    <col min="9449" max="9449" width="7.33203125" style="48" customWidth="1"/>
    <col min="9450" max="9450" width="13.5546875" style="48" customWidth="1"/>
    <col min="9451" max="9451" width="7.109375" style="48" customWidth="1"/>
    <col min="9452" max="9452" width="8.5546875" style="48" customWidth="1"/>
    <col min="9453" max="9453" width="9" style="48" customWidth="1"/>
    <col min="9454" max="9454" width="5.109375" style="48" customWidth="1"/>
    <col min="9455" max="9455" width="8.44140625" style="48" customWidth="1"/>
    <col min="9456" max="9456" width="17.109375" style="48" customWidth="1"/>
    <col min="9457" max="9457" width="18" style="48" customWidth="1"/>
    <col min="9458" max="9458" width="3.88671875" style="48" customWidth="1"/>
    <col min="9459" max="9460" width="12.109375" style="48" bestFit="1" customWidth="1"/>
    <col min="9461" max="9463" width="9.109375" style="48"/>
    <col min="9464" max="9464" width="11.33203125" style="48" customWidth="1"/>
    <col min="9465" max="9702" width="9.109375" style="48"/>
    <col min="9703" max="9703" width="3.109375" style="48" customWidth="1"/>
    <col min="9704" max="9704" width="3.44140625" style="48" customWidth="1"/>
    <col min="9705" max="9705" width="7.33203125" style="48" customWidth="1"/>
    <col min="9706" max="9706" width="13.5546875" style="48" customWidth="1"/>
    <col min="9707" max="9707" width="7.109375" style="48" customWidth="1"/>
    <col min="9708" max="9708" width="8.5546875" style="48" customWidth="1"/>
    <col min="9709" max="9709" width="9" style="48" customWidth="1"/>
    <col min="9710" max="9710" width="5.109375" style="48" customWidth="1"/>
    <col min="9711" max="9711" width="8.44140625" style="48" customWidth="1"/>
    <col min="9712" max="9712" width="17.109375" style="48" customWidth="1"/>
    <col min="9713" max="9713" width="18" style="48" customWidth="1"/>
    <col min="9714" max="9714" width="3.88671875" style="48" customWidth="1"/>
    <col min="9715" max="9716" width="12.109375" style="48" bestFit="1" customWidth="1"/>
    <col min="9717" max="9719" width="9.109375" style="48"/>
    <col min="9720" max="9720" width="11.33203125" style="48" customWidth="1"/>
    <col min="9721" max="9958" width="9.109375" style="48"/>
    <col min="9959" max="9959" width="3.109375" style="48" customWidth="1"/>
    <col min="9960" max="9960" width="3.44140625" style="48" customWidth="1"/>
    <col min="9961" max="9961" width="7.33203125" style="48" customWidth="1"/>
    <col min="9962" max="9962" width="13.5546875" style="48" customWidth="1"/>
    <col min="9963" max="9963" width="7.109375" style="48" customWidth="1"/>
    <col min="9964" max="9964" width="8.5546875" style="48" customWidth="1"/>
    <col min="9965" max="9965" width="9" style="48" customWidth="1"/>
    <col min="9966" max="9966" width="5.109375" style="48" customWidth="1"/>
    <col min="9967" max="9967" width="8.44140625" style="48" customWidth="1"/>
    <col min="9968" max="9968" width="17.109375" style="48" customWidth="1"/>
    <col min="9969" max="9969" width="18" style="48" customWidth="1"/>
    <col min="9970" max="9970" width="3.88671875" style="48" customWidth="1"/>
    <col min="9971" max="9972" width="12.109375" style="48" bestFit="1" customWidth="1"/>
    <col min="9973" max="9975" width="9.109375" style="48"/>
    <col min="9976" max="9976" width="11.33203125" style="48" customWidth="1"/>
    <col min="9977" max="10214" width="9.109375" style="48"/>
    <col min="10215" max="10215" width="3.109375" style="48" customWidth="1"/>
    <col min="10216" max="10216" width="3.44140625" style="48" customWidth="1"/>
    <col min="10217" max="10217" width="7.33203125" style="48" customWidth="1"/>
    <col min="10218" max="10218" width="13.5546875" style="48" customWidth="1"/>
    <col min="10219" max="10219" width="7.109375" style="48" customWidth="1"/>
    <col min="10220" max="10220" width="8.5546875" style="48" customWidth="1"/>
    <col min="10221" max="10221" width="9" style="48" customWidth="1"/>
    <col min="10222" max="10222" width="5.109375" style="48" customWidth="1"/>
    <col min="10223" max="10223" width="8.44140625" style="48" customWidth="1"/>
    <col min="10224" max="10224" width="17.109375" style="48" customWidth="1"/>
    <col min="10225" max="10225" width="18" style="48" customWidth="1"/>
    <col min="10226" max="10226" width="3.88671875" style="48" customWidth="1"/>
    <col min="10227" max="10228" width="12.109375" style="48" bestFit="1" customWidth="1"/>
    <col min="10229" max="10231" width="9.109375" style="48"/>
    <col min="10232" max="10232" width="11.33203125" style="48" customWidth="1"/>
    <col min="10233" max="10470" width="9.109375" style="48"/>
    <col min="10471" max="10471" width="3.109375" style="48" customWidth="1"/>
    <col min="10472" max="10472" width="3.44140625" style="48" customWidth="1"/>
    <col min="10473" max="10473" width="7.33203125" style="48" customWidth="1"/>
    <col min="10474" max="10474" width="13.5546875" style="48" customWidth="1"/>
    <col min="10475" max="10475" width="7.109375" style="48" customWidth="1"/>
    <col min="10476" max="10476" width="8.5546875" style="48" customWidth="1"/>
    <col min="10477" max="10477" width="9" style="48" customWidth="1"/>
    <col min="10478" max="10478" width="5.109375" style="48" customWidth="1"/>
    <col min="10479" max="10479" width="8.44140625" style="48" customWidth="1"/>
    <col min="10480" max="10480" width="17.109375" style="48" customWidth="1"/>
    <col min="10481" max="10481" width="18" style="48" customWidth="1"/>
    <col min="10482" max="10482" width="3.88671875" style="48" customWidth="1"/>
    <col min="10483" max="10484" width="12.109375" style="48" bestFit="1" customWidth="1"/>
    <col min="10485" max="10487" width="9.109375" style="48"/>
    <col min="10488" max="10488" width="11.33203125" style="48" customWidth="1"/>
    <col min="10489" max="10726" width="9.109375" style="48"/>
    <col min="10727" max="10727" width="3.109375" style="48" customWidth="1"/>
    <col min="10728" max="10728" width="3.44140625" style="48" customWidth="1"/>
    <col min="10729" max="10729" width="7.33203125" style="48" customWidth="1"/>
    <col min="10730" max="10730" width="13.5546875" style="48" customWidth="1"/>
    <col min="10731" max="10731" width="7.109375" style="48" customWidth="1"/>
    <col min="10732" max="10732" width="8.5546875" style="48" customWidth="1"/>
    <col min="10733" max="10733" width="9" style="48" customWidth="1"/>
    <col min="10734" max="10734" width="5.109375" style="48" customWidth="1"/>
    <col min="10735" max="10735" width="8.44140625" style="48" customWidth="1"/>
    <col min="10736" max="10736" width="17.109375" style="48" customWidth="1"/>
    <col min="10737" max="10737" width="18" style="48" customWidth="1"/>
    <col min="10738" max="10738" width="3.88671875" style="48" customWidth="1"/>
    <col min="10739" max="10740" width="12.109375" style="48" bestFit="1" customWidth="1"/>
    <col min="10741" max="10743" width="9.109375" style="48"/>
    <col min="10744" max="10744" width="11.33203125" style="48" customWidth="1"/>
    <col min="10745" max="10982" width="9.109375" style="48"/>
    <col min="10983" max="10983" width="3.109375" style="48" customWidth="1"/>
    <col min="10984" max="10984" width="3.44140625" style="48" customWidth="1"/>
    <col min="10985" max="10985" width="7.33203125" style="48" customWidth="1"/>
    <col min="10986" max="10986" width="13.5546875" style="48" customWidth="1"/>
    <col min="10987" max="10987" width="7.109375" style="48" customWidth="1"/>
    <col min="10988" max="10988" width="8.5546875" style="48" customWidth="1"/>
    <col min="10989" max="10989" width="9" style="48" customWidth="1"/>
    <col min="10990" max="10990" width="5.109375" style="48" customWidth="1"/>
    <col min="10991" max="10991" width="8.44140625" style="48" customWidth="1"/>
    <col min="10992" max="10992" width="17.109375" style="48" customWidth="1"/>
    <col min="10993" max="10993" width="18" style="48" customWidth="1"/>
    <col min="10994" max="10994" width="3.88671875" style="48" customWidth="1"/>
    <col min="10995" max="10996" width="12.109375" style="48" bestFit="1" customWidth="1"/>
    <col min="10997" max="10999" width="9.109375" style="48"/>
    <col min="11000" max="11000" width="11.33203125" style="48" customWidth="1"/>
    <col min="11001" max="11238" width="9.109375" style="48"/>
    <col min="11239" max="11239" width="3.109375" style="48" customWidth="1"/>
    <col min="11240" max="11240" width="3.44140625" style="48" customWidth="1"/>
    <col min="11241" max="11241" width="7.33203125" style="48" customWidth="1"/>
    <col min="11242" max="11242" width="13.5546875" style="48" customWidth="1"/>
    <col min="11243" max="11243" width="7.109375" style="48" customWidth="1"/>
    <col min="11244" max="11244" width="8.5546875" style="48" customWidth="1"/>
    <col min="11245" max="11245" width="9" style="48" customWidth="1"/>
    <col min="11246" max="11246" width="5.109375" style="48" customWidth="1"/>
    <col min="11247" max="11247" width="8.44140625" style="48" customWidth="1"/>
    <col min="11248" max="11248" width="17.109375" style="48" customWidth="1"/>
    <col min="11249" max="11249" width="18" style="48" customWidth="1"/>
    <col min="11250" max="11250" width="3.88671875" style="48" customWidth="1"/>
    <col min="11251" max="11252" width="12.109375" style="48" bestFit="1" customWidth="1"/>
    <col min="11253" max="11255" width="9.109375" style="48"/>
    <col min="11256" max="11256" width="11.33203125" style="48" customWidth="1"/>
    <col min="11257" max="11494" width="9.109375" style="48"/>
    <col min="11495" max="11495" width="3.109375" style="48" customWidth="1"/>
    <col min="11496" max="11496" width="3.44140625" style="48" customWidth="1"/>
    <col min="11497" max="11497" width="7.33203125" style="48" customWidth="1"/>
    <col min="11498" max="11498" width="13.5546875" style="48" customWidth="1"/>
    <col min="11499" max="11499" width="7.109375" style="48" customWidth="1"/>
    <col min="11500" max="11500" width="8.5546875" style="48" customWidth="1"/>
    <col min="11501" max="11501" width="9" style="48" customWidth="1"/>
    <col min="11502" max="11502" width="5.109375" style="48" customWidth="1"/>
    <col min="11503" max="11503" width="8.44140625" style="48" customWidth="1"/>
    <col min="11504" max="11504" width="17.109375" style="48" customWidth="1"/>
    <col min="11505" max="11505" width="18" style="48" customWidth="1"/>
    <col min="11506" max="11506" width="3.88671875" style="48" customWidth="1"/>
    <col min="11507" max="11508" width="12.109375" style="48" bestFit="1" customWidth="1"/>
    <col min="11509" max="11511" width="9.109375" style="48"/>
    <col min="11512" max="11512" width="11.33203125" style="48" customWidth="1"/>
    <col min="11513" max="11750" width="9.109375" style="48"/>
    <col min="11751" max="11751" width="3.109375" style="48" customWidth="1"/>
    <col min="11752" max="11752" width="3.44140625" style="48" customWidth="1"/>
    <col min="11753" max="11753" width="7.33203125" style="48" customWidth="1"/>
    <col min="11754" max="11754" width="13.5546875" style="48" customWidth="1"/>
    <col min="11755" max="11755" width="7.109375" style="48" customWidth="1"/>
    <col min="11756" max="11756" width="8.5546875" style="48" customWidth="1"/>
    <col min="11757" max="11757" width="9" style="48" customWidth="1"/>
    <col min="11758" max="11758" width="5.109375" style="48" customWidth="1"/>
    <col min="11759" max="11759" width="8.44140625" style="48" customWidth="1"/>
    <col min="11760" max="11760" width="17.109375" style="48" customWidth="1"/>
    <col min="11761" max="11761" width="18" style="48" customWidth="1"/>
    <col min="11762" max="11762" width="3.88671875" style="48" customWidth="1"/>
    <col min="11763" max="11764" width="12.109375" style="48" bestFit="1" customWidth="1"/>
    <col min="11765" max="11767" width="9.109375" style="48"/>
    <col min="11768" max="11768" width="11.33203125" style="48" customWidth="1"/>
    <col min="11769" max="12006" width="9.109375" style="48"/>
    <col min="12007" max="12007" width="3.109375" style="48" customWidth="1"/>
    <col min="12008" max="12008" width="3.44140625" style="48" customWidth="1"/>
    <col min="12009" max="12009" width="7.33203125" style="48" customWidth="1"/>
    <col min="12010" max="12010" width="13.5546875" style="48" customWidth="1"/>
    <col min="12011" max="12011" width="7.109375" style="48" customWidth="1"/>
    <col min="12012" max="12012" width="8.5546875" style="48" customWidth="1"/>
    <col min="12013" max="12013" width="9" style="48" customWidth="1"/>
    <col min="12014" max="12014" width="5.109375" style="48" customWidth="1"/>
    <col min="12015" max="12015" width="8.44140625" style="48" customWidth="1"/>
    <col min="12016" max="12016" width="17.109375" style="48" customWidth="1"/>
    <col min="12017" max="12017" width="18" style="48" customWidth="1"/>
    <col min="12018" max="12018" width="3.88671875" style="48" customWidth="1"/>
    <col min="12019" max="12020" width="12.109375" style="48" bestFit="1" customWidth="1"/>
    <col min="12021" max="12023" width="9.109375" style="48"/>
    <col min="12024" max="12024" width="11.33203125" style="48" customWidth="1"/>
    <col min="12025" max="12262" width="9.109375" style="48"/>
    <col min="12263" max="12263" width="3.109375" style="48" customWidth="1"/>
    <col min="12264" max="12264" width="3.44140625" style="48" customWidth="1"/>
    <col min="12265" max="12265" width="7.33203125" style="48" customWidth="1"/>
    <col min="12266" max="12266" width="13.5546875" style="48" customWidth="1"/>
    <col min="12267" max="12267" width="7.109375" style="48" customWidth="1"/>
    <col min="12268" max="12268" width="8.5546875" style="48" customWidth="1"/>
    <col min="12269" max="12269" width="9" style="48" customWidth="1"/>
    <col min="12270" max="12270" width="5.109375" style="48" customWidth="1"/>
    <col min="12271" max="12271" width="8.44140625" style="48" customWidth="1"/>
    <col min="12272" max="12272" width="17.109375" style="48" customWidth="1"/>
    <col min="12273" max="12273" width="18" style="48" customWidth="1"/>
    <col min="12274" max="12274" width="3.88671875" style="48" customWidth="1"/>
    <col min="12275" max="12276" width="12.109375" style="48" bestFit="1" customWidth="1"/>
    <col min="12277" max="12279" width="9.109375" style="48"/>
    <col min="12280" max="12280" width="11.33203125" style="48" customWidth="1"/>
    <col min="12281" max="12518" width="9.109375" style="48"/>
    <col min="12519" max="12519" width="3.109375" style="48" customWidth="1"/>
    <col min="12520" max="12520" width="3.44140625" style="48" customWidth="1"/>
    <col min="12521" max="12521" width="7.33203125" style="48" customWidth="1"/>
    <col min="12522" max="12522" width="13.5546875" style="48" customWidth="1"/>
    <col min="12523" max="12523" width="7.109375" style="48" customWidth="1"/>
    <col min="12524" max="12524" width="8.5546875" style="48" customWidth="1"/>
    <col min="12525" max="12525" width="9" style="48" customWidth="1"/>
    <col min="12526" max="12526" width="5.109375" style="48" customWidth="1"/>
    <col min="12527" max="12527" width="8.44140625" style="48" customWidth="1"/>
    <col min="12528" max="12528" width="17.109375" style="48" customWidth="1"/>
    <col min="12529" max="12529" width="18" style="48" customWidth="1"/>
    <col min="12530" max="12530" width="3.88671875" style="48" customWidth="1"/>
    <col min="12531" max="12532" width="12.109375" style="48" bestFit="1" customWidth="1"/>
    <col min="12533" max="12535" width="9.109375" style="48"/>
    <col min="12536" max="12536" width="11.33203125" style="48" customWidth="1"/>
    <col min="12537" max="12774" width="9.109375" style="48"/>
    <col min="12775" max="12775" width="3.109375" style="48" customWidth="1"/>
    <col min="12776" max="12776" width="3.44140625" style="48" customWidth="1"/>
    <col min="12777" max="12777" width="7.33203125" style="48" customWidth="1"/>
    <col min="12778" max="12778" width="13.5546875" style="48" customWidth="1"/>
    <col min="12779" max="12779" width="7.109375" style="48" customWidth="1"/>
    <col min="12780" max="12780" width="8.5546875" style="48" customWidth="1"/>
    <col min="12781" max="12781" width="9" style="48" customWidth="1"/>
    <col min="12782" max="12782" width="5.109375" style="48" customWidth="1"/>
    <col min="12783" max="12783" width="8.44140625" style="48" customWidth="1"/>
    <col min="12784" max="12784" width="17.109375" style="48" customWidth="1"/>
    <col min="12785" max="12785" width="18" style="48" customWidth="1"/>
    <col min="12786" max="12786" width="3.88671875" style="48" customWidth="1"/>
    <col min="12787" max="12788" width="12.109375" style="48" bestFit="1" customWidth="1"/>
    <col min="12789" max="12791" width="9.109375" style="48"/>
    <col min="12792" max="12792" width="11.33203125" style="48" customWidth="1"/>
    <col min="12793" max="13030" width="9.109375" style="48"/>
    <col min="13031" max="13031" width="3.109375" style="48" customWidth="1"/>
    <col min="13032" max="13032" width="3.44140625" style="48" customWidth="1"/>
    <col min="13033" max="13033" width="7.33203125" style="48" customWidth="1"/>
    <col min="13034" max="13034" width="13.5546875" style="48" customWidth="1"/>
    <col min="13035" max="13035" width="7.109375" style="48" customWidth="1"/>
    <col min="13036" max="13036" width="8.5546875" style="48" customWidth="1"/>
    <col min="13037" max="13037" width="9" style="48" customWidth="1"/>
    <col min="13038" max="13038" width="5.109375" style="48" customWidth="1"/>
    <col min="13039" max="13039" width="8.44140625" style="48" customWidth="1"/>
    <col min="13040" max="13040" width="17.109375" style="48" customWidth="1"/>
    <col min="13041" max="13041" width="18" style="48" customWidth="1"/>
    <col min="13042" max="13042" width="3.88671875" style="48" customWidth="1"/>
    <col min="13043" max="13044" width="12.109375" style="48" bestFit="1" customWidth="1"/>
    <col min="13045" max="13047" width="9.109375" style="48"/>
    <col min="13048" max="13048" width="11.33203125" style="48" customWidth="1"/>
    <col min="13049" max="13286" width="9.109375" style="48"/>
    <col min="13287" max="13287" width="3.109375" style="48" customWidth="1"/>
    <col min="13288" max="13288" width="3.44140625" style="48" customWidth="1"/>
    <col min="13289" max="13289" width="7.33203125" style="48" customWidth="1"/>
    <col min="13290" max="13290" width="13.5546875" style="48" customWidth="1"/>
    <col min="13291" max="13291" width="7.109375" style="48" customWidth="1"/>
    <col min="13292" max="13292" width="8.5546875" style="48" customWidth="1"/>
    <col min="13293" max="13293" width="9" style="48" customWidth="1"/>
    <col min="13294" max="13294" width="5.109375" style="48" customWidth="1"/>
    <col min="13295" max="13295" width="8.44140625" style="48" customWidth="1"/>
    <col min="13296" max="13296" width="17.109375" style="48" customWidth="1"/>
    <col min="13297" max="13297" width="18" style="48" customWidth="1"/>
    <col min="13298" max="13298" width="3.88671875" style="48" customWidth="1"/>
    <col min="13299" max="13300" width="12.109375" style="48" bestFit="1" customWidth="1"/>
    <col min="13301" max="13303" width="9.109375" style="48"/>
    <col min="13304" max="13304" width="11.33203125" style="48" customWidth="1"/>
    <col min="13305" max="13542" width="9.109375" style="48"/>
    <col min="13543" max="13543" width="3.109375" style="48" customWidth="1"/>
    <col min="13544" max="13544" width="3.44140625" style="48" customWidth="1"/>
    <col min="13545" max="13545" width="7.33203125" style="48" customWidth="1"/>
    <col min="13546" max="13546" width="13.5546875" style="48" customWidth="1"/>
    <col min="13547" max="13547" width="7.109375" style="48" customWidth="1"/>
    <col min="13548" max="13548" width="8.5546875" style="48" customWidth="1"/>
    <col min="13549" max="13549" width="9" style="48" customWidth="1"/>
    <col min="13550" max="13550" width="5.109375" style="48" customWidth="1"/>
    <col min="13551" max="13551" width="8.44140625" style="48" customWidth="1"/>
    <col min="13552" max="13552" width="17.109375" style="48" customWidth="1"/>
    <col min="13553" max="13553" width="18" style="48" customWidth="1"/>
    <col min="13554" max="13554" width="3.88671875" style="48" customWidth="1"/>
    <col min="13555" max="13556" width="12.109375" style="48" bestFit="1" customWidth="1"/>
    <col min="13557" max="13559" width="9.109375" style="48"/>
    <col min="13560" max="13560" width="11.33203125" style="48" customWidth="1"/>
    <col min="13561" max="13798" width="9.109375" style="48"/>
    <col min="13799" max="13799" width="3.109375" style="48" customWidth="1"/>
    <col min="13800" max="13800" width="3.44140625" style="48" customWidth="1"/>
    <col min="13801" max="13801" width="7.33203125" style="48" customWidth="1"/>
    <col min="13802" max="13802" width="13.5546875" style="48" customWidth="1"/>
    <col min="13803" max="13803" width="7.109375" style="48" customWidth="1"/>
    <col min="13804" max="13804" width="8.5546875" style="48" customWidth="1"/>
    <col min="13805" max="13805" width="9" style="48" customWidth="1"/>
    <col min="13806" max="13806" width="5.109375" style="48" customWidth="1"/>
    <col min="13807" max="13807" width="8.44140625" style="48" customWidth="1"/>
    <col min="13808" max="13808" width="17.109375" style="48" customWidth="1"/>
    <col min="13809" max="13809" width="18" style="48" customWidth="1"/>
    <col min="13810" max="13810" width="3.88671875" style="48" customWidth="1"/>
    <col min="13811" max="13812" width="12.109375" style="48" bestFit="1" customWidth="1"/>
    <col min="13813" max="13815" width="9.109375" style="48"/>
    <col min="13816" max="13816" width="11.33203125" style="48" customWidth="1"/>
    <col min="13817" max="14054" width="9.109375" style="48"/>
    <col min="14055" max="14055" width="3.109375" style="48" customWidth="1"/>
    <col min="14056" max="14056" width="3.44140625" style="48" customWidth="1"/>
    <col min="14057" max="14057" width="7.33203125" style="48" customWidth="1"/>
    <col min="14058" max="14058" width="13.5546875" style="48" customWidth="1"/>
    <col min="14059" max="14059" width="7.109375" style="48" customWidth="1"/>
    <col min="14060" max="14060" width="8.5546875" style="48" customWidth="1"/>
    <col min="14061" max="14061" width="9" style="48" customWidth="1"/>
    <col min="14062" max="14062" width="5.109375" style="48" customWidth="1"/>
    <col min="14063" max="14063" width="8.44140625" style="48" customWidth="1"/>
    <col min="14064" max="14064" width="17.109375" style="48" customWidth="1"/>
    <col min="14065" max="14065" width="18" style="48" customWidth="1"/>
    <col min="14066" max="14066" width="3.88671875" style="48" customWidth="1"/>
    <col min="14067" max="14068" width="12.109375" style="48" bestFit="1" customWidth="1"/>
    <col min="14069" max="14071" width="9.109375" style="48"/>
    <col min="14072" max="14072" width="11.33203125" style="48" customWidth="1"/>
    <col min="14073" max="14310" width="9.109375" style="48"/>
    <col min="14311" max="14311" width="3.109375" style="48" customWidth="1"/>
    <col min="14312" max="14312" width="3.44140625" style="48" customWidth="1"/>
    <col min="14313" max="14313" width="7.33203125" style="48" customWidth="1"/>
    <col min="14314" max="14314" width="13.5546875" style="48" customWidth="1"/>
    <col min="14315" max="14315" width="7.109375" style="48" customWidth="1"/>
    <col min="14316" max="14316" width="8.5546875" style="48" customWidth="1"/>
    <col min="14317" max="14317" width="9" style="48" customWidth="1"/>
    <col min="14318" max="14318" width="5.109375" style="48" customWidth="1"/>
    <col min="14319" max="14319" width="8.44140625" style="48" customWidth="1"/>
    <col min="14320" max="14320" width="17.109375" style="48" customWidth="1"/>
    <col min="14321" max="14321" width="18" style="48" customWidth="1"/>
    <col min="14322" max="14322" width="3.88671875" style="48" customWidth="1"/>
    <col min="14323" max="14324" width="12.109375" style="48" bestFit="1" customWidth="1"/>
    <col min="14325" max="14327" width="9.109375" style="48"/>
    <col min="14328" max="14328" width="11.33203125" style="48" customWidth="1"/>
    <col min="14329" max="14566" width="9.109375" style="48"/>
    <col min="14567" max="14567" width="3.109375" style="48" customWidth="1"/>
    <col min="14568" max="14568" width="3.44140625" style="48" customWidth="1"/>
    <col min="14569" max="14569" width="7.33203125" style="48" customWidth="1"/>
    <col min="14570" max="14570" width="13.5546875" style="48" customWidth="1"/>
    <col min="14571" max="14571" width="7.109375" style="48" customWidth="1"/>
    <col min="14572" max="14572" width="8.5546875" style="48" customWidth="1"/>
    <col min="14573" max="14573" width="9" style="48" customWidth="1"/>
    <col min="14574" max="14574" width="5.109375" style="48" customWidth="1"/>
    <col min="14575" max="14575" width="8.44140625" style="48" customWidth="1"/>
    <col min="14576" max="14576" width="17.109375" style="48" customWidth="1"/>
    <col min="14577" max="14577" width="18" style="48" customWidth="1"/>
    <col min="14578" max="14578" width="3.88671875" style="48" customWidth="1"/>
    <col min="14579" max="14580" width="12.109375" style="48" bestFit="1" customWidth="1"/>
    <col min="14581" max="14583" width="9.109375" style="48"/>
    <col min="14584" max="14584" width="11.33203125" style="48" customWidth="1"/>
    <col min="14585" max="14822" width="9.109375" style="48"/>
    <col min="14823" max="14823" width="3.109375" style="48" customWidth="1"/>
    <col min="14824" max="14824" width="3.44140625" style="48" customWidth="1"/>
    <col min="14825" max="14825" width="7.33203125" style="48" customWidth="1"/>
    <col min="14826" max="14826" width="13.5546875" style="48" customWidth="1"/>
    <col min="14827" max="14827" width="7.109375" style="48" customWidth="1"/>
    <col min="14828" max="14828" width="8.5546875" style="48" customWidth="1"/>
    <col min="14829" max="14829" width="9" style="48" customWidth="1"/>
    <col min="14830" max="14830" width="5.109375" style="48" customWidth="1"/>
    <col min="14831" max="14831" width="8.44140625" style="48" customWidth="1"/>
    <col min="14832" max="14832" width="17.109375" style="48" customWidth="1"/>
    <col min="14833" max="14833" width="18" style="48" customWidth="1"/>
    <col min="14834" max="14834" width="3.88671875" style="48" customWidth="1"/>
    <col min="14835" max="14836" width="12.109375" style="48" bestFit="1" customWidth="1"/>
    <col min="14837" max="14839" width="9.109375" style="48"/>
    <col min="14840" max="14840" width="11.33203125" style="48" customWidth="1"/>
    <col min="14841" max="15078" width="9.109375" style="48"/>
    <col min="15079" max="15079" width="3.109375" style="48" customWidth="1"/>
    <col min="15080" max="15080" width="3.44140625" style="48" customWidth="1"/>
    <col min="15081" max="15081" width="7.33203125" style="48" customWidth="1"/>
    <col min="15082" max="15082" width="13.5546875" style="48" customWidth="1"/>
    <col min="15083" max="15083" width="7.109375" style="48" customWidth="1"/>
    <col min="15084" max="15084" width="8.5546875" style="48" customWidth="1"/>
    <col min="15085" max="15085" width="9" style="48" customWidth="1"/>
    <col min="15086" max="15086" width="5.109375" style="48" customWidth="1"/>
    <col min="15087" max="15087" width="8.44140625" style="48" customWidth="1"/>
    <col min="15088" max="15088" width="17.109375" style="48" customWidth="1"/>
    <col min="15089" max="15089" width="18" style="48" customWidth="1"/>
    <col min="15090" max="15090" width="3.88671875" style="48" customWidth="1"/>
    <col min="15091" max="15092" width="12.109375" style="48" bestFit="1" customWidth="1"/>
    <col min="15093" max="15095" width="9.109375" style="48"/>
    <col min="15096" max="15096" width="11.33203125" style="48" customWidth="1"/>
    <col min="15097" max="15334" width="9.109375" style="48"/>
    <col min="15335" max="15335" width="3.109375" style="48" customWidth="1"/>
    <col min="15336" max="15336" width="3.44140625" style="48" customWidth="1"/>
    <col min="15337" max="15337" width="7.33203125" style="48" customWidth="1"/>
    <col min="15338" max="15338" width="13.5546875" style="48" customWidth="1"/>
    <col min="15339" max="15339" width="7.109375" style="48" customWidth="1"/>
    <col min="15340" max="15340" width="8.5546875" style="48" customWidth="1"/>
    <col min="15341" max="15341" width="9" style="48" customWidth="1"/>
    <col min="15342" max="15342" width="5.109375" style="48" customWidth="1"/>
    <col min="15343" max="15343" width="8.44140625" style="48" customWidth="1"/>
    <col min="15344" max="15344" width="17.109375" style="48" customWidth="1"/>
    <col min="15345" max="15345" width="18" style="48" customWidth="1"/>
    <col min="15346" max="15346" width="3.88671875" style="48" customWidth="1"/>
    <col min="15347" max="15348" width="12.109375" style="48" bestFit="1" customWidth="1"/>
    <col min="15349" max="15351" width="9.109375" style="48"/>
    <col min="15352" max="15352" width="11.33203125" style="48" customWidth="1"/>
    <col min="15353" max="15590" width="9.109375" style="48"/>
    <col min="15591" max="15591" width="3.109375" style="48" customWidth="1"/>
    <col min="15592" max="15592" width="3.44140625" style="48" customWidth="1"/>
    <col min="15593" max="15593" width="7.33203125" style="48" customWidth="1"/>
    <col min="15594" max="15594" width="13.5546875" style="48" customWidth="1"/>
    <col min="15595" max="15595" width="7.109375" style="48" customWidth="1"/>
    <col min="15596" max="15596" width="8.5546875" style="48" customWidth="1"/>
    <col min="15597" max="15597" width="9" style="48" customWidth="1"/>
    <col min="15598" max="15598" width="5.109375" style="48" customWidth="1"/>
    <col min="15599" max="15599" width="8.44140625" style="48" customWidth="1"/>
    <col min="15600" max="15600" width="17.109375" style="48" customWidth="1"/>
    <col min="15601" max="15601" width="18" style="48" customWidth="1"/>
    <col min="15602" max="15602" width="3.88671875" style="48" customWidth="1"/>
    <col min="15603" max="15604" width="12.109375" style="48" bestFit="1" customWidth="1"/>
    <col min="15605" max="15607" width="9.109375" style="48"/>
    <col min="15608" max="15608" width="11.33203125" style="48" customWidth="1"/>
    <col min="15609" max="15846" width="9.109375" style="48"/>
    <col min="15847" max="15847" width="3.109375" style="48" customWidth="1"/>
    <col min="15848" max="15848" width="3.44140625" style="48" customWidth="1"/>
    <col min="15849" max="15849" width="7.33203125" style="48" customWidth="1"/>
    <col min="15850" max="15850" width="13.5546875" style="48" customWidth="1"/>
    <col min="15851" max="15851" width="7.109375" style="48" customWidth="1"/>
    <col min="15852" max="15852" width="8.5546875" style="48" customWidth="1"/>
    <col min="15853" max="15853" width="9" style="48" customWidth="1"/>
    <col min="15854" max="15854" width="5.109375" style="48" customWidth="1"/>
    <col min="15855" max="15855" width="8.44140625" style="48" customWidth="1"/>
    <col min="15856" max="15856" width="17.109375" style="48" customWidth="1"/>
    <col min="15857" max="15857" width="18" style="48" customWidth="1"/>
    <col min="15858" max="15858" width="3.88671875" style="48" customWidth="1"/>
    <col min="15859" max="15860" width="12.109375" style="48" bestFit="1" customWidth="1"/>
    <col min="15861" max="15863" width="9.109375" style="48"/>
    <col min="15864" max="15864" width="11.33203125" style="48" customWidth="1"/>
    <col min="15865" max="16102" width="9.109375" style="48"/>
    <col min="16103" max="16103" width="3.109375" style="48" customWidth="1"/>
    <col min="16104" max="16104" width="3.44140625" style="48" customWidth="1"/>
    <col min="16105" max="16105" width="7.33203125" style="48" customWidth="1"/>
    <col min="16106" max="16106" width="13.5546875" style="48" customWidth="1"/>
    <col min="16107" max="16107" width="7.109375" style="48" customWidth="1"/>
    <col min="16108" max="16108" width="8.5546875" style="48" customWidth="1"/>
    <col min="16109" max="16109" width="9" style="48" customWidth="1"/>
    <col min="16110" max="16110" width="5.109375" style="48" customWidth="1"/>
    <col min="16111" max="16111" width="8.44140625" style="48" customWidth="1"/>
    <col min="16112" max="16112" width="17.109375" style="48" customWidth="1"/>
    <col min="16113" max="16113" width="18" style="48" customWidth="1"/>
    <col min="16114" max="16114" width="3.88671875" style="48" customWidth="1"/>
    <col min="16115" max="16116" width="12.109375" style="48" bestFit="1" customWidth="1"/>
    <col min="16117" max="16119" width="9.109375" style="48"/>
    <col min="16120" max="16120" width="11.33203125" style="48" customWidth="1"/>
    <col min="16121" max="16384" width="9.109375" style="48"/>
  </cols>
  <sheetData>
    <row r="1" spans="1:21">
      <c r="I1" s="265" t="s">
        <v>629</v>
      </c>
      <c r="J1" s="266">
        <f>+'Data from DB'!B3</f>
        <v>0</v>
      </c>
    </row>
    <row r="2" spans="1:21" ht="21.6" customHeight="1">
      <c r="C2" s="366"/>
      <c r="D2" s="366"/>
      <c r="E2" s="366"/>
      <c r="F2" s="366"/>
      <c r="G2" s="366"/>
      <c r="H2" s="366"/>
      <c r="I2" s="366"/>
    </row>
    <row r="3" spans="1:21" ht="39" customHeight="1">
      <c r="F3" s="102"/>
      <c r="G3" s="102"/>
      <c r="H3" s="102"/>
      <c r="I3" s="102"/>
      <c r="N3" s="49"/>
      <c r="O3" s="49"/>
      <c r="P3" s="49"/>
      <c r="Q3" s="49"/>
      <c r="R3" s="49"/>
      <c r="S3" s="49"/>
      <c r="T3" s="50"/>
      <c r="U3" s="51"/>
    </row>
    <row r="4" spans="1:21" ht="13.5" customHeight="1">
      <c r="A4" s="372"/>
      <c r="B4" s="372"/>
      <c r="C4" s="372"/>
      <c r="D4" s="372"/>
      <c r="E4" s="372"/>
      <c r="F4" s="372"/>
      <c r="G4" s="372"/>
      <c r="H4" s="372"/>
      <c r="I4" s="372"/>
      <c r="J4" s="372"/>
      <c r="L4" s="49"/>
      <c r="N4" s="52"/>
      <c r="O4" s="52"/>
      <c r="P4" s="53"/>
      <c r="Q4" s="53"/>
      <c r="S4" s="53"/>
      <c r="T4" s="54"/>
      <c r="U4" s="55"/>
    </row>
    <row r="5" spans="1:21" ht="13.5" customHeight="1" thickBot="1">
      <c r="L5" s="49"/>
      <c r="N5" s="52"/>
      <c r="O5" s="52"/>
      <c r="P5" s="53"/>
      <c r="Q5" s="53"/>
      <c r="S5" s="53"/>
      <c r="T5" s="54"/>
      <c r="U5" s="55"/>
    </row>
    <row r="6" spans="1:21" ht="13.5" customHeight="1" thickBot="1">
      <c r="C6" s="267" t="s">
        <v>25</v>
      </c>
      <c r="D6" s="268" t="s">
        <v>26</v>
      </c>
      <c r="E6" s="269">
        <f>+'Data from DB'!B26</f>
        <v>0</v>
      </c>
      <c r="F6" s="268" t="s">
        <v>27</v>
      </c>
      <c r="G6" s="269">
        <f>+'Data from DB'!B27</f>
        <v>0</v>
      </c>
      <c r="H6" s="268"/>
      <c r="I6" s="270" t="str">
        <f>"TRIM=" &amp;  G6-E6</f>
        <v>TRIM=0</v>
      </c>
      <c r="J6" s="271" t="s">
        <v>28</v>
      </c>
      <c r="T6" s="51"/>
      <c r="U6" s="51"/>
    </row>
    <row r="7" spans="1:21" ht="13.5" customHeight="1" thickBot="1">
      <c r="L7" s="58" t="s">
        <v>38</v>
      </c>
      <c r="M7" s="59"/>
      <c r="N7" s="60" t="s">
        <v>39</v>
      </c>
      <c r="O7" s="61"/>
      <c r="P7" s="367">
        <f>N10/P9</f>
        <v>2.9000000000000002E-3</v>
      </c>
      <c r="Q7" s="367"/>
    </row>
    <row r="8" spans="1:21" ht="13.5" customHeight="1" thickBot="1">
      <c r="A8" s="272" t="s">
        <v>29</v>
      </c>
      <c r="B8" s="272"/>
      <c r="C8" s="272"/>
      <c r="D8" s="273"/>
      <c r="E8" s="273"/>
      <c r="L8" s="65"/>
      <c r="M8" s="66">
        <v>1</v>
      </c>
      <c r="N8" s="66">
        <v>1.45</v>
      </c>
      <c r="O8" s="67">
        <v>1.5</v>
      </c>
      <c r="P8" s="368" t="s">
        <v>46</v>
      </c>
      <c r="Q8" s="369"/>
    </row>
    <row r="9" spans="1:21" ht="13.5" customHeight="1" thickTop="1" thickBot="1">
      <c r="A9" s="56"/>
      <c r="B9" s="274" t="s">
        <v>31</v>
      </c>
      <c r="C9" s="275"/>
      <c r="D9" s="276" t="s">
        <v>32</v>
      </c>
      <c r="E9" s="275" t="s">
        <v>33</v>
      </c>
      <c r="F9" s="274" t="s">
        <v>34</v>
      </c>
      <c r="G9" s="277" t="s">
        <v>35</v>
      </c>
      <c r="H9" s="275"/>
      <c r="I9" s="276" t="s">
        <v>36</v>
      </c>
      <c r="J9" s="278" t="s">
        <v>37</v>
      </c>
      <c r="K9" s="57"/>
      <c r="L9" s="68">
        <v>0.3</v>
      </c>
      <c r="M9" s="69">
        <v>2.6</v>
      </c>
      <c r="N9" s="70"/>
      <c r="O9" s="71">
        <v>2.6</v>
      </c>
      <c r="P9" s="370">
        <v>1000</v>
      </c>
      <c r="Q9" s="371"/>
    </row>
    <row r="10" spans="1:21" ht="13.5" customHeight="1" thickBot="1">
      <c r="A10" s="64"/>
      <c r="B10" s="279" t="s">
        <v>40</v>
      </c>
      <c r="C10" s="280"/>
      <c r="D10" s="281" t="s">
        <v>41</v>
      </c>
      <c r="E10" s="280" t="s">
        <v>41</v>
      </c>
      <c r="F10" s="279" t="s">
        <v>42</v>
      </c>
      <c r="G10" s="282" t="s">
        <v>43</v>
      </c>
      <c r="H10" s="281" t="s">
        <v>44</v>
      </c>
      <c r="I10" s="281" t="s">
        <v>45</v>
      </c>
      <c r="J10" s="283" t="s">
        <v>19</v>
      </c>
      <c r="L10" s="68">
        <v>0.33</v>
      </c>
      <c r="M10" s="72">
        <f>((M9-M11)/(L9-L11))*(L10-L11)+M11</f>
        <v>2.9000000000000004</v>
      </c>
      <c r="N10" s="70">
        <f>M10-(M10-O10)/(O8-M8)*(N8-M8)</f>
        <v>2.9000000000000004</v>
      </c>
      <c r="O10" s="73">
        <f>((O9-O11)/(L9-L11))*(L10-L11)+O11</f>
        <v>2.9000000000000004</v>
      </c>
      <c r="P10" s="74">
        <f>L10+P7</f>
        <v>0.33290000000000003</v>
      </c>
      <c r="Q10" s="75" t="s">
        <v>47</v>
      </c>
    </row>
    <row r="11" spans="1:21" ht="13.5" customHeight="1" thickTop="1" thickBot="1">
      <c r="A11" s="284">
        <f>+'Data from DB'!B81</f>
        <v>0</v>
      </c>
      <c r="B11" s="285"/>
      <c r="C11" s="286"/>
      <c r="D11" s="287">
        <f>+'Data from DB'!B82</f>
        <v>0</v>
      </c>
      <c r="E11" s="287">
        <f>+'Data from DB'!B83</f>
        <v>0</v>
      </c>
      <c r="F11" s="288">
        <f>+'Data from DB'!B84</f>
        <v>0</v>
      </c>
      <c r="G11" s="289">
        <f>+'Data from DB'!B85</f>
        <v>0</v>
      </c>
      <c r="H11" s="290">
        <f>+'Data from DB'!B86</f>
        <v>0</v>
      </c>
      <c r="I11" s="291">
        <f>+'Data from DB'!B87</f>
        <v>0</v>
      </c>
      <c r="J11" s="292">
        <f>+'Data from DB'!B88</f>
        <v>0</v>
      </c>
      <c r="L11" s="76">
        <v>0.35</v>
      </c>
      <c r="M11" s="77">
        <v>3.1</v>
      </c>
      <c r="N11" s="78"/>
      <c r="O11" s="79">
        <v>3.1</v>
      </c>
      <c r="P11" s="74">
        <f>L10-P7</f>
        <v>0.3271</v>
      </c>
      <c r="Q11" s="80" t="s">
        <v>48</v>
      </c>
    </row>
    <row r="12" spans="1:21" ht="13.5" customHeight="1" thickBot="1">
      <c r="A12" s="284">
        <f>+'Data from DB'!B89</f>
        <v>0</v>
      </c>
      <c r="B12" s="285"/>
      <c r="C12" s="286"/>
      <c r="D12" s="293">
        <f>+'Data from DB'!B90</f>
        <v>0</v>
      </c>
      <c r="E12" s="293">
        <f>+'Data from DB'!B91</f>
        <v>0</v>
      </c>
      <c r="F12" s="288">
        <f>+'Data from DB'!B92</f>
        <v>0</v>
      </c>
      <c r="G12" s="289">
        <f>+'Data from DB'!B93</f>
        <v>0</v>
      </c>
      <c r="H12" s="290">
        <f>+'Data from DB'!B94</f>
        <v>0</v>
      </c>
      <c r="I12" s="294">
        <f>+'Data from DB'!B95</f>
        <v>0</v>
      </c>
      <c r="J12" s="295">
        <f>+'Data from DB'!B96</f>
        <v>0</v>
      </c>
      <c r="L12" s="81"/>
      <c r="M12" s="81"/>
      <c r="N12" s="81"/>
      <c r="O12" s="81"/>
      <c r="P12" s="81"/>
      <c r="Q12" s="81"/>
    </row>
    <row r="13" spans="1:21" ht="13.5" customHeight="1" thickBot="1">
      <c r="A13" s="284">
        <f>+'Data from DB'!B97</f>
        <v>0</v>
      </c>
      <c r="B13" s="285"/>
      <c r="C13" s="286"/>
      <c r="D13" s="293">
        <f>+'Data from DB'!B98</f>
        <v>0</v>
      </c>
      <c r="E13" s="293">
        <f>+'Data from DB'!B99</f>
        <v>0</v>
      </c>
      <c r="F13" s="296">
        <f>+'Data from DB'!B100</f>
        <v>0</v>
      </c>
      <c r="G13" s="289">
        <f>+'Data from DB'!B101</f>
        <v>0</v>
      </c>
      <c r="H13" s="290">
        <f>+'Data from DB'!B102</f>
        <v>0</v>
      </c>
      <c r="I13" s="294">
        <f>+'Data from DB'!B103</f>
        <v>0</v>
      </c>
      <c r="J13" s="295">
        <f>+'Data from DB'!B104</f>
        <v>0</v>
      </c>
      <c r="L13" s="58" t="s">
        <v>38</v>
      </c>
      <c r="M13" s="59"/>
      <c r="N13" s="60" t="s">
        <v>50</v>
      </c>
      <c r="O13" s="61"/>
      <c r="P13" s="367">
        <f>N16/P15</f>
        <v>5.8614199999999998E-2</v>
      </c>
      <c r="Q13" s="367"/>
    </row>
    <row r="14" spans="1:21" ht="13.5" customHeight="1" thickBot="1">
      <c r="A14" s="284">
        <f>+'Data from DB'!B105</f>
        <v>0</v>
      </c>
      <c r="B14" s="285"/>
      <c r="C14" s="286"/>
      <c r="D14" s="293">
        <f>+'Data from DB'!B106</f>
        <v>0</v>
      </c>
      <c r="E14" s="293">
        <f>+'Data from DB'!B107</f>
        <v>0</v>
      </c>
      <c r="F14" s="296">
        <f>+'Data from DB'!B108</f>
        <v>0</v>
      </c>
      <c r="G14" s="289">
        <f>+'Data from DB'!B109</f>
        <v>0</v>
      </c>
      <c r="H14" s="290">
        <f>+'Data from DB'!B110</f>
        <v>0</v>
      </c>
      <c r="I14" s="294">
        <f>+'Data from DB'!B111</f>
        <v>0</v>
      </c>
      <c r="J14" s="295">
        <f>+'Data from DB'!B112</f>
        <v>0</v>
      </c>
      <c r="L14" s="65"/>
      <c r="M14" s="66">
        <v>2</v>
      </c>
      <c r="N14" s="66">
        <f>N8</f>
        <v>1.45</v>
      </c>
      <c r="O14" s="67">
        <v>3</v>
      </c>
      <c r="P14" s="368" t="s">
        <v>46</v>
      </c>
      <c r="Q14" s="369"/>
    </row>
    <row r="15" spans="1:21" ht="13.5" customHeight="1" thickBot="1">
      <c r="A15" s="284">
        <f>+'Data from DB'!B113</f>
        <v>0</v>
      </c>
      <c r="B15" s="285"/>
      <c r="C15" s="286"/>
      <c r="D15" s="284" t="e">
        <f>+'Data from DB'!#REF!</f>
        <v>#REF!</v>
      </c>
      <c r="E15" s="284" t="e">
        <f>+'Data from DB'!#REF!</f>
        <v>#REF!</v>
      </c>
      <c r="F15" s="284" t="e">
        <f>+'Data from DB'!#REF!</f>
        <v>#REF!</v>
      </c>
      <c r="G15" s="284" t="e">
        <f>+'Data from DB'!#REF!</f>
        <v>#REF!</v>
      </c>
      <c r="H15" s="284" t="e">
        <f>+'Data from DB'!#REF!</f>
        <v>#REF!</v>
      </c>
      <c r="I15" s="284" t="e">
        <f>+'Data from DB'!#REF!</f>
        <v>#REF!</v>
      </c>
      <c r="J15" s="284" t="e">
        <f>+'Data from DB'!#REF!</f>
        <v>#REF!</v>
      </c>
      <c r="L15" s="68">
        <v>0.7</v>
      </c>
      <c r="M15" s="69">
        <v>5.26</v>
      </c>
      <c r="N15" s="70"/>
      <c r="O15" s="71">
        <v>5.1660000000000004</v>
      </c>
      <c r="P15" s="370">
        <v>100</v>
      </c>
      <c r="Q15" s="371"/>
    </row>
    <row r="16" spans="1:21" ht="13.5" customHeight="1" thickBot="1">
      <c r="A16" s="284">
        <f>+'Data from DB'!B121</f>
        <v>0</v>
      </c>
      <c r="B16" s="285"/>
      <c r="C16" s="286"/>
      <c r="D16" s="293">
        <f>+'Data from DB'!B122</f>
        <v>0</v>
      </c>
      <c r="E16" s="293">
        <f>+'Data from DB'!B123</f>
        <v>0</v>
      </c>
      <c r="F16" s="296">
        <f>+'Data from DB'!B124</f>
        <v>0</v>
      </c>
      <c r="G16" s="289">
        <f>+'Data from DB'!B125</f>
        <v>0</v>
      </c>
      <c r="H16" s="290">
        <f>+'Data from DB'!B126</f>
        <v>0</v>
      </c>
      <c r="I16" s="294">
        <f>+'Data from DB'!B127</f>
        <v>0</v>
      </c>
      <c r="J16" s="295">
        <f>+'Data from DB'!B128</f>
        <v>0</v>
      </c>
      <c r="L16" s="68">
        <v>0.76</v>
      </c>
      <c r="M16" s="72">
        <f>((M15-M17)/(L15-L17))*(L16-L17)+M17</f>
        <v>5.8083999999999998</v>
      </c>
      <c r="N16" s="70">
        <f>M16-(M16-O16)/(O14-M14)*(N14-M14)</f>
        <v>5.8614199999999999</v>
      </c>
      <c r="O16" s="73">
        <f>((O15-O17)/(L15-L17))*(L16-L17)+O17</f>
        <v>5.7119999999999997</v>
      </c>
      <c r="P16" s="74">
        <f>L16+P13</f>
        <v>0.81861419999999996</v>
      </c>
      <c r="Q16" s="75" t="s">
        <v>47</v>
      </c>
    </row>
    <row r="17" spans="1:17" ht="13.5" customHeight="1" thickBot="1">
      <c r="A17" s="284">
        <f>+'Data from DB'!B129</f>
        <v>0</v>
      </c>
      <c r="B17" s="285"/>
      <c r="C17" s="286"/>
      <c r="D17" s="293">
        <f>+'Data from DB'!B130</f>
        <v>0</v>
      </c>
      <c r="E17" s="293">
        <f>+'Data from DB'!B131</f>
        <v>0</v>
      </c>
      <c r="F17" s="296">
        <f>+'Data from DB'!B132</f>
        <v>0</v>
      </c>
      <c r="G17" s="289">
        <f>+'Data from DB'!B133</f>
        <v>0</v>
      </c>
      <c r="H17" s="290">
        <f>+'Data from DB'!B134</f>
        <v>0</v>
      </c>
      <c r="I17" s="294">
        <f>+'Data from DB'!B135</f>
        <v>0</v>
      </c>
      <c r="J17" s="295">
        <f>+'Data from DB'!B136</f>
        <v>0</v>
      </c>
      <c r="L17" s="76">
        <v>0.8</v>
      </c>
      <c r="M17" s="77">
        <v>6.1740000000000004</v>
      </c>
      <c r="N17" s="78"/>
      <c r="O17" s="79">
        <v>6.0759999999999996</v>
      </c>
      <c r="P17" s="82">
        <f>L16-P13</f>
        <v>0.70138580000000006</v>
      </c>
      <c r="Q17" s="80" t="s">
        <v>48</v>
      </c>
    </row>
    <row r="18" spans="1:17" ht="13.5" customHeight="1" thickBot="1">
      <c r="A18" s="284">
        <f>+'Data from DB'!B137</f>
        <v>0</v>
      </c>
      <c r="B18" s="285"/>
      <c r="C18" s="286"/>
      <c r="D18" s="293">
        <f>+'Data from DB'!B138</f>
        <v>0</v>
      </c>
      <c r="E18" s="293">
        <f>+'Data from DB'!B139</f>
        <v>0</v>
      </c>
      <c r="F18" s="296">
        <f>+'Data from DB'!B140</f>
        <v>0</v>
      </c>
      <c r="G18" s="289">
        <f>+'Data from DB'!B141</f>
        <v>0</v>
      </c>
      <c r="H18" s="290">
        <f>+'Data from DB'!B142</f>
        <v>0</v>
      </c>
      <c r="I18" s="294">
        <f>+'Data from DB'!B143</f>
        <v>0</v>
      </c>
      <c r="J18" s="295">
        <f>+'Data from DB'!B144</f>
        <v>0</v>
      </c>
    </row>
    <row r="19" spans="1:17" ht="13.5" customHeight="1">
      <c r="A19" s="284">
        <f>+'Data from DB'!B145</f>
        <v>0</v>
      </c>
      <c r="B19" s="285"/>
      <c r="C19" s="286"/>
      <c r="D19" s="293">
        <f>+'Data from DB'!B146</f>
        <v>0</v>
      </c>
      <c r="E19" s="293">
        <f>+'Data from DB'!B147</f>
        <v>0</v>
      </c>
      <c r="F19" s="293">
        <f>+'Data from DB'!B148</f>
        <v>0</v>
      </c>
      <c r="G19" s="289">
        <f>+'Data from DB'!B149</f>
        <v>0</v>
      </c>
      <c r="H19" s="290">
        <f>+'Data from DB'!B150</f>
        <v>0</v>
      </c>
      <c r="I19" s="294">
        <f>+'Data from DB'!B151</f>
        <v>0</v>
      </c>
      <c r="J19" s="295">
        <f>+'Data from DB'!B152</f>
        <v>0</v>
      </c>
      <c r="L19" s="84" t="s">
        <v>38</v>
      </c>
      <c r="M19" s="85"/>
      <c r="N19" s="86" t="s">
        <v>52</v>
      </c>
      <c r="O19" s="87"/>
    </row>
    <row r="20" spans="1:17" ht="13.5" customHeight="1">
      <c r="A20" s="284">
        <f>+'Data from DB'!B153</f>
        <v>0</v>
      </c>
      <c r="B20" s="285"/>
      <c r="C20" s="286"/>
      <c r="D20" s="293">
        <f>+'Data from DB'!B154</f>
        <v>0</v>
      </c>
      <c r="E20" s="293">
        <f>+'Data from DB'!B155</f>
        <v>0</v>
      </c>
      <c r="F20" s="293">
        <f>+'Data from DB'!B156</f>
        <v>0</v>
      </c>
      <c r="G20" s="289">
        <f>+'Data from DB'!B157</f>
        <v>0</v>
      </c>
      <c r="H20" s="290">
        <f>+'Data from DB'!B158</f>
        <v>0</v>
      </c>
      <c r="I20" s="294">
        <f>+'Data from DB'!B159</f>
        <v>0</v>
      </c>
      <c r="J20" s="295">
        <f>+'Data from DB'!B160</f>
        <v>0</v>
      </c>
      <c r="L20" s="88"/>
      <c r="M20" s="89">
        <v>0</v>
      </c>
      <c r="N20" s="89">
        <v>1</v>
      </c>
      <c r="O20" s="90">
        <v>1</v>
      </c>
      <c r="P20"/>
      <c r="Q20"/>
    </row>
    <row r="21" spans="1:17" ht="13.5" customHeight="1" thickBot="1">
      <c r="A21" s="297">
        <f>+'Data from DB'!B161</f>
        <v>0</v>
      </c>
      <c r="B21" s="298"/>
      <c r="C21" s="299"/>
      <c r="D21" s="300">
        <f>+'Data from DB'!B162</f>
        <v>0</v>
      </c>
      <c r="E21" s="300">
        <f>+'Data from DB'!B163</f>
        <v>0</v>
      </c>
      <c r="F21" s="301">
        <f>+'Data from DB'!B164</f>
        <v>0</v>
      </c>
      <c r="G21" s="302">
        <f>+'Data from DB'!B165</f>
        <v>0</v>
      </c>
      <c r="H21" s="303">
        <f>+'Data from DB'!B166</f>
        <v>0</v>
      </c>
      <c r="I21" s="304">
        <f>+'Data from DB'!B167</f>
        <v>0</v>
      </c>
      <c r="J21" s="305">
        <f>+'Data from DB'!B168</f>
        <v>0</v>
      </c>
      <c r="L21" s="91">
        <v>3.8149999999999999</v>
      </c>
      <c r="M21" s="92">
        <v>25.4</v>
      </c>
      <c r="N21" s="93"/>
      <c r="O21" s="94">
        <f>M21</f>
        <v>25.4</v>
      </c>
      <c r="P21"/>
    </row>
    <row r="22" spans="1:17" ht="13.5" customHeight="1" thickTop="1">
      <c r="A22" s="83" t="s">
        <v>51</v>
      </c>
      <c r="B22" s="83"/>
      <c r="C22" s="306" t="e">
        <f>+J22&amp;" MT "</f>
        <v>#REF!</v>
      </c>
      <c r="D22" s="307"/>
      <c r="E22" s="103"/>
      <c r="I22" s="101" t="s">
        <v>23</v>
      </c>
      <c r="J22" s="308" t="e">
        <f>SUM(J11:J21)</f>
        <v>#REF!</v>
      </c>
      <c r="L22" s="91">
        <v>3.8225600000000002</v>
      </c>
      <c r="M22" s="95">
        <v>3.35</v>
      </c>
      <c r="N22" s="93">
        <f>M22-(M22-O22)/(O20-M20)*(N20-M20)</f>
        <v>25.021999999999995</v>
      </c>
      <c r="O22" s="96">
        <f>((O21-O23)/(L21-L23))*(L22-L23)+O23</f>
        <v>25.021999999999995</v>
      </c>
      <c r="P22"/>
    </row>
    <row r="23" spans="1:17" ht="13.5" customHeight="1" thickBot="1">
      <c r="L23" s="97">
        <v>3.8250000000000002</v>
      </c>
      <c r="M23" s="98">
        <v>24.9</v>
      </c>
      <c r="N23" s="99"/>
      <c r="O23" s="100">
        <f>M23</f>
        <v>24.9</v>
      </c>
      <c r="P23"/>
    </row>
    <row r="24" spans="1:17" ht="13.5" customHeight="1" thickBot="1">
      <c r="P24"/>
    </row>
    <row r="25" spans="1:17" ht="13.5" customHeight="1" thickBot="1">
      <c r="L25" s="58" t="s">
        <v>38</v>
      </c>
      <c r="M25" s="59"/>
      <c r="N25" s="60" t="s">
        <v>39</v>
      </c>
      <c r="O25" s="61"/>
      <c r="P25" s="367">
        <f>N28/P27</f>
        <v>2.1454865E-2</v>
      </c>
      <c r="Q25" s="367"/>
    </row>
    <row r="26" spans="1:17" ht="13.5" customHeight="1" thickBot="1">
      <c r="A26" s="83" t="s">
        <v>53</v>
      </c>
      <c r="B26" s="309"/>
      <c r="C26" s="309"/>
      <c r="D26" s="309"/>
      <c r="E26" s="309"/>
      <c r="F26" s="309"/>
      <c r="L26" s="230"/>
      <c r="M26" s="66">
        <f>M8</f>
        <v>1</v>
      </c>
      <c r="N26" s="66">
        <f>N8</f>
        <v>1.45</v>
      </c>
      <c r="O26" s="67">
        <f>O8</f>
        <v>1.5</v>
      </c>
      <c r="P26" s="368" t="s">
        <v>46</v>
      </c>
      <c r="Q26" s="369"/>
    </row>
    <row r="27" spans="1:17" ht="13.5" customHeight="1" thickTop="1" thickBot="1">
      <c r="A27" s="56"/>
      <c r="B27" s="274" t="s">
        <v>31</v>
      </c>
      <c r="C27" s="275"/>
      <c r="D27" s="276" t="s">
        <v>32</v>
      </c>
      <c r="E27" s="275" t="s">
        <v>49</v>
      </c>
      <c r="F27" s="274" t="s">
        <v>34</v>
      </c>
      <c r="G27" s="277" t="s">
        <v>54</v>
      </c>
      <c r="H27" s="275"/>
      <c r="I27" s="276" t="s">
        <v>36</v>
      </c>
      <c r="J27" s="278" t="s">
        <v>37</v>
      </c>
      <c r="L27" s="68">
        <v>1.3</v>
      </c>
      <c r="M27" s="69">
        <v>20.306000000000001</v>
      </c>
      <c r="N27" s="70"/>
      <c r="O27" s="71">
        <v>19.54</v>
      </c>
      <c r="P27" s="370">
        <v>1000</v>
      </c>
      <c r="Q27" s="371"/>
    </row>
    <row r="28" spans="1:17" ht="13.5" customHeight="1" thickBot="1">
      <c r="A28" s="64"/>
      <c r="B28" s="279" t="s">
        <v>40</v>
      </c>
      <c r="C28" s="280"/>
      <c r="D28" s="281" t="s">
        <v>41</v>
      </c>
      <c r="E28" s="280" t="s">
        <v>41</v>
      </c>
      <c r="F28" s="279" t="s">
        <v>42</v>
      </c>
      <c r="G28" s="282" t="s">
        <v>43</v>
      </c>
      <c r="H28" s="280" t="s">
        <v>44</v>
      </c>
      <c r="I28" s="281" t="s">
        <v>55</v>
      </c>
      <c r="J28" s="310" t="s">
        <v>19</v>
      </c>
      <c r="L28" s="68">
        <v>1.365</v>
      </c>
      <c r="M28" s="72">
        <f>((M27-M29)/(L27-L29))*(L28-L29)+M29</f>
        <v>22.144850000000002</v>
      </c>
      <c r="N28" s="70">
        <f>M28-(M28-O28)/(O26-M26)*(N26-M26)</f>
        <v>21.454865000000002</v>
      </c>
      <c r="O28" s="73">
        <f>((O27-O29)/(L27-L29))*(L28-L29)+O29</f>
        <v>21.3782</v>
      </c>
      <c r="P28" s="74">
        <f>L28+P25</f>
        <v>1.3864548649999999</v>
      </c>
      <c r="Q28" s="75" t="s">
        <v>47</v>
      </c>
    </row>
    <row r="29" spans="1:17" ht="13.5" customHeight="1" thickTop="1" thickBot="1">
      <c r="A29" s="311">
        <f>+'Data from DB'!B241</f>
        <v>0</v>
      </c>
      <c r="B29" s="312"/>
      <c r="C29" s="313"/>
      <c r="D29" s="314">
        <f>+'Data from DB'!B242</f>
        <v>0</v>
      </c>
      <c r="E29" s="287">
        <f>+'Data from DB'!B243</f>
        <v>0</v>
      </c>
      <c r="F29" s="314">
        <f>+'Data from DB'!B244</f>
        <v>0</v>
      </c>
      <c r="G29" s="287">
        <f>+'Data from DB'!B245</f>
        <v>0</v>
      </c>
      <c r="H29" s="290">
        <f>+'Data from DB'!B246</f>
        <v>0</v>
      </c>
      <c r="I29" s="315">
        <f>+'Data from DB'!B247</f>
        <v>0</v>
      </c>
      <c r="J29" s="316">
        <f>+'Data from DB'!B248</f>
        <v>0</v>
      </c>
      <c r="L29" s="76">
        <v>1.4</v>
      </c>
      <c r="M29" s="77">
        <v>23.135000000000002</v>
      </c>
      <c r="N29" s="78"/>
      <c r="O29" s="79">
        <v>22.367999999999999</v>
      </c>
      <c r="P29" s="74">
        <f>L28-P25</f>
        <v>1.3435451350000001</v>
      </c>
      <c r="Q29" s="80" t="s">
        <v>48</v>
      </c>
    </row>
    <row r="30" spans="1:17" ht="13.5" customHeight="1" thickBot="1">
      <c r="A30" s="284">
        <f>+'Data from DB'!B249</f>
        <v>0</v>
      </c>
      <c r="B30" s="317"/>
      <c r="D30" s="289">
        <f>+'Data from DB'!B250</f>
        <v>0</v>
      </c>
      <c r="E30" s="290">
        <f>+'Data from DB'!B251</f>
        <v>0</v>
      </c>
      <c r="F30" s="289">
        <f>+'Data from DB'!B252</f>
        <v>0</v>
      </c>
      <c r="G30" s="290">
        <f>+'Data from DB'!B253</f>
        <v>0</v>
      </c>
      <c r="H30" s="290">
        <f>+'Data from DB'!B254</f>
        <v>0</v>
      </c>
      <c r="I30" s="291">
        <f>+'Data from DB'!B255</f>
        <v>0</v>
      </c>
      <c r="J30" s="295">
        <f>+'Data from DB'!B256</f>
        <v>0</v>
      </c>
      <c r="L30" s="81"/>
      <c r="M30" s="81"/>
      <c r="N30" s="81"/>
      <c r="O30" s="81"/>
      <c r="P30" s="81"/>
      <c r="Q30" s="81"/>
    </row>
    <row r="31" spans="1:17" ht="13.5" customHeight="1" thickBot="1">
      <c r="A31" s="297">
        <f>+'Data from DB'!B257</f>
        <v>0</v>
      </c>
      <c r="B31" s="318"/>
      <c r="C31" s="319"/>
      <c r="D31" s="320">
        <f>+'Data from DB'!B258</f>
        <v>0</v>
      </c>
      <c r="E31" s="303">
        <f>+'Data from DB'!B259</f>
        <v>0</v>
      </c>
      <c r="F31" s="302">
        <f>+'Data from DB'!B260</f>
        <v>0</v>
      </c>
      <c r="G31" s="303">
        <f>+'Data from DB'!B261</f>
        <v>0</v>
      </c>
      <c r="H31" s="303">
        <f>+'Data from DB'!B262</f>
        <v>0</v>
      </c>
      <c r="I31" s="321">
        <f>+'Data from DB'!B263</f>
        <v>0</v>
      </c>
      <c r="J31" s="305">
        <f>+'Data from DB'!B264</f>
        <v>0</v>
      </c>
      <c r="L31" s="58" t="s">
        <v>38</v>
      </c>
      <c r="M31" s="59"/>
      <c r="N31" s="60" t="s">
        <v>50</v>
      </c>
      <c r="O31" s="61"/>
      <c r="P31" s="367">
        <f>N34/P33</f>
        <v>0.19149999999999998</v>
      </c>
      <c r="Q31" s="367"/>
    </row>
    <row r="32" spans="1:17" ht="13.5" customHeight="1" thickTop="1" thickBot="1">
      <c r="A32" s="83" t="s">
        <v>56</v>
      </c>
      <c r="B32" s="101"/>
      <c r="C32" s="322" t="str">
        <f>+J32 &amp;" MT "</f>
        <v xml:space="preserve">0 MT </v>
      </c>
      <c r="D32" s="323"/>
      <c r="E32" s="323"/>
      <c r="F32" s="323"/>
      <c r="G32" s="324"/>
      <c r="H32" s="272" t="s">
        <v>23</v>
      </c>
      <c r="I32" s="325"/>
      <c r="J32" s="308">
        <f>SUM(J29:J31)</f>
        <v>0</v>
      </c>
      <c r="L32" s="65"/>
      <c r="M32" s="66">
        <v>1</v>
      </c>
      <c r="N32" s="66">
        <f>N14</f>
        <v>1.45</v>
      </c>
      <c r="O32" s="67">
        <v>1.5</v>
      </c>
      <c r="P32" s="368" t="s">
        <v>46</v>
      </c>
      <c r="Q32" s="369"/>
    </row>
    <row r="33" spans="1:19" ht="13.5" customHeight="1" thickBot="1">
      <c r="J33" s="326"/>
      <c r="L33" s="68">
        <v>6.3</v>
      </c>
      <c r="M33" s="69">
        <v>191.5</v>
      </c>
      <c r="N33" s="70"/>
      <c r="O33" s="71">
        <v>191.1</v>
      </c>
      <c r="P33" s="370">
        <v>1000</v>
      </c>
      <c r="Q33" s="371"/>
    </row>
    <row r="34" spans="1:19" ht="13.5" customHeight="1" thickBot="1">
      <c r="A34" s="272" t="s">
        <v>57</v>
      </c>
      <c r="B34" s="272"/>
      <c r="C34" s="272"/>
      <c r="D34" s="272"/>
      <c r="E34" s="308" t="e">
        <f>J22+J32</f>
        <v>#REF!</v>
      </c>
      <c r="F34" s="101" t="s">
        <v>19</v>
      </c>
      <c r="J34" s="326"/>
      <c r="L34" s="68">
        <v>6.31</v>
      </c>
      <c r="M34" s="72">
        <f>((M33-M35)/(L33-L35))*(L34-L35)+M35</f>
        <v>191.85999999999999</v>
      </c>
      <c r="N34" s="70">
        <f>M34-(M34-O34)/(O32-M32)*(N32-M32)</f>
        <v>191.49999999999997</v>
      </c>
      <c r="O34" s="73">
        <f>((O33-O35)/(L33-L35))*(L34-L35)+O35</f>
        <v>191.45999999999998</v>
      </c>
      <c r="P34" s="74">
        <f>L34+P31</f>
        <v>6.5014999999999992</v>
      </c>
      <c r="Q34" s="75" t="s">
        <v>47</v>
      </c>
    </row>
    <row r="35" spans="1:19" ht="13.5" customHeight="1" thickBot="1">
      <c r="L35" s="76">
        <v>6.35</v>
      </c>
      <c r="M35" s="77">
        <v>193.3</v>
      </c>
      <c r="N35" s="78"/>
      <c r="O35" s="79">
        <v>192.9</v>
      </c>
      <c r="P35" s="82">
        <f>L34-P31</f>
        <v>6.1185</v>
      </c>
      <c r="Q35" s="80" t="s">
        <v>48</v>
      </c>
    </row>
    <row r="36" spans="1:19" ht="13.5" customHeight="1" thickBot="1">
      <c r="P36"/>
      <c r="Q36"/>
    </row>
    <row r="37" spans="1:19" ht="13.5" customHeight="1">
      <c r="L37" s="84" t="s">
        <v>38</v>
      </c>
      <c r="M37" s="85"/>
      <c r="N37" s="86" t="s">
        <v>52</v>
      </c>
      <c r="O37" s="87"/>
      <c r="P37"/>
      <c r="Q37"/>
    </row>
    <row r="38" spans="1:19" ht="13.5" customHeight="1">
      <c r="L38" s="88"/>
      <c r="M38" s="89">
        <v>0</v>
      </c>
      <c r="N38" s="89">
        <v>1</v>
      </c>
      <c r="O38" s="90">
        <v>1</v>
      </c>
      <c r="P38"/>
      <c r="Q38"/>
    </row>
    <row r="39" spans="1:19" ht="13.5" customHeight="1">
      <c r="L39" s="91">
        <v>1.89</v>
      </c>
      <c r="M39" s="92">
        <v>25.6</v>
      </c>
      <c r="N39" s="93"/>
      <c r="O39" s="94">
        <f>M39</f>
        <v>25.6</v>
      </c>
      <c r="P39"/>
      <c r="Q39"/>
    </row>
    <row r="40" spans="1:19" ht="13.5" customHeight="1">
      <c r="L40" s="91">
        <f>P34</f>
        <v>6.5014999999999992</v>
      </c>
      <c r="M40" s="95">
        <f>((M39-M41)/(L39-L41))*(L40-L41)+M41</f>
        <v>71.71499999999898</v>
      </c>
      <c r="N40" s="93">
        <f>M40-(M40-O40)/(O38-M38)*(N38-M38)</f>
        <v>71.71499999999898</v>
      </c>
      <c r="O40" s="96">
        <f>((O39-O41)/(L39-L41))*(L40-L41)+O41</f>
        <v>71.71499999999898</v>
      </c>
      <c r="P40"/>
      <c r="Q40"/>
    </row>
    <row r="41" spans="1:19" ht="13.5" customHeight="1" thickBot="1">
      <c r="L41" s="97">
        <v>1.9</v>
      </c>
      <c r="M41" s="98">
        <v>25.7</v>
      </c>
      <c r="N41" s="99"/>
      <c r="O41" s="100">
        <f>M41</f>
        <v>25.7</v>
      </c>
      <c r="P41" s="62"/>
      <c r="Q41" s="62"/>
    </row>
    <row r="42" spans="1:19" ht="13.5" customHeight="1">
      <c r="A42" s="365" t="str">
        <f>CERTIFICATE!A40</f>
        <v>Pabel Peña</v>
      </c>
      <c r="B42" s="365"/>
      <c r="C42" s="365"/>
      <c r="D42" s="231"/>
      <c r="E42" s="364">
        <f>+'Data from DB'!B472</f>
        <v>0</v>
      </c>
      <c r="F42" s="364"/>
      <c r="G42" s="364"/>
      <c r="H42" s="327"/>
      <c r="I42" s="364">
        <f>CERTIFICATE!H40</f>
        <v>0</v>
      </c>
      <c r="J42" s="364"/>
    </row>
    <row r="43" spans="1:19" ht="13.5" customHeight="1">
      <c r="A43" s="363" t="s">
        <v>24</v>
      </c>
      <c r="B43" s="363"/>
      <c r="C43" s="363"/>
      <c r="D43" s="327"/>
      <c r="E43" s="363" t="str">
        <f xml:space="preserve"> +" C. Engineer "  &amp; + CERTIFICATE!C3</f>
        <v xml:space="preserve"> C. Engineer 0</v>
      </c>
      <c r="F43" s="363"/>
      <c r="G43" s="363"/>
      <c r="H43" s="327"/>
      <c r="I43" s="363" t="str">
        <f xml:space="preserve"> +" Master  "  &amp; + CERTIFICATE!C3</f>
        <v xml:space="preserve"> Master  0</v>
      </c>
      <c r="J43" s="363"/>
    </row>
    <row r="44" spans="1:19" ht="13.5" customHeight="1"/>
    <row r="45" spans="1:19" ht="13.5" customHeight="1">
      <c r="R45" s="62"/>
    </row>
    <row r="46" spans="1:19">
      <c r="L46" s="62"/>
      <c r="M46" s="62"/>
      <c r="N46" s="62"/>
      <c r="O46" s="62"/>
      <c r="P46" s="62"/>
      <c r="Q46" s="62"/>
      <c r="R46" s="62"/>
      <c r="S46" s="63"/>
    </row>
    <row r="47" spans="1:19">
      <c r="Q47" s="63"/>
      <c r="R47" s="63"/>
      <c r="S47" s="63"/>
    </row>
  </sheetData>
  <mergeCells count="20">
    <mergeCell ref="P14:Q14"/>
    <mergeCell ref="P15:Q15"/>
    <mergeCell ref="P25:Q25"/>
    <mergeCell ref="P33:Q33"/>
    <mergeCell ref="I43:J43"/>
    <mergeCell ref="P32:Q32"/>
    <mergeCell ref="P31:Q31"/>
    <mergeCell ref="P26:Q26"/>
    <mergeCell ref="P27:Q27"/>
    <mergeCell ref="C2:I2"/>
    <mergeCell ref="P7:Q7"/>
    <mergeCell ref="P8:Q8"/>
    <mergeCell ref="P9:Q9"/>
    <mergeCell ref="P13:Q13"/>
    <mergeCell ref="A4:J4"/>
    <mergeCell ref="E43:G43"/>
    <mergeCell ref="E42:G42"/>
    <mergeCell ref="I42:J42"/>
    <mergeCell ref="A42:C42"/>
    <mergeCell ref="A43:C43"/>
  </mergeCells>
  <phoneticPr fontId="72" type="noConversion"/>
  <pageMargins left="0.25" right="0.25" top="0.75" bottom="0.75" header="0.3" footer="0.3"/>
  <pageSetup orientation="portrait" r:id="rId1"/>
  <headerFooter alignWithMargins="0">
    <oddFooter>&amp;L&amp;"Palatino Linotype,Normal"&amp;9 MV NORD ATOLL ON HIRE  CERTIFICATE&amp;C &amp;R&amp;"Palatino Linotype,Normal"&amp;9Page 2 of 3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C9C2-B78D-425C-8780-85CE487DAC3E}">
  <dimension ref="A1:J39"/>
  <sheetViews>
    <sheetView showGridLines="0" showZeros="0" zoomScale="140" zoomScaleNormal="140" workbookViewId="0">
      <selection activeCell="A5" sqref="A5:J5"/>
    </sheetView>
  </sheetViews>
  <sheetFormatPr defaultColWidth="9.109375" defaultRowHeight="10.199999999999999"/>
  <cols>
    <col min="1" max="2" width="9.5546875" style="328" customWidth="1"/>
    <col min="3" max="3" width="7.33203125" style="328" customWidth="1"/>
    <col min="4" max="4" width="8.6640625" style="328" customWidth="1"/>
    <col min="5" max="5" width="7.88671875" style="328" customWidth="1"/>
    <col min="6" max="6" width="10.109375" style="328" customWidth="1"/>
    <col min="7" max="10" width="9.5546875" style="328" customWidth="1"/>
    <col min="11" max="66" width="9.109375" style="328"/>
    <col min="67" max="67" width="3.109375" style="328" customWidth="1"/>
    <col min="68" max="68" width="3.44140625" style="328" customWidth="1"/>
    <col min="69" max="69" width="7.33203125" style="328" customWidth="1"/>
    <col min="70" max="70" width="13.5546875" style="328" customWidth="1"/>
    <col min="71" max="71" width="7.109375" style="328" customWidth="1"/>
    <col min="72" max="72" width="8.5546875" style="328" customWidth="1"/>
    <col min="73" max="73" width="9" style="328" customWidth="1"/>
    <col min="74" max="74" width="5.109375" style="328" customWidth="1"/>
    <col min="75" max="75" width="8.44140625" style="328" customWidth="1"/>
    <col min="76" max="76" width="17.109375" style="328" customWidth="1"/>
    <col min="77" max="77" width="18" style="328" customWidth="1"/>
    <col min="78" max="78" width="3.88671875" style="328" customWidth="1"/>
    <col min="79" max="80" width="12.109375" style="328" bestFit="1" customWidth="1"/>
    <col min="81" max="83" width="9.109375" style="328"/>
    <col min="84" max="84" width="11.33203125" style="328" customWidth="1"/>
    <col min="85" max="322" width="9.109375" style="328"/>
    <col min="323" max="323" width="3.109375" style="328" customWidth="1"/>
    <col min="324" max="324" width="3.44140625" style="328" customWidth="1"/>
    <col min="325" max="325" width="7.33203125" style="328" customWidth="1"/>
    <col min="326" max="326" width="13.5546875" style="328" customWidth="1"/>
    <col min="327" max="327" width="7.109375" style="328" customWidth="1"/>
    <col min="328" max="328" width="8.5546875" style="328" customWidth="1"/>
    <col min="329" max="329" width="9" style="328" customWidth="1"/>
    <col min="330" max="330" width="5.109375" style="328" customWidth="1"/>
    <col min="331" max="331" width="8.44140625" style="328" customWidth="1"/>
    <col min="332" max="332" width="17.109375" style="328" customWidth="1"/>
    <col min="333" max="333" width="18" style="328" customWidth="1"/>
    <col min="334" max="334" width="3.88671875" style="328" customWidth="1"/>
    <col min="335" max="336" width="12.109375" style="328" bestFit="1" customWidth="1"/>
    <col min="337" max="339" width="9.109375" style="328"/>
    <col min="340" max="340" width="11.33203125" style="328" customWidth="1"/>
    <col min="341" max="578" width="9.109375" style="328"/>
    <col min="579" max="579" width="3.109375" style="328" customWidth="1"/>
    <col min="580" max="580" width="3.44140625" style="328" customWidth="1"/>
    <col min="581" max="581" width="7.33203125" style="328" customWidth="1"/>
    <col min="582" max="582" width="13.5546875" style="328" customWidth="1"/>
    <col min="583" max="583" width="7.109375" style="328" customWidth="1"/>
    <col min="584" max="584" width="8.5546875" style="328" customWidth="1"/>
    <col min="585" max="585" width="9" style="328" customWidth="1"/>
    <col min="586" max="586" width="5.109375" style="328" customWidth="1"/>
    <col min="587" max="587" width="8.44140625" style="328" customWidth="1"/>
    <col min="588" max="588" width="17.109375" style="328" customWidth="1"/>
    <col min="589" max="589" width="18" style="328" customWidth="1"/>
    <col min="590" max="590" width="3.88671875" style="328" customWidth="1"/>
    <col min="591" max="592" width="12.109375" style="328" bestFit="1" customWidth="1"/>
    <col min="593" max="595" width="9.109375" style="328"/>
    <col min="596" max="596" width="11.33203125" style="328" customWidth="1"/>
    <col min="597" max="834" width="9.109375" style="328"/>
    <col min="835" max="835" width="3.109375" style="328" customWidth="1"/>
    <col min="836" max="836" width="3.44140625" style="328" customWidth="1"/>
    <col min="837" max="837" width="7.33203125" style="328" customWidth="1"/>
    <col min="838" max="838" width="13.5546875" style="328" customWidth="1"/>
    <col min="839" max="839" width="7.109375" style="328" customWidth="1"/>
    <col min="840" max="840" width="8.5546875" style="328" customWidth="1"/>
    <col min="841" max="841" width="9" style="328" customWidth="1"/>
    <col min="842" max="842" width="5.109375" style="328" customWidth="1"/>
    <col min="843" max="843" width="8.44140625" style="328" customWidth="1"/>
    <col min="844" max="844" width="17.109375" style="328" customWidth="1"/>
    <col min="845" max="845" width="18" style="328" customWidth="1"/>
    <col min="846" max="846" width="3.88671875" style="328" customWidth="1"/>
    <col min="847" max="848" width="12.109375" style="328" bestFit="1" customWidth="1"/>
    <col min="849" max="851" width="9.109375" style="328"/>
    <col min="852" max="852" width="11.33203125" style="328" customWidth="1"/>
    <col min="853" max="1090" width="9.109375" style="328"/>
    <col min="1091" max="1091" width="3.109375" style="328" customWidth="1"/>
    <col min="1092" max="1092" width="3.44140625" style="328" customWidth="1"/>
    <col min="1093" max="1093" width="7.33203125" style="328" customWidth="1"/>
    <col min="1094" max="1094" width="13.5546875" style="328" customWidth="1"/>
    <col min="1095" max="1095" width="7.109375" style="328" customWidth="1"/>
    <col min="1096" max="1096" width="8.5546875" style="328" customWidth="1"/>
    <col min="1097" max="1097" width="9" style="328" customWidth="1"/>
    <col min="1098" max="1098" width="5.109375" style="328" customWidth="1"/>
    <col min="1099" max="1099" width="8.44140625" style="328" customWidth="1"/>
    <col min="1100" max="1100" width="17.109375" style="328" customWidth="1"/>
    <col min="1101" max="1101" width="18" style="328" customWidth="1"/>
    <col min="1102" max="1102" width="3.88671875" style="328" customWidth="1"/>
    <col min="1103" max="1104" width="12.109375" style="328" bestFit="1" customWidth="1"/>
    <col min="1105" max="1107" width="9.109375" style="328"/>
    <col min="1108" max="1108" width="11.33203125" style="328" customWidth="1"/>
    <col min="1109" max="1346" width="9.109375" style="328"/>
    <col min="1347" max="1347" width="3.109375" style="328" customWidth="1"/>
    <col min="1348" max="1348" width="3.44140625" style="328" customWidth="1"/>
    <col min="1349" max="1349" width="7.33203125" style="328" customWidth="1"/>
    <col min="1350" max="1350" width="13.5546875" style="328" customWidth="1"/>
    <col min="1351" max="1351" width="7.109375" style="328" customWidth="1"/>
    <col min="1352" max="1352" width="8.5546875" style="328" customWidth="1"/>
    <col min="1353" max="1353" width="9" style="328" customWidth="1"/>
    <col min="1354" max="1354" width="5.109375" style="328" customWidth="1"/>
    <col min="1355" max="1355" width="8.44140625" style="328" customWidth="1"/>
    <col min="1356" max="1356" width="17.109375" style="328" customWidth="1"/>
    <col min="1357" max="1357" width="18" style="328" customWidth="1"/>
    <col min="1358" max="1358" width="3.88671875" style="328" customWidth="1"/>
    <col min="1359" max="1360" width="12.109375" style="328" bestFit="1" customWidth="1"/>
    <col min="1361" max="1363" width="9.109375" style="328"/>
    <col min="1364" max="1364" width="11.33203125" style="328" customWidth="1"/>
    <col min="1365" max="1602" width="9.109375" style="328"/>
    <col min="1603" max="1603" width="3.109375" style="328" customWidth="1"/>
    <col min="1604" max="1604" width="3.44140625" style="328" customWidth="1"/>
    <col min="1605" max="1605" width="7.33203125" style="328" customWidth="1"/>
    <col min="1606" max="1606" width="13.5546875" style="328" customWidth="1"/>
    <col min="1607" max="1607" width="7.109375" style="328" customWidth="1"/>
    <col min="1608" max="1608" width="8.5546875" style="328" customWidth="1"/>
    <col min="1609" max="1609" width="9" style="328" customWidth="1"/>
    <col min="1610" max="1610" width="5.109375" style="328" customWidth="1"/>
    <col min="1611" max="1611" width="8.44140625" style="328" customWidth="1"/>
    <col min="1612" max="1612" width="17.109375" style="328" customWidth="1"/>
    <col min="1613" max="1613" width="18" style="328" customWidth="1"/>
    <col min="1614" max="1614" width="3.88671875" style="328" customWidth="1"/>
    <col min="1615" max="1616" width="12.109375" style="328" bestFit="1" customWidth="1"/>
    <col min="1617" max="1619" width="9.109375" style="328"/>
    <col min="1620" max="1620" width="11.33203125" style="328" customWidth="1"/>
    <col min="1621" max="1858" width="9.109375" style="328"/>
    <col min="1859" max="1859" width="3.109375" style="328" customWidth="1"/>
    <col min="1860" max="1860" width="3.44140625" style="328" customWidth="1"/>
    <col min="1861" max="1861" width="7.33203125" style="328" customWidth="1"/>
    <col min="1862" max="1862" width="13.5546875" style="328" customWidth="1"/>
    <col min="1863" max="1863" width="7.109375" style="328" customWidth="1"/>
    <col min="1864" max="1864" width="8.5546875" style="328" customWidth="1"/>
    <col min="1865" max="1865" width="9" style="328" customWidth="1"/>
    <col min="1866" max="1866" width="5.109375" style="328" customWidth="1"/>
    <col min="1867" max="1867" width="8.44140625" style="328" customWidth="1"/>
    <col min="1868" max="1868" width="17.109375" style="328" customWidth="1"/>
    <col min="1869" max="1869" width="18" style="328" customWidth="1"/>
    <col min="1870" max="1870" width="3.88671875" style="328" customWidth="1"/>
    <col min="1871" max="1872" width="12.109375" style="328" bestFit="1" customWidth="1"/>
    <col min="1873" max="1875" width="9.109375" style="328"/>
    <col min="1876" max="1876" width="11.33203125" style="328" customWidth="1"/>
    <col min="1877" max="2114" width="9.109375" style="328"/>
    <col min="2115" max="2115" width="3.109375" style="328" customWidth="1"/>
    <col min="2116" max="2116" width="3.44140625" style="328" customWidth="1"/>
    <col min="2117" max="2117" width="7.33203125" style="328" customWidth="1"/>
    <col min="2118" max="2118" width="13.5546875" style="328" customWidth="1"/>
    <col min="2119" max="2119" width="7.109375" style="328" customWidth="1"/>
    <col min="2120" max="2120" width="8.5546875" style="328" customWidth="1"/>
    <col min="2121" max="2121" width="9" style="328" customWidth="1"/>
    <col min="2122" max="2122" width="5.109375" style="328" customWidth="1"/>
    <col min="2123" max="2123" width="8.44140625" style="328" customWidth="1"/>
    <col min="2124" max="2124" width="17.109375" style="328" customWidth="1"/>
    <col min="2125" max="2125" width="18" style="328" customWidth="1"/>
    <col min="2126" max="2126" width="3.88671875" style="328" customWidth="1"/>
    <col min="2127" max="2128" width="12.109375" style="328" bestFit="1" customWidth="1"/>
    <col min="2129" max="2131" width="9.109375" style="328"/>
    <col min="2132" max="2132" width="11.33203125" style="328" customWidth="1"/>
    <col min="2133" max="2370" width="9.109375" style="328"/>
    <col min="2371" max="2371" width="3.109375" style="328" customWidth="1"/>
    <col min="2372" max="2372" width="3.44140625" style="328" customWidth="1"/>
    <col min="2373" max="2373" width="7.33203125" style="328" customWidth="1"/>
    <col min="2374" max="2374" width="13.5546875" style="328" customWidth="1"/>
    <col min="2375" max="2375" width="7.109375" style="328" customWidth="1"/>
    <col min="2376" max="2376" width="8.5546875" style="328" customWidth="1"/>
    <col min="2377" max="2377" width="9" style="328" customWidth="1"/>
    <col min="2378" max="2378" width="5.109375" style="328" customWidth="1"/>
    <col min="2379" max="2379" width="8.44140625" style="328" customWidth="1"/>
    <col min="2380" max="2380" width="17.109375" style="328" customWidth="1"/>
    <col min="2381" max="2381" width="18" style="328" customWidth="1"/>
    <col min="2382" max="2382" width="3.88671875" style="328" customWidth="1"/>
    <col min="2383" max="2384" width="12.109375" style="328" bestFit="1" customWidth="1"/>
    <col min="2385" max="2387" width="9.109375" style="328"/>
    <col min="2388" max="2388" width="11.33203125" style="328" customWidth="1"/>
    <col min="2389" max="2626" width="9.109375" style="328"/>
    <col min="2627" max="2627" width="3.109375" style="328" customWidth="1"/>
    <col min="2628" max="2628" width="3.44140625" style="328" customWidth="1"/>
    <col min="2629" max="2629" width="7.33203125" style="328" customWidth="1"/>
    <col min="2630" max="2630" width="13.5546875" style="328" customWidth="1"/>
    <col min="2631" max="2631" width="7.109375" style="328" customWidth="1"/>
    <col min="2632" max="2632" width="8.5546875" style="328" customWidth="1"/>
    <col min="2633" max="2633" width="9" style="328" customWidth="1"/>
    <col min="2634" max="2634" width="5.109375" style="328" customWidth="1"/>
    <col min="2635" max="2635" width="8.44140625" style="328" customWidth="1"/>
    <col min="2636" max="2636" width="17.109375" style="328" customWidth="1"/>
    <col min="2637" max="2637" width="18" style="328" customWidth="1"/>
    <col min="2638" max="2638" width="3.88671875" style="328" customWidth="1"/>
    <col min="2639" max="2640" width="12.109375" style="328" bestFit="1" customWidth="1"/>
    <col min="2641" max="2643" width="9.109375" style="328"/>
    <col min="2644" max="2644" width="11.33203125" style="328" customWidth="1"/>
    <col min="2645" max="2882" width="9.109375" style="328"/>
    <col min="2883" max="2883" width="3.109375" style="328" customWidth="1"/>
    <col min="2884" max="2884" width="3.44140625" style="328" customWidth="1"/>
    <col min="2885" max="2885" width="7.33203125" style="328" customWidth="1"/>
    <col min="2886" max="2886" width="13.5546875" style="328" customWidth="1"/>
    <col min="2887" max="2887" width="7.109375" style="328" customWidth="1"/>
    <col min="2888" max="2888" width="8.5546875" style="328" customWidth="1"/>
    <col min="2889" max="2889" width="9" style="328" customWidth="1"/>
    <col min="2890" max="2890" width="5.109375" style="328" customWidth="1"/>
    <col min="2891" max="2891" width="8.44140625" style="328" customWidth="1"/>
    <col min="2892" max="2892" width="17.109375" style="328" customWidth="1"/>
    <col min="2893" max="2893" width="18" style="328" customWidth="1"/>
    <col min="2894" max="2894" width="3.88671875" style="328" customWidth="1"/>
    <col min="2895" max="2896" width="12.109375" style="328" bestFit="1" customWidth="1"/>
    <col min="2897" max="2899" width="9.109375" style="328"/>
    <col min="2900" max="2900" width="11.33203125" style="328" customWidth="1"/>
    <col min="2901" max="3138" width="9.109375" style="328"/>
    <col min="3139" max="3139" width="3.109375" style="328" customWidth="1"/>
    <col min="3140" max="3140" width="3.44140625" style="328" customWidth="1"/>
    <col min="3141" max="3141" width="7.33203125" style="328" customWidth="1"/>
    <col min="3142" max="3142" width="13.5546875" style="328" customWidth="1"/>
    <col min="3143" max="3143" width="7.109375" style="328" customWidth="1"/>
    <col min="3144" max="3144" width="8.5546875" style="328" customWidth="1"/>
    <col min="3145" max="3145" width="9" style="328" customWidth="1"/>
    <col min="3146" max="3146" width="5.109375" style="328" customWidth="1"/>
    <col min="3147" max="3147" width="8.44140625" style="328" customWidth="1"/>
    <col min="3148" max="3148" width="17.109375" style="328" customWidth="1"/>
    <col min="3149" max="3149" width="18" style="328" customWidth="1"/>
    <col min="3150" max="3150" width="3.88671875" style="328" customWidth="1"/>
    <col min="3151" max="3152" width="12.109375" style="328" bestFit="1" customWidth="1"/>
    <col min="3153" max="3155" width="9.109375" style="328"/>
    <col min="3156" max="3156" width="11.33203125" style="328" customWidth="1"/>
    <col min="3157" max="3394" width="9.109375" style="328"/>
    <col min="3395" max="3395" width="3.109375" style="328" customWidth="1"/>
    <col min="3396" max="3396" width="3.44140625" style="328" customWidth="1"/>
    <col min="3397" max="3397" width="7.33203125" style="328" customWidth="1"/>
    <col min="3398" max="3398" width="13.5546875" style="328" customWidth="1"/>
    <col min="3399" max="3399" width="7.109375" style="328" customWidth="1"/>
    <col min="3400" max="3400" width="8.5546875" style="328" customWidth="1"/>
    <col min="3401" max="3401" width="9" style="328" customWidth="1"/>
    <col min="3402" max="3402" width="5.109375" style="328" customWidth="1"/>
    <col min="3403" max="3403" width="8.44140625" style="328" customWidth="1"/>
    <col min="3404" max="3404" width="17.109375" style="328" customWidth="1"/>
    <col min="3405" max="3405" width="18" style="328" customWidth="1"/>
    <col min="3406" max="3406" width="3.88671875" style="328" customWidth="1"/>
    <col min="3407" max="3408" width="12.109375" style="328" bestFit="1" customWidth="1"/>
    <col min="3409" max="3411" width="9.109375" style="328"/>
    <col min="3412" max="3412" width="11.33203125" style="328" customWidth="1"/>
    <col min="3413" max="3650" width="9.109375" style="328"/>
    <col min="3651" max="3651" width="3.109375" style="328" customWidth="1"/>
    <col min="3652" max="3652" width="3.44140625" style="328" customWidth="1"/>
    <col min="3653" max="3653" width="7.33203125" style="328" customWidth="1"/>
    <col min="3654" max="3654" width="13.5546875" style="328" customWidth="1"/>
    <col min="3655" max="3655" width="7.109375" style="328" customWidth="1"/>
    <col min="3656" max="3656" width="8.5546875" style="328" customWidth="1"/>
    <col min="3657" max="3657" width="9" style="328" customWidth="1"/>
    <col min="3658" max="3658" width="5.109375" style="328" customWidth="1"/>
    <col min="3659" max="3659" width="8.44140625" style="328" customWidth="1"/>
    <col min="3660" max="3660" width="17.109375" style="328" customWidth="1"/>
    <col min="3661" max="3661" width="18" style="328" customWidth="1"/>
    <col min="3662" max="3662" width="3.88671875" style="328" customWidth="1"/>
    <col min="3663" max="3664" width="12.109375" style="328" bestFit="1" customWidth="1"/>
    <col min="3665" max="3667" width="9.109375" style="328"/>
    <col min="3668" max="3668" width="11.33203125" style="328" customWidth="1"/>
    <col min="3669" max="3906" width="9.109375" style="328"/>
    <col min="3907" max="3907" width="3.109375" style="328" customWidth="1"/>
    <col min="3908" max="3908" width="3.44140625" style="328" customWidth="1"/>
    <col min="3909" max="3909" width="7.33203125" style="328" customWidth="1"/>
    <col min="3910" max="3910" width="13.5546875" style="328" customWidth="1"/>
    <col min="3911" max="3911" width="7.109375" style="328" customWidth="1"/>
    <col min="3912" max="3912" width="8.5546875" style="328" customWidth="1"/>
    <col min="3913" max="3913" width="9" style="328" customWidth="1"/>
    <col min="3914" max="3914" width="5.109375" style="328" customWidth="1"/>
    <col min="3915" max="3915" width="8.44140625" style="328" customWidth="1"/>
    <col min="3916" max="3916" width="17.109375" style="328" customWidth="1"/>
    <col min="3917" max="3917" width="18" style="328" customWidth="1"/>
    <col min="3918" max="3918" width="3.88671875" style="328" customWidth="1"/>
    <col min="3919" max="3920" width="12.109375" style="328" bestFit="1" customWidth="1"/>
    <col min="3921" max="3923" width="9.109375" style="328"/>
    <col min="3924" max="3924" width="11.33203125" style="328" customWidth="1"/>
    <col min="3925" max="4162" width="9.109375" style="328"/>
    <col min="4163" max="4163" width="3.109375" style="328" customWidth="1"/>
    <col min="4164" max="4164" width="3.44140625" style="328" customWidth="1"/>
    <col min="4165" max="4165" width="7.33203125" style="328" customWidth="1"/>
    <col min="4166" max="4166" width="13.5546875" style="328" customWidth="1"/>
    <col min="4167" max="4167" width="7.109375" style="328" customWidth="1"/>
    <col min="4168" max="4168" width="8.5546875" style="328" customWidth="1"/>
    <col min="4169" max="4169" width="9" style="328" customWidth="1"/>
    <col min="4170" max="4170" width="5.109375" style="328" customWidth="1"/>
    <col min="4171" max="4171" width="8.44140625" style="328" customWidth="1"/>
    <col min="4172" max="4172" width="17.109375" style="328" customWidth="1"/>
    <col min="4173" max="4173" width="18" style="328" customWidth="1"/>
    <col min="4174" max="4174" width="3.88671875" style="328" customWidth="1"/>
    <col min="4175" max="4176" width="12.109375" style="328" bestFit="1" customWidth="1"/>
    <col min="4177" max="4179" width="9.109375" style="328"/>
    <col min="4180" max="4180" width="11.33203125" style="328" customWidth="1"/>
    <col min="4181" max="4418" width="9.109375" style="328"/>
    <col min="4419" max="4419" width="3.109375" style="328" customWidth="1"/>
    <col min="4420" max="4420" width="3.44140625" style="328" customWidth="1"/>
    <col min="4421" max="4421" width="7.33203125" style="328" customWidth="1"/>
    <col min="4422" max="4422" width="13.5546875" style="328" customWidth="1"/>
    <col min="4423" max="4423" width="7.109375" style="328" customWidth="1"/>
    <col min="4424" max="4424" width="8.5546875" style="328" customWidth="1"/>
    <col min="4425" max="4425" width="9" style="328" customWidth="1"/>
    <col min="4426" max="4426" width="5.109375" style="328" customWidth="1"/>
    <col min="4427" max="4427" width="8.44140625" style="328" customWidth="1"/>
    <col min="4428" max="4428" width="17.109375" style="328" customWidth="1"/>
    <col min="4429" max="4429" width="18" style="328" customWidth="1"/>
    <col min="4430" max="4430" width="3.88671875" style="328" customWidth="1"/>
    <col min="4431" max="4432" width="12.109375" style="328" bestFit="1" customWidth="1"/>
    <col min="4433" max="4435" width="9.109375" style="328"/>
    <col min="4436" max="4436" width="11.33203125" style="328" customWidth="1"/>
    <col min="4437" max="4674" width="9.109375" style="328"/>
    <col min="4675" max="4675" width="3.109375" style="328" customWidth="1"/>
    <col min="4676" max="4676" width="3.44140625" style="328" customWidth="1"/>
    <col min="4677" max="4677" width="7.33203125" style="328" customWidth="1"/>
    <col min="4678" max="4678" width="13.5546875" style="328" customWidth="1"/>
    <col min="4679" max="4679" width="7.109375" style="328" customWidth="1"/>
    <col min="4680" max="4680" width="8.5546875" style="328" customWidth="1"/>
    <col min="4681" max="4681" width="9" style="328" customWidth="1"/>
    <col min="4682" max="4682" width="5.109375" style="328" customWidth="1"/>
    <col min="4683" max="4683" width="8.44140625" style="328" customWidth="1"/>
    <col min="4684" max="4684" width="17.109375" style="328" customWidth="1"/>
    <col min="4685" max="4685" width="18" style="328" customWidth="1"/>
    <col min="4686" max="4686" width="3.88671875" style="328" customWidth="1"/>
    <col min="4687" max="4688" width="12.109375" style="328" bestFit="1" customWidth="1"/>
    <col min="4689" max="4691" width="9.109375" style="328"/>
    <col min="4692" max="4692" width="11.33203125" style="328" customWidth="1"/>
    <col min="4693" max="4930" width="9.109375" style="328"/>
    <col min="4931" max="4931" width="3.109375" style="328" customWidth="1"/>
    <col min="4932" max="4932" width="3.44140625" style="328" customWidth="1"/>
    <col min="4933" max="4933" width="7.33203125" style="328" customWidth="1"/>
    <col min="4934" max="4934" width="13.5546875" style="328" customWidth="1"/>
    <col min="4935" max="4935" width="7.109375" style="328" customWidth="1"/>
    <col min="4936" max="4936" width="8.5546875" style="328" customWidth="1"/>
    <col min="4937" max="4937" width="9" style="328" customWidth="1"/>
    <col min="4938" max="4938" width="5.109375" style="328" customWidth="1"/>
    <col min="4939" max="4939" width="8.44140625" style="328" customWidth="1"/>
    <col min="4940" max="4940" width="17.109375" style="328" customWidth="1"/>
    <col min="4941" max="4941" width="18" style="328" customWidth="1"/>
    <col min="4942" max="4942" width="3.88671875" style="328" customWidth="1"/>
    <col min="4943" max="4944" width="12.109375" style="328" bestFit="1" customWidth="1"/>
    <col min="4945" max="4947" width="9.109375" style="328"/>
    <col min="4948" max="4948" width="11.33203125" style="328" customWidth="1"/>
    <col min="4949" max="5186" width="9.109375" style="328"/>
    <col min="5187" max="5187" width="3.109375" style="328" customWidth="1"/>
    <col min="5188" max="5188" width="3.44140625" style="328" customWidth="1"/>
    <col min="5189" max="5189" width="7.33203125" style="328" customWidth="1"/>
    <col min="5190" max="5190" width="13.5546875" style="328" customWidth="1"/>
    <col min="5191" max="5191" width="7.109375" style="328" customWidth="1"/>
    <col min="5192" max="5192" width="8.5546875" style="328" customWidth="1"/>
    <col min="5193" max="5193" width="9" style="328" customWidth="1"/>
    <col min="5194" max="5194" width="5.109375" style="328" customWidth="1"/>
    <col min="5195" max="5195" width="8.44140625" style="328" customWidth="1"/>
    <col min="5196" max="5196" width="17.109375" style="328" customWidth="1"/>
    <col min="5197" max="5197" width="18" style="328" customWidth="1"/>
    <col min="5198" max="5198" width="3.88671875" style="328" customWidth="1"/>
    <col min="5199" max="5200" width="12.109375" style="328" bestFit="1" customWidth="1"/>
    <col min="5201" max="5203" width="9.109375" style="328"/>
    <col min="5204" max="5204" width="11.33203125" style="328" customWidth="1"/>
    <col min="5205" max="5442" width="9.109375" style="328"/>
    <col min="5443" max="5443" width="3.109375" style="328" customWidth="1"/>
    <col min="5444" max="5444" width="3.44140625" style="328" customWidth="1"/>
    <col min="5445" max="5445" width="7.33203125" style="328" customWidth="1"/>
    <col min="5446" max="5446" width="13.5546875" style="328" customWidth="1"/>
    <col min="5447" max="5447" width="7.109375" style="328" customWidth="1"/>
    <col min="5448" max="5448" width="8.5546875" style="328" customWidth="1"/>
    <col min="5449" max="5449" width="9" style="328" customWidth="1"/>
    <col min="5450" max="5450" width="5.109375" style="328" customWidth="1"/>
    <col min="5451" max="5451" width="8.44140625" style="328" customWidth="1"/>
    <col min="5452" max="5452" width="17.109375" style="328" customWidth="1"/>
    <col min="5453" max="5453" width="18" style="328" customWidth="1"/>
    <col min="5454" max="5454" width="3.88671875" style="328" customWidth="1"/>
    <col min="5455" max="5456" width="12.109375" style="328" bestFit="1" customWidth="1"/>
    <col min="5457" max="5459" width="9.109375" style="328"/>
    <col min="5460" max="5460" width="11.33203125" style="328" customWidth="1"/>
    <col min="5461" max="5698" width="9.109375" style="328"/>
    <col min="5699" max="5699" width="3.109375" style="328" customWidth="1"/>
    <col min="5700" max="5700" width="3.44140625" style="328" customWidth="1"/>
    <col min="5701" max="5701" width="7.33203125" style="328" customWidth="1"/>
    <col min="5702" max="5702" width="13.5546875" style="328" customWidth="1"/>
    <col min="5703" max="5703" width="7.109375" style="328" customWidth="1"/>
    <col min="5704" max="5704" width="8.5546875" style="328" customWidth="1"/>
    <col min="5705" max="5705" width="9" style="328" customWidth="1"/>
    <col min="5706" max="5706" width="5.109375" style="328" customWidth="1"/>
    <col min="5707" max="5707" width="8.44140625" style="328" customWidth="1"/>
    <col min="5708" max="5708" width="17.109375" style="328" customWidth="1"/>
    <col min="5709" max="5709" width="18" style="328" customWidth="1"/>
    <col min="5710" max="5710" width="3.88671875" style="328" customWidth="1"/>
    <col min="5711" max="5712" width="12.109375" style="328" bestFit="1" customWidth="1"/>
    <col min="5713" max="5715" width="9.109375" style="328"/>
    <col min="5716" max="5716" width="11.33203125" style="328" customWidth="1"/>
    <col min="5717" max="5954" width="9.109375" style="328"/>
    <col min="5955" max="5955" width="3.109375" style="328" customWidth="1"/>
    <col min="5956" max="5956" width="3.44140625" style="328" customWidth="1"/>
    <col min="5957" max="5957" width="7.33203125" style="328" customWidth="1"/>
    <col min="5958" max="5958" width="13.5546875" style="328" customWidth="1"/>
    <col min="5959" max="5959" width="7.109375" style="328" customWidth="1"/>
    <col min="5960" max="5960" width="8.5546875" style="328" customWidth="1"/>
    <col min="5961" max="5961" width="9" style="328" customWidth="1"/>
    <col min="5962" max="5962" width="5.109375" style="328" customWidth="1"/>
    <col min="5963" max="5963" width="8.44140625" style="328" customWidth="1"/>
    <col min="5964" max="5964" width="17.109375" style="328" customWidth="1"/>
    <col min="5965" max="5965" width="18" style="328" customWidth="1"/>
    <col min="5966" max="5966" width="3.88671875" style="328" customWidth="1"/>
    <col min="5967" max="5968" width="12.109375" style="328" bestFit="1" customWidth="1"/>
    <col min="5969" max="5971" width="9.109375" style="328"/>
    <col min="5972" max="5972" width="11.33203125" style="328" customWidth="1"/>
    <col min="5973" max="6210" width="9.109375" style="328"/>
    <col min="6211" max="6211" width="3.109375" style="328" customWidth="1"/>
    <col min="6212" max="6212" width="3.44140625" style="328" customWidth="1"/>
    <col min="6213" max="6213" width="7.33203125" style="328" customWidth="1"/>
    <col min="6214" max="6214" width="13.5546875" style="328" customWidth="1"/>
    <col min="6215" max="6215" width="7.109375" style="328" customWidth="1"/>
    <col min="6216" max="6216" width="8.5546875" style="328" customWidth="1"/>
    <col min="6217" max="6217" width="9" style="328" customWidth="1"/>
    <col min="6218" max="6218" width="5.109375" style="328" customWidth="1"/>
    <col min="6219" max="6219" width="8.44140625" style="328" customWidth="1"/>
    <col min="6220" max="6220" width="17.109375" style="328" customWidth="1"/>
    <col min="6221" max="6221" width="18" style="328" customWidth="1"/>
    <col min="6222" max="6222" width="3.88671875" style="328" customWidth="1"/>
    <col min="6223" max="6224" width="12.109375" style="328" bestFit="1" customWidth="1"/>
    <col min="6225" max="6227" width="9.109375" style="328"/>
    <col min="6228" max="6228" width="11.33203125" style="328" customWidth="1"/>
    <col min="6229" max="6466" width="9.109375" style="328"/>
    <col min="6467" max="6467" width="3.109375" style="328" customWidth="1"/>
    <col min="6468" max="6468" width="3.44140625" style="328" customWidth="1"/>
    <col min="6469" max="6469" width="7.33203125" style="328" customWidth="1"/>
    <col min="6470" max="6470" width="13.5546875" style="328" customWidth="1"/>
    <col min="6471" max="6471" width="7.109375" style="328" customWidth="1"/>
    <col min="6472" max="6472" width="8.5546875" style="328" customWidth="1"/>
    <col min="6473" max="6473" width="9" style="328" customWidth="1"/>
    <col min="6474" max="6474" width="5.109375" style="328" customWidth="1"/>
    <col min="6475" max="6475" width="8.44140625" style="328" customWidth="1"/>
    <col min="6476" max="6476" width="17.109375" style="328" customWidth="1"/>
    <col min="6477" max="6477" width="18" style="328" customWidth="1"/>
    <col min="6478" max="6478" width="3.88671875" style="328" customWidth="1"/>
    <col min="6479" max="6480" width="12.109375" style="328" bestFit="1" customWidth="1"/>
    <col min="6481" max="6483" width="9.109375" style="328"/>
    <col min="6484" max="6484" width="11.33203125" style="328" customWidth="1"/>
    <col min="6485" max="6722" width="9.109375" style="328"/>
    <col min="6723" max="6723" width="3.109375" style="328" customWidth="1"/>
    <col min="6724" max="6724" width="3.44140625" style="328" customWidth="1"/>
    <col min="6725" max="6725" width="7.33203125" style="328" customWidth="1"/>
    <col min="6726" max="6726" width="13.5546875" style="328" customWidth="1"/>
    <col min="6727" max="6727" width="7.109375" style="328" customWidth="1"/>
    <col min="6728" max="6728" width="8.5546875" style="328" customWidth="1"/>
    <col min="6729" max="6729" width="9" style="328" customWidth="1"/>
    <col min="6730" max="6730" width="5.109375" style="328" customWidth="1"/>
    <col min="6731" max="6731" width="8.44140625" style="328" customWidth="1"/>
    <col min="6732" max="6732" width="17.109375" style="328" customWidth="1"/>
    <col min="6733" max="6733" width="18" style="328" customWidth="1"/>
    <col min="6734" max="6734" width="3.88671875" style="328" customWidth="1"/>
    <col min="6735" max="6736" width="12.109375" style="328" bestFit="1" customWidth="1"/>
    <col min="6737" max="6739" width="9.109375" style="328"/>
    <col min="6740" max="6740" width="11.33203125" style="328" customWidth="1"/>
    <col min="6741" max="6978" width="9.109375" style="328"/>
    <col min="6979" max="6979" width="3.109375" style="328" customWidth="1"/>
    <col min="6980" max="6980" width="3.44140625" style="328" customWidth="1"/>
    <col min="6981" max="6981" width="7.33203125" style="328" customWidth="1"/>
    <col min="6982" max="6982" width="13.5546875" style="328" customWidth="1"/>
    <col min="6983" max="6983" width="7.109375" style="328" customWidth="1"/>
    <col min="6984" max="6984" width="8.5546875" style="328" customWidth="1"/>
    <col min="6985" max="6985" width="9" style="328" customWidth="1"/>
    <col min="6986" max="6986" width="5.109375" style="328" customWidth="1"/>
    <col min="6987" max="6987" width="8.44140625" style="328" customWidth="1"/>
    <col min="6988" max="6988" width="17.109375" style="328" customWidth="1"/>
    <col min="6989" max="6989" width="18" style="328" customWidth="1"/>
    <col min="6990" max="6990" width="3.88671875" style="328" customWidth="1"/>
    <col min="6991" max="6992" width="12.109375" style="328" bestFit="1" customWidth="1"/>
    <col min="6993" max="6995" width="9.109375" style="328"/>
    <col min="6996" max="6996" width="11.33203125" style="328" customWidth="1"/>
    <col min="6997" max="7234" width="9.109375" style="328"/>
    <col min="7235" max="7235" width="3.109375" style="328" customWidth="1"/>
    <col min="7236" max="7236" width="3.44140625" style="328" customWidth="1"/>
    <col min="7237" max="7237" width="7.33203125" style="328" customWidth="1"/>
    <col min="7238" max="7238" width="13.5546875" style="328" customWidth="1"/>
    <col min="7239" max="7239" width="7.109375" style="328" customWidth="1"/>
    <col min="7240" max="7240" width="8.5546875" style="328" customWidth="1"/>
    <col min="7241" max="7241" width="9" style="328" customWidth="1"/>
    <col min="7242" max="7242" width="5.109375" style="328" customWidth="1"/>
    <col min="7243" max="7243" width="8.44140625" style="328" customWidth="1"/>
    <col min="7244" max="7244" width="17.109375" style="328" customWidth="1"/>
    <col min="7245" max="7245" width="18" style="328" customWidth="1"/>
    <col min="7246" max="7246" width="3.88671875" style="328" customWidth="1"/>
    <col min="7247" max="7248" width="12.109375" style="328" bestFit="1" customWidth="1"/>
    <col min="7249" max="7251" width="9.109375" style="328"/>
    <col min="7252" max="7252" width="11.33203125" style="328" customWidth="1"/>
    <col min="7253" max="7490" width="9.109375" style="328"/>
    <col min="7491" max="7491" width="3.109375" style="328" customWidth="1"/>
    <col min="7492" max="7492" width="3.44140625" style="328" customWidth="1"/>
    <col min="7493" max="7493" width="7.33203125" style="328" customWidth="1"/>
    <col min="7494" max="7494" width="13.5546875" style="328" customWidth="1"/>
    <col min="7495" max="7495" width="7.109375" style="328" customWidth="1"/>
    <col min="7496" max="7496" width="8.5546875" style="328" customWidth="1"/>
    <col min="7497" max="7497" width="9" style="328" customWidth="1"/>
    <col min="7498" max="7498" width="5.109375" style="328" customWidth="1"/>
    <col min="7499" max="7499" width="8.44140625" style="328" customWidth="1"/>
    <col min="7500" max="7500" width="17.109375" style="328" customWidth="1"/>
    <col min="7501" max="7501" width="18" style="328" customWidth="1"/>
    <col min="7502" max="7502" width="3.88671875" style="328" customWidth="1"/>
    <col min="7503" max="7504" width="12.109375" style="328" bestFit="1" customWidth="1"/>
    <col min="7505" max="7507" width="9.109375" style="328"/>
    <col min="7508" max="7508" width="11.33203125" style="328" customWidth="1"/>
    <col min="7509" max="7746" width="9.109375" style="328"/>
    <col min="7747" max="7747" width="3.109375" style="328" customWidth="1"/>
    <col min="7748" max="7748" width="3.44140625" style="328" customWidth="1"/>
    <col min="7749" max="7749" width="7.33203125" style="328" customWidth="1"/>
    <col min="7750" max="7750" width="13.5546875" style="328" customWidth="1"/>
    <col min="7751" max="7751" width="7.109375" style="328" customWidth="1"/>
    <col min="7752" max="7752" width="8.5546875" style="328" customWidth="1"/>
    <col min="7753" max="7753" width="9" style="328" customWidth="1"/>
    <col min="7754" max="7754" width="5.109375" style="328" customWidth="1"/>
    <col min="7755" max="7755" width="8.44140625" style="328" customWidth="1"/>
    <col min="7756" max="7756" width="17.109375" style="328" customWidth="1"/>
    <col min="7757" max="7757" width="18" style="328" customWidth="1"/>
    <col min="7758" max="7758" width="3.88671875" style="328" customWidth="1"/>
    <col min="7759" max="7760" width="12.109375" style="328" bestFit="1" customWidth="1"/>
    <col min="7761" max="7763" width="9.109375" style="328"/>
    <col min="7764" max="7764" width="11.33203125" style="328" customWidth="1"/>
    <col min="7765" max="8002" width="9.109375" style="328"/>
    <col min="8003" max="8003" width="3.109375" style="328" customWidth="1"/>
    <col min="8004" max="8004" width="3.44140625" style="328" customWidth="1"/>
    <col min="8005" max="8005" width="7.33203125" style="328" customWidth="1"/>
    <col min="8006" max="8006" width="13.5546875" style="328" customWidth="1"/>
    <col min="8007" max="8007" width="7.109375" style="328" customWidth="1"/>
    <col min="8008" max="8008" width="8.5546875" style="328" customWidth="1"/>
    <col min="8009" max="8009" width="9" style="328" customWidth="1"/>
    <col min="8010" max="8010" width="5.109375" style="328" customWidth="1"/>
    <col min="8011" max="8011" width="8.44140625" style="328" customWidth="1"/>
    <col min="8012" max="8012" width="17.109375" style="328" customWidth="1"/>
    <col min="8013" max="8013" width="18" style="328" customWidth="1"/>
    <col min="8014" max="8014" width="3.88671875" style="328" customWidth="1"/>
    <col min="8015" max="8016" width="12.109375" style="328" bestFit="1" customWidth="1"/>
    <col min="8017" max="8019" width="9.109375" style="328"/>
    <col min="8020" max="8020" width="11.33203125" style="328" customWidth="1"/>
    <col min="8021" max="8258" width="9.109375" style="328"/>
    <col min="8259" max="8259" width="3.109375" style="328" customWidth="1"/>
    <col min="8260" max="8260" width="3.44140625" style="328" customWidth="1"/>
    <col min="8261" max="8261" width="7.33203125" style="328" customWidth="1"/>
    <col min="8262" max="8262" width="13.5546875" style="328" customWidth="1"/>
    <col min="8263" max="8263" width="7.109375" style="328" customWidth="1"/>
    <col min="8264" max="8264" width="8.5546875" style="328" customWidth="1"/>
    <col min="8265" max="8265" width="9" style="328" customWidth="1"/>
    <col min="8266" max="8266" width="5.109375" style="328" customWidth="1"/>
    <col min="8267" max="8267" width="8.44140625" style="328" customWidth="1"/>
    <col min="8268" max="8268" width="17.109375" style="328" customWidth="1"/>
    <col min="8269" max="8269" width="18" style="328" customWidth="1"/>
    <col min="8270" max="8270" width="3.88671875" style="328" customWidth="1"/>
    <col min="8271" max="8272" width="12.109375" style="328" bestFit="1" customWidth="1"/>
    <col min="8273" max="8275" width="9.109375" style="328"/>
    <col min="8276" max="8276" width="11.33203125" style="328" customWidth="1"/>
    <col min="8277" max="8514" width="9.109375" style="328"/>
    <col min="8515" max="8515" width="3.109375" style="328" customWidth="1"/>
    <col min="8516" max="8516" width="3.44140625" style="328" customWidth="1"/>
    <col min="8517" max="8517" width="7.33203125" style="328" customWidth="1"/>
    <col min="8518" max="8518" width="13.5546875" style="328" customWidth="1"/>
    <col min="8519" max="8519" width="7.109375" style="328" customWidth="1"/>
    <col min="8520" max="8520" width="8.5546875" style="328" customWidth="1"/>
    <col min="8521" max="8521" width="9" style="328" customWidth="1"/>
    <col min="8522" max="8522" width="5.109375" style="328" customWidth="1"/>
    <col min="8523" max="8523" width="8.44140625" style="328" customWidth="1"/>
    <col min="8524" max="8524" width="17.109375" style="328" customWidth="1"/>
    <col min="8525" max="8525" width="18" style="328" customWidth="1"/>
    <col min="8526" max="8526" width="3.88671875" style="328" customWidth="1"/>
    <col min="8527" max="8528" width="12.109375" style="328" bestFit="1" customWidth="1"/>
    <col min="8529" max="8531" width="9.109375" style="328"/>
    <col min="8532" max="8532" width="11.33203125" style="328" customWidth="1"/>
    <col min="8533" max="8770" width="9.109375" style="328"/>
    <col min="8771" max="8771" width="3.109375" style="328" customWidth="1"/>
    <col min="8772" max="8772" width="3.44140625" style="328" customWidth="1"/>
    <col min="8773" max="8773" width="7.33203125" style="328" customWidth="1"/>
    <col min="8774" max="8774" width="13.5546875" style="328" customWidth="1"/>
    <col min="8775" max="8775" width="7.109375" style="328" customWidth="1"/>
    <col min="8776" max="8776" width="8.5546875" style="328" customWidth="1"/>
    <col min="8777" max="8777" width="9" style="328" customWidth="1"/>
    <col min="8778" max="8778" width="5.109375" style="328" customWidth="1"/>
    <col min="8779" max="8779" width="8.44140625" style="328" customWidth="1"/>
    <col min="8780" max="8780" width="17.109375" style="328" customWidth="1"/>
    <col min="8781" max="8781" width="18" style="328" customWidth="1"/>
    <col min="8782" max="8782" width="3.88671875" style="328" customWidth="1"/>
    <col min="8783" max="8784" width="12.109375" style="328" bestFit="1" customWidth="1"/>
    <col min="8785" max="8787" width="9.109375" style="328"/>
    <col min="8788" max="8788" width="11.33203125" style="328" customWidth="1"/>
    <col min="8789" max="9026" width="9.109375" style="328"/>
    <col min="9027" max="9027" width="3.109375" style="328" customWidth="1"/>
    <col min="9028" max="9028" width="3.44140625" style="328" customWidth="1"/>
    <col min="9029" max="9029" width="7.33203125" style="328" customWidth="1"/>
    <col min="9030" max="9030" width="13.5546875" style="328" customWidth="1"/>
    <col min="9031" max="9031" width="7.109375" style="328" customWidth="1"/>
    <col min="9032" max="9032" width="8.5546875" style="328" customWidth="1"/>
    <col min="9033" max="9033" width="9" style="328" customWidth="1"/>
    <col min="9034" max="9034" width="5.109375" style="328" customWidth="1"/>
    <col min="9035" max="9035" width="8.44140625" style="328" customWidth="1"/>
    <col min="9036" max="9036" width="17.109375" style="328" customWidth="1"/>
    <col min="9037" max="9037" width="18" style="328" customWidth="1"/>
    <col min="9038" max="9038" width="3.88671875" style="328" customWidth="1"/>
    <col min="9039" max="9040" width="12.109375" style="328" bestFit="1" customWidth="1"/>
    <col min="9041" max="9043" width="9.109375" style="328"/>
    <col min="9044" max="9044" width="11.33203125" style="328" customWidth="1"/>
    <col min="9045" max="9282" width="9.109375" style="328"/>
    <col min="9283" max="9283" width="3.109375" style="328" customWidth="1"/>
    <col min="9284" max="9284" width="3.44140625" style="328" customWidth="1"/>
    <col min="9285" max="9285" width="7.33203125" style="328" customWidth="1"/>
    <col min="9286" max="9286" width="13.5546875" style="328" customWidth="1"/>
    <col min="9287" max="9287" width="7.109375" style="328" customWidth="1"/>
    <col min="9288" max="9288" width="8.5546875" style="328" customWidth="1"/>
    <col min="9289" max="9289" width="9" style="328" customWidth="1"/>
    <col min="9290" max="9290" width="5.109375" style="328" customWidth="1"/>
    <col min="9291" max="9291" width="8.44140625" style="328" customWidth="1"/>
    <col min="9292" max="9292" width="17.109375" style="328" customWidth="1"/>
    <col min="9293" max="9293" width="18" style="328" customWidth="1"/>
    <col min="9294" max="9294" width="3.88671875" style="328" customWidth="1"/>
    <col min="9295" max="9296" width="12.109375" style="328" bestFit="1" customWidth="1"/>
    <col min="9297" max="9299" width="9.109375" style="328"/>
    <col min="9300" max="9300" width="11.33203125" style="328" customWidth="1"/>
    <col min="9301" max="9538" width="9.109375" style="328"/>
    <col min="9539" max="9539" width="3.109375" style="328" customWidth="1"/>
    <col min="9540" max="9540" width="3.44140625" style="328" customWidth="1"/>
    <col min="9541" max="9541" width="7.33203125" style="328" customWidth="1"/>
    <col min="9542" max="9542" width="13.5546875" style="328" customWidth="1"/>
    <col min="9543" max="9543" width="7.109375" style="328" customWidth="1"/>
    <col min="9544" max="9544" width="8.5546875" style="328" customWidth="1"/>
    <col min="9545" max="9545" width="9" style="328" customWidth="1"/>
    <col min="9546" max="9546" width="5.109375" style="328" customWidth="1"/>
    <col min="9547" max="9547" width="8.44140625" style="328" customWidth="1"/>
    <col min="9548" max="9548" width="17.109375" style="328" customWidth="1"/>
    <col min="9549" max="9549" width="18" style="328" customWidth="1"/>
    <col min="9550" max="9550" width="3.88671875" style="328" customWidth="1"/>
    <col min="9551" max="9552" width="12.109375" style="328" bestFit="1" customWidth="1"/>
    <col min="9553" max="9555" width="9.109375" style="328"/>
    <col min="9556" max="9556" width="11.33203125" style="328" customWidth="1"/>
    <col min="9557" max="9794" width="9.109375" style="328"/>
    <col min="9795" max="9795" width="3.109375" style="328" customWidth="1"/>
    <col min="9796" max="9796" width="3.44140625" style="328" customWidth="1"/>
    <col min="9797" max="9797" width="7.33203125" style="328" customWidth="1"/>
    <col min="9798" max="9798" width="13.5546875" style="328" customWidth="1"/>
    <col min="9799" max="9799" width="7.109375" style="328" customWidth="1"/>
    <col min="9800" max="9800" width="8.5546875" style="328" customWidth="1"/>
    <col min="9801" max="9801" width="9" style="328" customWidth="1"/>
    <col min="9802" max="9802" width="5.109375" style="328" customWidth="1"/>
    <col min="9803" max="9803" width="8.44140625" style="328" customWidth="1"/>
    <col min="9804" max="9804" width="17.109375" style="328" customWidth="1"/>
    <col min="9805" max="9805" width="18" style="328" customWidth="1"/>
    <col min="9806" max="9806" width="3.88671875" style="328" customWidth="1"/>
    <col min="9807" max="9808" width="12.109375" style="328" bestFit="1" customWidth="1"/>
    <col min="9809" max="9811" width="9.109375" style="328"/>
    <col min="9812" max="9812" width="11.33203125" style="328" customWidth="1"/>
    <col min="9813" max="10050" width="9.109375" style="328"/>
    <col min="10051" max="10051" width="3.109375" style="328" customWidth="1"/>
    <col min="10052" max="10052" width="3.44140625" style="328" customWidth="1"/>
    <col min="10053" max="10053" width="7.33203125" style="328" customWidth="1"/>
    <col min="10054" max="10054" width="13.5546875" style="328" customWidth="1"/>
    <col min="10055" max="10055" width="7.109375" style="328" customWidth="1"/>
    <col min="10056" max="10056" width="8.5546875" style="328" customWidth="1"/>
    <col min="10057" max="10057" width="9" style="328" customWidth="1"/>
    <col min="10058" max="10058" width="5.109375" style="328" customWidth="1"/>
    <col min="10059" max="10059" width="8.44140625" style="328" customWidth="1"/>
    <col min="10060" max="10060" width="17.109375" style="328" customWidth="1"/>
    <col min="10061" max="10061" width="18" style="328" customWidth="1"/>
    <col min="10062" max="10062" width="3.88671875" style="328" customWidth="1"/>
    <col min="10063" max="10064" width="12.109375" style="328" bestFit="1" customWidth="1"/>
    <col min="10065" max="10067" width="9.109375" style="328"/>
    <col min="10068" max="10068" width="11.33203125" style="328" customWidth="1"/>
    <col min="10069" max="10306" width="9.109375" style="328"/>
    <col min="10307" max="10307" width="3.109375" style="328" customWidth="1"/>
    <col min="10308" max="10308" width="3.44140625" style="328" customWidth="1"/>
    <col min="10309" max="10309" width="7.33203125" style="328" customWidth="1"/>
    <col min="10310" max="10310" width="13.5546875" style="328" customWidth="1"/>
    <col min="10311" max="10311" width="7.109375" style="328" customWidth="1"/>
    <col min="10312" max="10312" width="8.5546875" style="328" customWidth="1"/>
    <col min="10313" max="10313" width="9" style="328" customWidth="1"/>
    <col min="10314" max="10314" width="5.109375" style="328" customWidth="1"/>
    <col min="10315" max="10315" width="8.44140625" style="328" customWidth="1"/>
    <col min="10316" max="10316" width="17.109375" style="328" customWidth="1"/>
    <col min="10317" max="10317" width="18" style="328" customWidth="1"/>
    <col min="10318" max="10318" width="3.88671875" style="328" customWidth="1"/>
    <col min="10319" max="10320" width="12.109375" style="328" bestFit="1" customWidth="1"/>
    <col min="10321" max="10323" width="9.109375" style="328"/>
    <col min="10324" max="10324" width="11.33203125" style="328" customWidth="1"/>
    <col min="10325" max="10562" width="9.109375" style="328"/>
    <col min="10563" max="10563" width="3.109375" style="328" customWidth="1"/>
    <col min="10564" max="10564" width="3.44140625" style="328" customWidth="1"/>
    <col min="10565" max="10565" width="7.33203125" style="328" customWidth="1"/>
    <col min="10566" max="10566" width="13.5546875" style="328" customWidth="1"/>
    <col min="10567" max="10567" width="7.109375" style="328" customWidth="1"/>
    <col min="10568" max="10568" width="8.5546875" style="328" customWidth="1"/>
    <col min="10569" max="10569" width="9" style="328" customWidth="1"/>
    <col min="10570" max="10570" width="5.109375" style="328" customWidth="1"/>
    <col min="10571" max="10571" width="8.44140625" style="328" customWidth="1"/>
    <col min="10572" max="10572" width="17.109375" style="328" customWidth="1"/>
    <col min="10573" max="10573" width="18" style="328" customWidth="1"/>
    <col min="10574" max="10574" width="3.88671875" style="328" customWidth="1"/>
    <col min="10575" max="10576" width="12.109375" style="328" bestFit="1" customWidth="1"/>
    <col min="10577" max="10579" width="9.109375" style="328"/>
    <col min="10580" max="10580" width="11.33203125" style="328" customWidth="1"/>
    <col min="10581" max="10818" width="9.109375" style="328"/>
    <col min="10819" max="10819" width="3.109375" style="328" customWidth="1"/>
    <col min="10820" max="10820" width="3.44140625" style="328" customWidth="1"/>
    <col min="10821" max="10821" width="7.33203125" style="328" customWidth="1"/>
    <col min="10822" max="10822" width="13.5546875" style="328" customWidth="1"/>
    <col min="10823" max="10823" width="7.109375" style="328" customWidth="1"/>
    <col min="10824" max="10824" width="8.5546875" style="328" customWidth="1"/>
    <col min="10825" max="10825" width="9" style="328" customWidth="1"/>
    <col min="10826" max="10826" width="5.109375" style="328" customWidth="1"/>
    <col min="10827" max="10827" width="8.44140625" style="328" customWidth="1"/>
    <col min="10828" max="10828" width="17.109375" style="328" customWidth="1"/>
    <col min="10829" max="10829" width="18" style="328" customWidth="1"/>
    <col min="10830" max="10830" width="3.88671875" style="328" customWidth="1"/>
    <col min="10831" max="10832" width="12.109375" style="328" bestFit="1" customWidth="1"/>
    <col min="10833" max="10835" width="9.109375" style="328"/>
    <col min="10836" max="10836" width="11.33203125" style="328" customWidth="1"/>
    <col min="10837" max="11074" width="9.109375" style="328"/>
    <col min="11075" max="11075" width="3.109375" style="328" customWidth="1"/>
    <col min="11076" max="11076" width="3.44140625" style="328" customWidth="1"/>
    <col min="11077" max="11077" width="7.33203125" style="328" customWidth="1"/>
    <col min="11078" max="11078" width="13.5546875" style="328" customWidth="1"/>
    <col min="11079" max="11079" width="7.109375" style="328" customWidth="1"/>
    <col min="11080" max="11080" width="8.5546875" style="328" customWidth="1"/>
    <col min="11081" max="11081" width="9" style="328" customWidth="1"/>
    <col min="11082" max="11082" width="5.109375" style="328" customWidth="1"/>
    <col min="11083" max="11083" width="8.44140625" style="328" customWidth="1"/>
    <col min="11084" max="11084" width="17.109375" style="328" customWidth="1"/>
    <col min="11085" max="11085" width="18" style="328" customWidth="1"/>
    <col min="11086" max="11086" width="3.88671875" style="328" customWidth="1"/>
    <col min="11087" max="11088" width="12.109375" style="328" bestFit="1" customWidth="1"/>
    <col min="11089" max="11091" width="9.109375" style="328"/>
    <col min="11092" max="11092" width="11.33203125" style="328" customWidth="1"/>
    <col min="11093" max="11330" width="9.109375" style="328"/>
    <col min="11331" max="11331" width="3.109375" style="328" customWidth="1"/>
    <col min="11332" max="11332" width="3.44140625" style="328" customWidth="1"/>
    <col min="11333" max="11333" width="7.33203125" style="328" customWidth="1"/>
    <col min="11334" max="11334" width="13.5546875" style="328" customWidth="1"/>
    <col min="11335" max="11335" width="7.109375" style="328" customWidth="1"/>
    <col min="11336" max="11336" width="8.5546875" style="328" customWidth="1"/>
    <col min="11337" max="11337" width="9" style="328" customWidth="1"/>
    <col min="11338" max="11338" width="5.109375" style="328" customWidth="1"/>
    <col min="11339" max="11339" width="8.44140625" style="328" customWidth="1"/>
    <col min="11340" max="11340" width="17.109375" style="328" customWidth="1"/>
    <col min="11341" max="11341" width="18" style="328" customWidth="1"/>
    <col min="11342" max="11342" width="3.88671875" style="328" customWidth="1"/>
    <col min="11343" max="11344" width="12.109375" style="328" bestFit="1" customWidth="1"/>
    <col min="11345" max="11347" width="9.109375" style="328"/>
    <col min="11348" max="11348" width="11.33203125" style="328" customWidth="1"/>
    <col min="11349" max="11586" width="9.109375" style="328"/>
    <col min="11587" max="11587" width="3.109375" style="328" customWidth="1"/>
    <col min="11588" max="11588" width="3.44140625" style="328" customWidth="1"/>
    <col min="11589" max="11589" width="7.33203125" style="328" customWidth="1"/>
    <col min="11590" max="11590" width="13.5546875" style="328" customWidth="1"/>
    <col min="11591" max="11591" width="7.109375" style="328" customWidth="1"/>
    <col min="11592" max="11592" width="8.5546875" style="328" customWidth="1"/>
    <col min="11593" max="11593" width="9" style="328" customWidth="1"/>
    <col min="11594" max="11594" width="5.109375" style="328" customWidth="1"/>
    <col min="11595" max="11595" width="8.44140625" style="328" customWidth="1"/>
    <col min="11596" max="11596" width="17.109375" style="328" customWidth="1"/>
    <col min="11597" max="11597" width="18" style="328" customWidth="1"/>
    <col min="11598" max="11598" width="3.88671875" style="328" customWidth="1"/>
    <col min="11599" max="11600" width="12.109375" style="328" bestFit="1" customWidth="1"/>
    <col min="11601" max="11603" width="9.109375" style="328"/>
    <col min="11604" max="11604" width="11.33203125" style="328" customWidth="1"/>
    <col min="11605" max="11842" width="9.109375" style="328"/>
    <col min="11843" max="11843" width="3.109375" style="328" customWidth="1"/>
    <col min="11844" max="11844" width="3.44140625" style="328" customWidth="1"/>
    <col min="11845" max="11845" width="7.33203125" style="328" customWidth="1"/>
    <col min="11846" max="11846" width="13.5546875" style="328" customWidth="1"/>
    <col min="11847" max="11847" width="7.109375" style="328" customWidth="1"/>
    <col min="11848" max="11848" width="8.5546875" style="328" customWidth="1"/>
    <col min="11849" max="11849" width="9" style="328" customWidth="1"/>
    <col min="11850" max="11850" width="5.109375" style="328" customWidth="1"/>
    <col min="11851" max="11851" width="8.44140625" style="328" customWidth="1"/>
    <col min="11852" max="11852" width="17.109375" style="328" customWidth="1"/>
    <col min="11853" max="11853" width="18" style="328" customWidth="1"/>
    <col min="11854" max="11854" width="3.88671875" style="328" customWidth="1"/>
    <col min="11855" max="11856" width="12.109375" style="328" bestFit="1" customWidth="1"/>
    <col min="11857" max="11859" width="9.109375" style="328"/>
    <col min="11860" max="11860" width="11.33203125" style="328" customWidth="1"/>
    <col min="11861" max="12098" width="9.109375" style="328"/>
    <col min="12099" max="12099" width="3.109375" style="328" customWidth="1"/>
    <col min="12100" max="12100" width="3.44140625" style="328" customWidth="1"/>
    <col min="12101" max="12101" width="7.33203125" style="328" customWidth="1"/>
    <col min="12102" max="12102" width="13.5546875" style="328" customWidth="1"/>
    <col min="12103" max="12103" width="7.109375" style="328" customWidth="1"/>
    <col min="12104" max="12104" width="8.5546875" style="328" customWidth="1"/>
    <col min="12105" max="12105" width="9" style="328" customWidth="1"/>
    <col min="12106" max="12106" width="5.109375" style="328" customWidth="1"/>
    <col min="12107" max="12107" width="8.44140625" style="328" customWidth="1"/>
    <col min="12108" max="12108" width="17.109375" style="328" customWidth="1"/>
    <col min="12109" max="12109" width="18" style="328" customWidth="1"/>
    <col min="12110" max="12110" width="3.88671875" style="328" customWidth="1"/>
    <col min="12111" max="12112" width="12.109375" style="328" bestFit="1" customWidth="1"/>
    <col min="12113" max="12115" width="9.109375" style="328"/>
    <col min="12116" max="12116" width="11.33203125" style="328" customWidth="1"/>
    <col min="12117" max="12354" width="9.109375" style="328"/>
    <col min="12355" max="12355" width="3.109375" style="328" customWidth="1"/>
    <col min="12356" max="12356" width="3.44140625" style="328" customWidth="1"/>
    <col min="12357" max="12357" width="7.33203125" style="328" customWidth="1"/>
    <col min="12358" max="12358" width="13.5546875" style="328" customWidth="1"/>
    <col min="12359" max="12359" width="7.109375" style="328" customWidth="1"/>
    <col min="12360" max="12360" width="8.5546875" style="328" customWidth="1"/>
    <col min="12361" max="12361" width="9" style="328" customWidth="1"/>
    <col min="12362" max="12362" width="5.109375" style="328" customWidth="1"/>
    <col min="12363" max="12363" width="8.44140625" style="328" customWidth="1"/>
    <col min="12364" max="12364" width="17.109375" style="328" customWidth="1"/>
    <col min="12365" max="12365" width="18" style="328" customWidth="1"/>
    <col min="12366" max="12366" width="3.88671875" style="328" customWidth="1"/>
    <col min="12367" max="12368" width="12.109375" style="328" bestFit="1" customWidth="1"/>
    <col min="12369" max="12371" width="9.109375" style="328"/>
    <col min="12372" max="12372" width="11.33203125" style="328" customWidth="1"/>
    <col min="12373" max="12610" width="9.109375" style="328"/>
    <col min="12611" max="12611" width="3.109375" style="328" customWidth="1"/>
    <col min="12612" max="12612" width="3.44140625" style="328" customWidth="1"/>
    <col min="12613" max="12613" width="7.33203125" style="328" customWidth="1"/>
    <col min="12614" max="12614" width="13.5546875" style="328" customWidth="1"/>
    <col min="12615" max="12615" width="7.109375" style="328" customWidth="1"/>
    <col min="12616" max="12616" width="8.5546875" style="328" customWidth="1"/>
    <col min="12617" max="12617" width="9" style="328" customWidth="1"/>
    <col min="12618" max="12618" width="5.109375" style="328" customWidth="1"/>
    <col min="12619" max="12619" width="8.44140625" style="328" customWidth="1"/>
    <col min="12620" max="12620" width="17.109375" style="328" customWidth="1"/>
    <col min="12621" max="12621" width="18" style="328" customWidth="1"/>
    <col min="12622" max="12622" width="3.88671875" style="328" customWidth="1"/>
    <col min="12623" max="12624" width="12.109375" style="328" bestFit="1" customWidth="1"/>
    <col min="12625" max="12627" width="9.109375" style="328"/>
    <col min="12628" max="12628" width="11.33203125" style="328" customWidth="1"/>
    <col min="12629" max="12866" width="9.109375" style="328"/>
    <col min="12867" max="12867" width="3.109375" style="328" customWidth="1"/>
    <col min="12868" max="12868" width="3.44140625" style="328" customWidth="1"/>
    <col min="12869" max="12869" width="7.33203125" style="328" customWidth="1"/>
    <col min="12870" max="12870" width="13.5546875" style="328" customWidth="1"/>
    <col min="12871" max="12871" width="7.109375" style="328" customWidth="1"/>
    <col min="12872" max="12872" width="8.5546875" style="328" customWidth="1"/>
    <col min="12873" max="12873" width="9" style="328" customWidth="1"/>
    <col min="12874" max="12874" width="5.109375" style="328" customWidth="1"/>
    <col min="12875" max="12875" width="8.44140625" style="328" customWidth="1"/>
    <col min="12876" max="12876" width="17.109375" style="328" customWidth="1"/>
    <col min="12877" max="12877" width="18" style="328" customWidth="1"/>
    <col min="12878" max="12878" width="3.88671875" style="328" customWidth="1"/>
    <col min="12879" max="12880" width="12.109375" style="328" bestFit="1" customWidth="1"/>
    <col min="12881" max="12883" width="9.109375" style="328"/>
    <col min="12884" max="12884" width="11.33203125" style="328" customWidth="1"/>
    <col min="12885" max="13122" width="9.109375" style="328"/>
    <col min="13123" max="13123" width="3.109375" style="328" customWidth="1"/>
    <col min="13124" max="13124" width="3.44140625" style="328" customWidth="1"/>
    <col min="13125" max="13125" width="7.33203125" style="328" customWidth="1"/>
    <col min="13126" max="13126" width="13.5546875" style="328" customWidth="1"/>
    <col min="13127" max="13127" width="7.109375" style="328" customWidth="1"/>
    <col min="13128" max="13128" width="8.5546875" style="328" customWidth="1"/>
    <col min="13129" max="13129" width="9" style="328" customWidth="1"/>
    <col min="13130" max="13130" width="5.109375" style="328" customWidth="1"/>
    <col min="13131" max="13131" width="8.44140625" style="328" customWidth="1"/>
    <col min="13132" max="13132" width="17.109375" style="328" customWidth="1"/>
    <col min="13133" max="13133" width="18" style="328" customWidth="1"/>
    <col min="13134" max="13134" width="3.88671875" style="328" customWidth="1"/>
    <col min="13135" max="13136" width="12.109375" style="328" bestFit="1" customWidth="1"/>
    <col min="13137" max="13139" width="9.109375" style="328"/>
    <col min="13140" max="13140" width="11.33203125" style="328" customWidth="1"/>
    <col min="13141" max="13378" width="9.109375" style="328"/>
    <col min="13379" max="13379" width="3.109375" style="328" customWidth="1"/>
    <col min="13380" max="13380" width="3.44140625" style="328" customWidth="1"/>
    <col min="13381" max="13381" width="7.33203125" style="328" customWidth="1"/>
    <col min="13382" max="13382" width="13.5546875" style="328" customWidth="1"/>
    <col min="13383" max="13383" width="7.109375" style="328" customWidth="1"/>
    <col min="13384" max="13384" width="8.5546875" style="328" customWidth="1"/>
    <col min="13385" max="13385" width="9" style="328" customWidth="1"/>
    <col min="13386" max="13386" width="5.109375" style="328" customWidth="1"/>
    <col min="13387" max="13387" width="8.44140625" style="328" customWidth="1"/>
    <col min="13388" max="13388" width="17.109375" style="328" customWidth="1"/>
    <col min="13389" max="13389" width="18" style="328" customWidth="1"/>
    <col min="13390" max="13390" width="3.88671875" style="328" customWidth="1"/>
    <col min="13391" max="13392" width="12.109375" style="328" bestFit="1" customWidth="1"/>
    <col min="13393" max="13395" width="9.109375" style="328"/>
    <col min="13396" max="13396" width="11.33203125" style="328" customWidth="1"/>
    <col min="13397" max="13634" width="9.109375" style="328"/>
    <col min="13635" max="13635" width="3.109375" style="328" customWidth="1"/>
    <col min="13636" max="13636" width="3.44140625" style="328" customWidth="1"/>
    <col min="13637" max="13637" width="7.33203125" style="328" customWidth="1"/>
    <col min="13638" max="13638" width="13.5546875" style="328" customWidth="1"/>
    <col min="13639" max="13639" width="7.109375" style="328" customWidth="1"/>
    <col min="13640" max="13640" width="8.5546875" style="328" customWidth="1"/>
    <col min="13641" max="13641" width="9" style="328" customWidth="1"/>
    <col min="13642" max="13642" width="5.109375" style="328" customWidth="1"/>
    <col min="13643" max="13643" width="8.44140625" style="328" customWidth="1"/>
    <col min="13644" max="13644" width="17.109375" style="328" customWidth="1"/>
    <col min="13645" max="13645" width="18" style="328" customWidth="1"/>
    <col min="13646" max="13646" width="3.88671875" style="328" customWidth="1"/>
    <col min="13647" max="13648" width="12.109375" style="328" bestFit="1" customWidth="1"/>
    <col min="13649" max="13651" width="9.109375" style="328"/>
    <col min="13652" max="13652" width="11.33203125" style="328" customWidth="1"/>
    <col min="13653" max="13890" width="9.109375" style="328"/>
    <col min="13891" max="13891" width="3.109375" style="328" customWidth="1"/>
    <col min="13892" max="13892" width="3.44140625" style="328" customWidth="1"/>
    <col min="13893" max="13893" width="7.33203125" style="328" customWidth="1"/>
    <col min="13894" max="13894" width="13.5546875" style="328" customWidth="1"/>
    <col min="13895" max="13895" width="7.109375" style="328" customWidth="1"/>
    <col min="13896" max="13896" width="8.5546875" style="328" customWidth="1"/>
    <col min="13897" max="13897" width="9" style="328" customWidth="1"/>
    <col min="13898" max="13898" width="5.109375" style="328" customWidth="1"/>
    <col min="13899" max="13899" width="8.44140625" style="328" customWidth="1"/>
    <col min="13900" max="13900" width="17.109375" style="328" customWidth="1"/>
    <col min="13901" max="13901" width="18" style="328" customWidth="1"/>
    <col min="13902" max="13902" width="3.88671875" style="328" customWidth="1"/>
    <col min="13903" max="13904" width="12.109375" style="328" bestFit="1" customWidth="1"/>
    <col min="13905" max="13907" width="9.109375" style="328"/>
    <col min="13908" max="13908" width="11.33203125" style="328" customWidth="1"/>
    <col min="13909" max="14146" width="9.109375" style="328"/>
    <col min="14147" max="14147" width="3.109375" style="328" customWidth="1"/>
    <col min="14148" max="14148" width="3.44140625" style="328" customWidth="1"/>
    <col min="14149" max="14149" width="7.33203125" style="328" customWidth="1"/>
    <col min="14150" max="14150" width="13.5546875" style="328" customWidth="1"/>
    <col min="14151" max="14151" width="7.109375" style="328" customWidth="1"/>
    <col min="14152" max="14152" width="8.5546875" style="328" customWidth="1"/>
    <col min="14153" max="14153" width="9" style="328" customWidth="1"/>
    <col min="14154" max="14154" width="5.109375" style="328" customWidth="1"/>
    <col min="14155" max="14155" width="8.44140625" style="328" customWidth="1"/>
    <col min="14156" max="14156" width="17.109375" style="328" customWidth="1"/>
    <col min="14157" max="14157" width="18" style="328" customWidth="1"/>
    <col min="14158" max="14158" width="3.88671875" style="328" customWidth="1"/>
    <col min="14159" max="14160" width="12.109375" style="328" bestFit="1" customWidth="1"/>
    <col min="14161" max="14163" width="9.109375" style="328"/>
    <col min="14164" max="14164" width="11.33203125" style="328" customWidth="1"/>
    <col min="14165" max="14402" width="9.109375" style="328"/>
    <col min="14403" max="14403" width="3.109375" style="328" customWidth="1"/>
    <col min="14404" max="14404" width="3.44140625" style="328" customWidth="1"/>
    <col min="14405" max="14405" width="7.33203125" style="328" customWidth="1"/>
    <col min="14406" max="14406" width="13.5546875" style="328" customWidth="1"/>
    <col min="14407" max="14407" width="7.109375" style="328" customWidth="1"/>
    <col min="14408" max="14408" width="8.5546875" style="328" customWidth="1"/>
    <col min="14409" max="14409" width="9" style="328" customWidth="1"/>
    <col min="14410" max="14410" width="5.109375" style="328" customWidth="1"/>
    <col min="14411" max="14411" width="8.44140625" style="328" customWidth="1"/>
    <col min="14412" max="14412" width="17.109375" style="328" customWidth="1"/>
    <col min="14413" max="14413" width="18" style="328" customWidth="1"/>
    <col min="14414" max="14414" width="3.88671875" style="328" customWidth="1"/>
    <col min="14415" max="14416" width="12.109375" style="328" bestFit="1" customWidth="1"/>
    <col min="14417" max="14419" width="9.109375" style="328"/>
    <col min="14420" max="14420" width="11.33203125" style="328" customWidth="1"/>
    <col min="14421" max="14658" width="9.109375" style="328"/>
    <col min="14659" max="14659" width="3.109375" style="328" customWidth="1"/>
    <col min="14660" max="14660" width="3.44140625" style="328" customWidth="1"/>
    <col min="14661" max="14661" width="7.33203125" style="328" customWidth="1"/>
    <col min="14662" max="14662" width="13.5546875" style="328" customWidth="1"/>
    <col min="14663" max="14663" width="7.109375" style="328" customWidth="1"/>
    <col min="14664" max="14664" width="8.5546875" style="328" customWidth="1"/>
    <col min="14665" max="14665" width="9" style="328" customWidth="1"/>
    <col min="14666" max="14666" width="5.109375" style="328" customWidth="1"/>
    <col min="14667" max="14667" width="8.44140625" style="328" customWidth="1"/>
    <col min="14668" max="14668" width="17.109375" style="328" customWidth="1"/>
    <col min="14669" max="14669" width="18" style="328" customWidth="1"/>
    <col min="14670" max="14670" width="3.88671875" style="328" customWidth="1"/>
    <col min="14671" max="14672" width="12.109375" style="328" bestFit="1" customWidth="1"/>
    <col min="14673" max="14675" width="9.109375" style="328"/>
    <col min="14676" max="14676" width="11.33203125" style="328" customWidth="1"/>
    <col min="14677" max="14914" width="9.109375" style="328"/>
    <col min="14915" max="14915" width="3.109375" style="328" customWidth="1"/>
    <col min="14916" max="14916" width="3.44140625" style="328" customWidth="1"/>
    <col min="14917" max="14917" width="7.33203125" style="328" customWidth="1"/>
    <col min="14918" max="14918" width="13.5546875" style="328" customWidth="1"/>
    <col min="14919" max="14919" width="7.109375" style="328" customWidth="1"/>
    <col min="14920" max="14920" width="8.5546875" style="328" customWidth="1"/>
    <col min="14921" max="14921" width="9" style="328" customWidth="1"/>
    <col min="14922" max="14922" width="5.109375" style="328" customWidth="1"/>
    <col min="14923" max="14923" width="8.44140625" style="328" customWidth="1"/>
    <col min="14924" max="14924" width="17.109375" style="328" customWidth="1"/>
    <col min="14925" max="14925" width="18" style="328" customWidth="1"/>
    <col min="14926" max="14926" width="3.88671875" style="328" customWidth="1"/>
    <col min="14927" max="14928" width="12.109375" style="328" bestFit="1" customWidth="1"/>
    <col min="14929" max="14931" width="9.109375" style="328"/>
    <col min="14932" max="14932" width="11.33203125" style="328" customWidth="1"/>
    <col min="14933" max="15170" width="9.109375" style="328"/>
    <col min="15171" max="15171" width="3.109375" style="328" customWidth="1"/>
    <col min="15172" max="15172" width="3.44140625" style="328" customWidth="1"/>
    <col min="15173" max="15173" width="7.33203125" style="328" customWidth="1"/>
    <col min="15174" max="15174" width="13.5546875" style="328" customWidth="1"/>
    <col min="15175" max="15175" width="7.109375" style="328" customWidth="1"/>
    <col min="15176" max="15176" width="8.5546875" style="328" customWidth="1"/>
    <col min="15177" max="15177" width="9" style="328" customWidth="1"/>
    <col min="15178" max="15178" width="5.109375" style="328" customWidth="1"/>
    <col min="15179" max="15179" width="8.44140625" style="328" customWidth="1"/>
    <col min="15180" max="15180" width="17.109375" style="328" customWidth="1"/>
    <col min="15181" max="15181" width="18" style="328" customWidth="1"/>
    <col min="15182" max="15182" width="3.88671875" style="328" customWidth="1"/>
    <col min="15183" max="15184" width="12.109375" style="328" bestFit="1" customWidth="1"/>
    <col min="15185" max="15187" width="9.109375" style="328"/>
    <col min="15188" max="15188" width="11.33203125" style="328" customWidth="1"/>
    <col min="15189" max="15426" width="9.109375" style="328"/>
    <col min="15427" max="15427" width="3.109375" style="328" customWidth="1"/>
    <col min="15428" max="15428" width="3.44140625" style="328" customWidth="1"/>
    <col min="15429" max="15429" width="7.33203125" style="328" customWidth="1"/>
    <col min="15430" max="15430" width="13.5546875" style="328" customWidth="1"/>
    <col min="15431" max="15431" width="7.109375" style="328" customWidth="1"/>
    <col min="15432" max="15432" width="8.5546875" style="328" customWidth="1"/>
    <col min="15433" max="15433" width="9" style="328" customWidth="1"/>
    <col min="15434" max="15434" width="5.109375" style="328" customWidth="1"/>
    <col min="15435" max="15435" width="8.44140625" style="328" customWidth="1"/>
    <col min="15436" max="15436" width="17.109375" style="328" customWidth="1"/>
    <col min="15437" max="15437" width="18" style="328" customWidth="1"/>
    <col min="15438" max="15438" width="3.88671875" style="328" customWidth="1"/>
    <col min="15439" max="15440" width="12.109375" style="328" bestFit="1" customWidth="1"/>
    <col min="15441" max="15443" width="9.109375" style="328"/>
    <col min="15444" max="15444" width="11.33203125" style="328" customWidth="1"/>
    <col min="15445" max="15682" width="9.109375" style="328"/>
    <col min="15683" max="15683" width="3.109375" style="328" customWidth="1"/>
    <col min="15684" max="15684" width="3.44140625" style="328" customWidth="1"/>
    <col min="15685" max="15685" width="7.33203125" style="328" customWidth="1"/>
    <col min="15686" max="15686" width="13.5546875" style="328" customWidth="1"/>
    <col min="15687" max="15687" width="7.109375" style="328" customWidth="1"/>
    <col min="15688" max="15688" width="8.5546875" style="328" customWidth="1"/>
    <col min="15689" max="15689" width="9" style="328" customWidth="1"/>
    <col min="15690" max="15690" width="5.109375" style="328" customWidth="1"/>
    <col min="15691" max="15691" width="8.44140625" style="328" customWidth="1"/>
    <col min="15692" max="15692" width="17.109375" style="328" customWidth="1"/>
    <col min="15693" max="15693" width="18" style="328" customWidth="1"/>
    <col min="15694" max="15694" width="3.88671875" style="328" customWidth="1"/>
    <col min="15695" max="15696" width="12.109375" style="328" bestFit="1" customWidth="1"/>
    <col min="15697" max="15699" width="9.109375" style="328"/>
    <col min="15700" max="15700" width="11.33203125" style="328" customWidth="1"/>
    <col min="15701" max="15938" width="9.109375" style="328"/>
    <col min="15939" max="15939" width="3.109375" style="328" customWidth="1"/>
    <col min="15940" max="15940" width="3.44140625" style="328" customWidth="1"/>
    <col min="15941" max="15941" width="7.33203125" style="328" customWidth="1"/>
    <col min="15942" max="15942" width="13.5546875" style="328" customWidth="1"/>
    <col min="15943" max="15943" width="7.109375" style="328" customWidth="1"/>
    <col min="15944" max="15944" width="8.5546875" style="328" customWidth="1"/>
    <col min="15945" max="15945" width="9" style="328" customWidth="1"/>
    <col min="15946" max="15946" width="5.109375" style="328" customWidth="1"/>
    <col min="15947" max="15947" width="8.44140625" style="328" customWidth="1"/>
    <col min="15948" max="15948" width="17.109375" style="328" customWidth="1"/>
    <col min="15949" max="15949" width="18" style="328" customWidth="1"/>
    <col min="15950" max="15950" width="3.88671875" style="328" customWidth="1"/>
    <col min="15951" max="15952" width="12.109375" style="328" bestFit="1" customWidth="1"/>
    <col min="15953" max="15955" width="9.109375" style="328"/>
    <col min="15956" max="15956" width="11.33203125" style="328" customWidth="1"/>
    <col min="15957" max="16384" width="9.109375" style="328"/>
  </cols>
  <sheetData>
    <row r="1" spans="1:10">
      <c r="H1" s="329" t="s">
        <v>629</v>
      </c>
      <c r="I1" s="330">
        <f>+'Data from DB'!B3</f>
        <v>0</v>
      </c>
    </row>
    <row r="2" spans="1:10" ht="21.6" customHeight="1">
      <c r="C2" s="381"/>
      <c r="D2" s="381"/>
      <c r="E2" s="381"/>
      <c r="F2" s="381"/>
      <c r="G2" s="381"/>
    </row>
    <row r="3" spans="1:10" ht="39" customHeight="1"/>
    <row r="4" spans="1:10" ht="15.75" customHeight="1">
      <c r="I4" s="331"/>
      <c r="J4" s="331"/>
    </row>
    <row r="5" spans="1:10" ht="15.75" customHeight="1">
      <c r="A5" s="444"/>
      <c r="B5" s="444"/>
      <c r="C5" s="444"/>
      <c r="D5" s="444"/>
      <c r="E5" s="444"/>
      <c r="F5" s="444"/>
      <c r="G5" s="444"/>
      <c r="H5" s="444"/>
      <c r="I5" s="444"/>
      <c r="J5" s="444"/>
    </row>
    <row r="6" spans="1:10" ht="15.75" customHeight="1"/>
    <row r="7" spans="1:10" ht="15.75" customHeight="1" thickBot="1">
      <c r="A7" s="332" t="s">
        <v>58</v>
      </c>
      <c r="B7" s="332"/>
      <c r="C7" s="332"/>
    </row>
    <row r="8" spans="1:10" ht="15.75" customHeight="1" thickTop="1">
      <c r="A8" s="385" t="s">
        <v>59</v>
      </c>
      <c r="B8" s="383"/>
      <c r="C8" s="383"/>
      <c r="D8" s="383" t="s">
        <v>66</v>
      </c>
      <c r="E8" s="383" t="s">
        <v>67</v>
      </c>
      <c r="F8" s="383" t="s">
        <v>11</v>
      </c>
      <c r="G8" s="383" t="s">
        <v>21</v>
      </c>
      <c r="H8" s="383" t="s">
        <v>69</v>
      </c>
      <c r="I8" s="383" t="s">
        <v>70</v>
      </c>
      <c r="J8" s="413" t="s">
        <v>125</v>
      </c>
    </row>
    <row r="9" spans="1:10" ht="15.75" customHeight="1">
      <c r="A9" s="386"/>
      <c r="B9" s="384"/>
      <c r="C9" s="384"/>
      <c r="D9" s="384"/>
      <c r="E9" s="384"/>
      <c r="F9" s="384"/>
      <c r="G9" s="384"/>
      <c r="H9" s="384"/>
      <c r="I9" s="384"/>
      <c r="J9" s="414"/>
    </row>
    <row r="10" spans="1:10" ht="15.75" customHeight="1">
      <c r="A10" s="393" t="s">
        <v>60</v>
      </c>
      <c r="B10" s="394"/>
      <c r="C10" s="394"/>
      <c r="D10" s="395">
        <f>+'Data from DB'!B447</f>
        <v>0</v>
      </c>
      <c r="E10" s="396" t="str">
        <f>CONCATENATE('Data from DB'!B464,":",'Data from DB'!B465)</f>
        <v>:</v>
      </c>
      <c r="F10" s="396" t="s">
        <v>68</v>
      </c>
      <c r="G10" s="389">
        <f>+'Data from DB'!B46</f>
        <v>0</v>
      </c>
      <c r="H10" s="389">
        <f>+'Data from DB'!B47</f>
        <v>0</v>
      </c>
      <c r="I10" s="389">
        <f>+'Data from DB'!B48</f>
        <v>0</v>
      </c>
      <c r="J10" s="445">
        <f>+'Data from DB'!B49</f>
        <v>0</v>
      </c>
    </row>
    <row r="11" spans="1:10" ht="16.5" customHeight="1">
      <c r="A11" s="393"/>
      <c r="B11" s="394"/>
      <c r="C11" s="394"/>
      <c r="D11" s="395"/>
      <c r="E11" s="396"/>
      <c r="F11" s="396"/>
      <c r="G11" s="389"/>
      <c r="H11" s="389"/>
      <c r="I11" s="389"/>
      <c r="J11" s="445"/>
    </row>
    <row r="12" spans="1:10" ht="15.75" customHeight="1">
      <c r="A12" s="391" t="s">
        <v>61</v>
      </c>
      <c r="B12" s="392"/>
      <c r="C12" s="392"/>
      <c r="D12" s="395">
        <f>+'Data from DB'!B448</f>
        <v>0</v>
      </c>
      <c r="E12" s="396" t="str">
        <f>CONCATENATE('Data from DB'!B468,":",'Data from DB'!B469)</f>
        <v>:</v>
      </c>
      <c r="F12" s="396" t="s">
        <v>68</v>
      </c>
      <c r="G12" s="389">
        <f>+'Data from DB'!C50</f>
        <v>0</v>
      </c>
      <c r="H12" s="389">
        <f>+'Data from DB'!B51</f>
        <v>0</v>
      </c>
      <c r="I12" s="389">
        <f>+'Data from DB'!B52</f>
        <v>0</v>
      </c>
      <c r="J12" s="445">
        <f>+'Data from DB'!C53</f>
        <v>0</v>
      </c>
    </row>
    <row r="13" spans="1:10" ht="15.75" customHeight="1">
      <c r="A13" s="391"/>
      <c r="B13" s="392"/>
      <c r="C13" s="392"/>
      <c r="D13" s="395"/>
      <c r="E13" s="396"/>
      <c r="F13" s="396"/>
      <c r="G13" s="389"/>
      <c r="H13" s="389"/>
      <c r="I13" s="389"/>
      <c r="J13" s="445"/>
    </row>
    <row r="14" spans="1:10" ht="15.75" customHeight="1">
      <c r="A14" s="391" t="s">
        <v>62</v>
      </c>
      <c r="B14" s="392"/>
      <c r="C14" s="392"/>
      <c r="D14" s="395">
        <f>+'Data from DB'!B449</f>
        <v>0</v>
      </c>
      <c r="E14" s="396" t="str">
        <f>CONCATENATE('Data from DB'!B466,":",'Data from DB'!B467)</f>
        <v>:</v>
      </c>
      <c r="F14" s="396" t="s">
        <v>68</v>
      </c>
      <c r="G14" s="389">
        <f>+'Data from DB'!B54</f>
        <v>0</v>
      </c>
      <c r="H14" s="389">
        <f>+'Data from DB'!B55</f>
        <v>0</v>
      </c>
      <c r="I14" s="389">
        <f>+'Data from DB'!B56</f>
        <v>0</v>
      </c>
      <c r="J14" s="445">
        <f>+'Data from DB'!B57</f>
        <v>0</v>
      </c>
    </row>
    <row r="15" spans="1:10" ht="15.75" customHeight="1">
      <c r="A15" s="391"/>
      <c r="B15" s="392"/>
      <c r="C15" s="392"/>
      <c r="D15" s="395"/>
      <c r="E15" s="396"/>
      <c r="F15" s="396"/>
      <c r="G15" s="389"/>
      <c r="H15" s="389"/>
      <c r="I15" s="389"/>
      <c r="J15" s="445"/>
    </row>
    <row r="16" spans="1:10" ht="15.75" customHeight="1">
      <c r="A16" s="387" t="s">
        <v>63</v>
      </c>
      <c r="B16" s="388"/>
      <c r="C16" s="388"/>
      <c r="D16" s="395">
        <f>+'Data from DB'!B450</f>
        <v>0</v>
      </c>
      <c r="E16" s="396" t="str">
        <f>CONCATENATE('Data from DB'!B462,":",'Data from DB'!B461)</f>
        <v>:</v>
      </c>
      <c r="F16" s="396" t="s">
        <v>68</v>
      </c>
      <c r="G16" s="397">
        <f>+'Data from DB'!B58</f>
        <v>0</v>
      </c>
      <c r="H16" s="389">
        <f>+'Data from DB'!B59</f>
        <v>0</v>
      </c>
      <c r="I16" s="389">
        <f>+'Data from DB'!B60</f>
        <v>0</v>
      </c>
      <c r="J16" s="446">
        <f>+'Data from DB'!B61</f>
        <v>0</v>
      </c>
    </row>
    <row r="17" spans="1:10" ht="15.75" customHeight="1">
      <c r="A17" s="387"/>
      <c r="B17" s="388"/>
      <c r="C17" s="388"/>
      <c r="D17" s="395"/>
      <c r="E17" s="396"/>
      <c r="F17" s="396"/>
      <c r="G17" s="397"/>
      <c r="H17" s="389"/>
      <c r="I17" s="389"/>
      <c r="J17" s="446"/>
    </row>
    <row r="18" spans="1:10" ht="15.75" customHeight="1">
      <c r="A18" s="409" t="s">
        <v>64</v>
      </c>
      <c r="B18" s="410"/>
      <c r="C18" s="410"/>
      <c r="D18" s="415">
        <f>+'Data from DB'!B451</f>
        <v>0</v>
      </c>
      <c r="E18" s="417" t="str">
        <f>CONCATENATE('Data from DB'!B460,":",'Data from DB'!B461)</f>
        <v>:</v>
      </c>
      <c r="F18" s="400" t="s">
        <v>38</v>
      </c>
      <c r="G18" s="397">
        <f>+'Data from DB'!B475</f>
        <v>0</v>
      </c>
      <c r="H18" s="389">
        <f>+'Data from DB'!B476</f>
        <v>0</v>
      </c>
      <c r="I18" s="389">
        <f>+'Data from DB'!B477</f>
        <v>0</v>
      </c>
      <c r="J18" s="446">
        <f>+'Data from DB'!B478</f>
        <v>0</v>
      </c>
    </row>
    <row r="19" spans="1:10" ht="15.75" customHeight="1" thickBot="1">
      <c r="A19" s="411"/>
      <c r="B19" s="412"/>
      <c r="C19" s="412"/>
      <c r="D19" s="416"/>
      <c r="E19" s="418"/>
      <c r="F19" s="401"/>
      <c r="G19" s="402"/>
      <c r="H19" s="390"/>
      <c r="I19" s="390"/>
      <c r="J19" s="447"/>
    </row>
    <row r="20" spans="1:10" ht="15.75" customHeight="1" thickTop="1">
      <c r="A20" s="333"/>
      <c r="B20" s="333"/>
      <c r="C20" s="333"/>
      <c r="D20" s="333"/>
      <c r="E20" s="333"/>
      <c r="F20" s="333"/>
      <c r="G20" s="333"/>
      <c r="H20" s="333"/>
      <c r="I20" s="333"/>
      <c r="J20" s="333"/>
    </row>
    <row r="21" spans="1:10" ht="15.75" customHeight="1">
      <c r="A21" s="334"/>
      <c r="B21" s="334"/>
      <c r="C21" s="335"/>
      <c r="D21" s="336"/>
      <c r="E21" s="337"/>
      <c r="G21" s="338"/>
      <c r="H21" s="339"/>
      <c r="I21" s="339"/>
      <c r="J21" s="339"/>
    </row>
    <row r="22" spans="1:10" ht="16.5" customHeight="1">
      <c r="A22" s="382" t="s">
        <v>65</v>
      </c>
      <c r="B22" s="382"/>
      <c r="C22" s="382"/>
      <c r="D22" s="382"/>
      <c r="G22" s="338"/>
    </row>
    <row r="23" spans="1:10" ht="13.95" customHeight="1" thickBot="1">
      <c r="A23" s="340" t="s">
        <v>30</v>
      </c>
      <c r="B23" s="340"/>
      <c r="C23" s="340"/>
      <c r="D23" s="340"/>
      <c r="E23" s="341"/>
      <c r="F23" s="342"/>
      <c r="G23" s="340"/>
      <c r="H23" s="342"/>
      <c r="I23" s="342"/>
      <c r="J23" s="342"/>
    </row>
    <row r="24" spans="1:10" ht="13.95" customHeight="1" thickTop="1">
      <c r="A24" s="403" t="s">
        <v>59</v>
      </c>
      <c r="B24" s="404"/>
      <c r="C24" s="405"/>
      <c r="D24" s="437" t="s">
        <v>73</v>
      </c>
      <c r="E24" s="405"/>
      <c r="F24" s="433" t="s">
        <v>21</v>
      </c>
      <c r="G24" s="435" t="s">
        <v>69</v>
      </c>
      <c r="H24" s="413" t="s">
        <v>70</v>
      </c>
      <c r="I24" s="413" t="s">
        <v>125</v>
      </c>
      <c r="J24" s="343"/>
    </row>
    <row r="25" spans="1:10" ht="12.6" thickBot="1">
      <c r="A25" s="406"/>
      <c r="B25" s="407"/>
      <c r="C25" s="408"/>
      <c r="D25" s="438"/>
      <c r="E25" s="408"/>
      <c r="F25" s="434"/>
      <c r="G25" s="436"/>
      <c r="H25" s="414"/>
      <c r="I25" s="414"/>
      <c r="J25" s="343"/>
    </row>
    <row r="26" spans="1:10" ht="15.6" customHeight="1" thickTop="1">
      <c r="A26" s="419" t="s">
        <v>71</v>
      </c>
      <c r="B26" s="420"/>
      <c r="C26" s="421"/>
      <c r="D26" s="439" t="s">
        <v>74</v>
      </c>
      <c r="E26" s="440"/>
      <c r="F26" s="344">
        <f>+'Data from DB'!B62</f>
        <v>0</v>
      </c>
      <c r="G26" s="345">
        <f>+'Data from DB'!B63</f>
        <v>0</v>
      </c>
      <c r="H26" s="345">
        <f>+'Data from DB'!B64</f>
        <v>0</v>
      </c>
      <c r="I26" s="345">
        <f>+'Data from DB'!B65</f>
        <v>0</v>
      </c>
      <c r="J26" s="346"/>
    </row>
    <row r="27" spans="1:10" ht="13.95" customHeight="1">
      <c r="A27" s="422"/>
      <c r="B27" s="423"/>
      <c r="C27" s="424"/>
      <c r="D27" s="441" t="s">
        <v>75</v>
      </c>
      <c r="E27" s="442"/>
      <c r="F27" s="347">
        <f>+'Data from DB'!B66</f>
        <v>0</v>
      </c>
      <c r="G27" s="348">
        <f>+'Data from DB'!B67</f>
        <v>0</v>
      </c>
      <c r="H27" s="348">
        <f>+'Data from DB'!B68</f>
        <v>0</v>
      </c>
      <c r="I27" s="348">
        <f>+'Data from DB'!B69</f>
        <v>0</v>
      </c>
      <c r="J27" s="346"/>
    </row>
    <row r="28" spans="1:10" ht="12">
      <c r="A28" s="349"/>
      <c r="B28" s="350"/>
      <c r="C28" s="350"/>
      <c r="D28" s="351"/>
      <c r="E28" s="351"/>
      <c r="F28" s="352"/>
      <c r="G28" s="353"/>
      <c r="H28" s="353"/>
      <c r="I28" s="353"/>
      <c r="J28" s="346"/>
    </row>
    <row r="29" spans="1:10" ht="15" customHeight="1">
      <c r="A29" s="425" t="s">
        <v>72</v>
      </c>
      <c r="B29" s="426"/>
      <c r="C29" s="427"/>
      <c r="D29" s="441" t="s">
        <v>79</v>
      </c>
      <c r="E29" s="442"/>
      <c r="F29" s="354">
        <f>+'Data from DB'!B70</f>
        <v>0</v>
      </c>
      <c r="G29" s="348">
        <f>+'Data from DB'!B71</f>
        <v>0</v>
      </c>
      <c r="H29" s="348">
        <f>+'Data from DB'!B72</f>
        <v>0</v>
      </c>
      <c r="I29" s="348">
        <f>+'Data from DB'!B73</f>
        <v>0</v>
      </c>
      <c r="J29" s="346"/>
    </row>
    <row r="30" spans="1:10" ht="15.45" customHeight="1" thickBot="1">
      <c r="A30" s="428"/>
      <c r="B30" s="429"/>
      <c r="C30" s="430"/>
      <c r="D30" s="431" t="s">
        <v>76</v>
      </c>
      <c r="E30" s="432"/>
      <c r="F30" s="355">
        <f>+'Data from DB'!B74</f>
        <v>0</v>
      </c>
      <c r="G30" s="356">
        <f>+'Data from DB'!B75</f>
        <v>0</v>
      </c>
      <c r="H30" s="356">
        <f>+'Data from DB'!B76</f>
        <v>0</v>
      </c>
      <c r="I30" s="348">
        <f>+'Data from DB'!B77</f>
        <v>0</v>
      </c>
      <c r="J30" s="346"/>
    </row>
    <row r="31" spans="1:10" ht="12.6" thickTop="1">
      <c r="A31" s="357"/>
      <c r="B31" s="357"/>
      <c r="C31" s="357"/>
      <c r="D31" s="357"/>
      <c r="E31" s="357"/>
      <c r="F31" s="357"/>
      <c r="G31" s="357"/>
      <c r="H31" s="357"/>
      <c r="I31" s="357"/>
      <c r="J31" s="358"/>
    </row>
    <row r="32" spans="1:10" ht="15.45" customHeight="1">
      <c r="A32" s="337"/>
      <c r="B32" s="337"/>
      <c r="C32" s="337"/>
      <c r="D32" s="337"/>
      <c r="E32" s="337"/>
      <c r="F32" s="337"/>
      <c r="G32" s="337"/>
      <c r="H32" s="359"/>
      <c r="I32" s="359"/>
      <c r="J32" s="359"/>
    </row>
    <row r="33" spans="1:10" ht="15" customHeight="1"/>
    <row r="35" spans="1:10" ht="14.4" customHeight="1">
      <c r="D35" s="443"/>
      <c r="E35" s="443"/>
      <c r="F35" s="443"/>
    </row>
    <row r="36" spans="1:10">
      <c r="A36" s="361" t="s">
        <v>156</v>
      </c>
      <c r="B36" s="361"/>
      <c r="D36" s="328">
        <f>+'Data from DB'!B472</f>
        <v>0</v>
      </c>
      <c r="H36" s="328">
        <f>+'Data from DB'!B453</f>
        <v>0</v>
      </c>
    </row>
    <row r="37" spans="1:10" ht="12">
      <c r="A37" s="398"/>
      <c r="B37" s="398"/>
      <c r="C37" s="362"/>
      <c r="D37" s="399"/>
      <c r="E37" s="399"/>
      <c r="F37" s="399"/>
      <c r="H37" s="399">
        <f>CALCULATIONS!I42</f>
        <v>0</v>
      </c>
      <c r="I37" s="399"/>
      <c r="J37" s="399"/>
    </row>
    <row r="38" spans="1:10" ht="12">
      <c r="A38" s="443" t="s">
        <v>24</v>
      </c>
      <c r="B38" s="443"/>
      <c r="C38" s="337"/>
      <c r="D38" s="443" t="str">
        <f xml:space="preserve"> +" C Enginner  "  &amp; + CERTIFICATE!C3</f>
        <v xml:space="preserve"> C Enginner  0</v>
      </c>
      <c r="E38" s="443"/>
      <c r="F38" s="443"/>
      <c r="H38" s="443" t="str">
        <f xml:space="preserve"> +" Master  "  &amp; + CERTIFICATE!C3</f>
        <v xml:space="preserve"> Master  0</v>
      </c>
      <c r="I38" s="443"/>
      <c r="J38" s="443"/>
    </row>
    <row r="39" spans="1:10" ht="12">
      <c r="A39" s="360"/>
      <c r="B39" s="360"/>
      <c r="C39" s="360"/>
      <c r="D39" s="337"/>
      <c r="E39" s="360"/>
      <c r="F39" s="360"/>
      <c r="G39" s="360"/>
      <c r="H39" s="360"/>
      <c r="I39" s="360"/>
      <c r="J39" s="360"/>
    </row>
  </sheetData>
  <mergeCells count="70">
    <mergeCell ref="D35:F35"/>
    <mergeCell ref="H38:J38"/>
    <mergeCell ref="A5:J5"/>
    <mergeCell ref="A38:B38"/>
    <mergeCell ref="D37:F37"/>
    <mergeCell ref="D38:F38"/>
    <mergeCell ref="J8:J9"/>
    <mergeCell ref="J10:J11"/>
    <mergeCell ref="J12:J13"/>
    <mergeCell ref="J14:J15"/>
    <mergeCell ref="J16:J17"/>
    <mergeCell ref="J18:J19"/>
    <mergeCell ref="I8:I9"/>
    <mergeCell ref="I10:I11"/>
    <mergeCell ref="I12:I13"/>
    <mergeCell ref="I14:I15"/>
    <mergeCell ref="I16:I17"/>
    <mergeCell ref="D30:E30"/>
    <mergeCell ref="F24:F25"/>
    <mergeCell ref="G24:G25"/>
    <mergeCell ref="D24:E25"/>
    <mergeCell ref="D26:E26"/>
    <mergeCell ref="I24:I25"/>
    <mergeCell ref="D27:E27"/>
    <mergeCell ref="D29:E29"/>
    <mergeCell ref="A37:B37"/>
    <mergeCell ref="H37:J37"/>
    <mergeCell ref="E10:E11"/>
    <mergeCell ref="F10:F11"/>
    <mergeCell ref="G10:G11"/>
    <mergeCell ref="F18:F19"/>
    <mergeCell ref="G18:G19"/>
    <mergeCell ref="A24:C25"/>
    <mergeCell ref="A18:C19"/>
    <mergeCell ref="A12:C13"/>
    <mergeCell ref="H24:H25"/>
    <mergeCell ref="I18:I19"/>
    <mergeCell ref="D18:D19"/>
    <mergeCell ref="E18:E19"/>
    <mergeCell ref="A26:C27"/>
    <mergeCell ref="A29:C30"/>
    <mergeCell ref="G8:G9"/>
    <mergeCell ref="D16:D17"/>
    <mergeCell ref="E16:E17"/>
    <mergeCell ref="D14:D15"/>
    <mergeCell ref="E14:E15"/>
    <mergeCell ref="F16:F17"/>
    <mergeCell ref="G14:G15"/>
    <mergeCell ref="G16:G17"/>
    <mergeCell ref="F14:F15"/>
    <mergeCell ref="D12:D13"/>
    <mergeCell ref="E12:E13"/>
    <mergeCell ref="F12:F13"/>
    <mergeCell ref="G12:G13"/>
    <mergeCell ref="C2:G2"/>
    <mergeCell ref="A22:D22"/>
    <mergeCell ref="H8:H9"/>
    <mergeCell ref="A8:C9"/>
    <mergeCell ref="D8:D9"/>
    <mergeCell ref="E8:E9"/>
    <mergeCell ref="F8:F9"/>
    <mergeCell ref="A16:C17"/>
    <mergeCell ref="H12:H13"/>
    <mergeCell ref="H14:H15"/>
    <mergeCell ref="H10:H11"/>
    <mergeCell ref="H18:H19"/>
    <mergeCell ref="H16:H17"/>
    <mergeCell ref="A14:C15"/>
    <mergeCell ref="A10:C11"/>
    <mergeCell ref="D10:D11"/>
  </mergeCells>
  <pageMargins left="0.25" right="0.25" top="0.75" bottom="0.75" header="0.3" footer="0.3"/>
  <pageSetup orientation="portrait" r:id="rId1"/>
  <headerFooter alignWithMargins="0">
    <oddFooter>&amp;L&amp;"Palatino Linotype,Normal"&amp;9 MV NORD ATOLL ON HIRE  CERTIFICATE&amp;C &amp;R&amp;"Palatino Linotype,Normal"&amp;9Page 3 of 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7D66-D690-4ADC-A32C-4269C01263FB}">
  <dimension ref="A1:B478"/>
  <sheetViews>
    <sheetView workbookViewId="0">
      <selection activeCell="C7" sqref="C7"/>
    </sheetView>
  </sheetViews>
  <sheetFormatPr defaultRowHeight="14.4"/>
  <cols>
    <col min="1" max="1" width="29" bestFit="1" customWidth="1"/>
  </cols>
  <sheetData>
    <row r="1" spans="1:2">
      <c r="A1" t="s">
        <v>627</v>
      </c>
      <c r="B1" t="s">
        <v>628</v>
      </c>
    </row>
    <row r="2" spans="1:2">
      <c r="A2" t="s">
        <v>159</v>
      </c>
    </row>
    <row r="3" spans="1:2">
      <c r="A3" t="s">
        <v>160</v>
      </c>
    </row>
    <row r="4" spans="1:2">
      <c r="A4" t="s">
        <v>161</v>
      </c>
    </row>
    <row r="5" spans="1:2">
      <c r="A5" t="s">
        <v>162</v>
      </c>
    </row>
    <row r="6" spans="1:2">
      <c r="A6" t="s">
        <v>163</v>
      </c>
    </row>
    <row r="7" spans="1:2">
      <c r="A7" t="s">
        <v>164</v>
      </c>
    </row>
    <row r="8" spans="1:2">
      <c r="A8" t="s">
        <v>165</v>
      </c>
    </row>
    <row r="9" spans="1:2">
      <c r="A9" t="s">
        <v>166</v>
      </c>
    </row>
    <row r="10" spans="1:2">
      <c r="A10" t="s">
        <v>167</v>
      </c>
    </row>
    <row r="11" spans="1:2">
      <c r="A11" t="s">
        <v>168</v>
      </c>
    </row>
    <row r="12" spans="1:2">
      <c r="A12" t="s">
        <v>169</v>
      </c>
    </row>
    <row r="13" spans="1:2">
      <c r="A13" s="104" t="s">
        <v>170</v>
      </c>
    </row>
    <row r="14" spans="1:2">
      <c r="A14" t="s">
        <v>171</v>
      </c>
    </row>
    <row r="15" spans="1:2">
      <c r="A15" t="s">
        <v>172</v>
      </c>
    </row>
    <row r="16" spans="1:2">
      <c r="A16" t="s">
        <v>173</v>
      </c>
    </row>
    <row r="17" spans="1:1">
      <c r="A17" t="s">
        <v>174</v>
      </c>
    </row>
    <row r="18" spans="1:1">
      <c r="A18" t="s">
        <v>175</v>
      </c>
    </row>
    <row r="19" spans="1:1">
      <c r="A19" t="s">
        <v>176</v>
      </c>
    </row>
    <row r="20" spans="1:1">
      <c r="A20" t="s">
        <v>177</v>
      </c>
    </row>
    <row r="21" spans="1:1">
      <c r="A21" t="s">
        <v>178</v>
      </c>
    </row>
    <row r="22" spans="1:1">
      <c r="A22" t="s">
        <v>179</v>
      </c>
    </row>
    <row r="23" spans="1:1">
      <c r="A23" t="s">
        <v>180</v>
      </c>
    </row>
    <row r="24" spans="1:1">
      <c r="A24" t="s">
        <v>181</v>
      </c>
    </row>
    <row r="25" spans="1:1">
      <c r="A25" t="s">
        <v>182</v>
      </c>
    </row>
    <row r="26" spans="1:1">
      <c r="A26" t="s">
        <v>183</v>
      </c>
    </row>
    <row r="27" spans="1:1">
      <c r="A27" t="s">
        <v>184</v>
      </c>
    </row>
    <row r="28" spans="1:1">
      <c r="A28" t="s">
        <v>185</v>
      </c>
    </row>
    <row r="29" spans="1:1">
      <c r="A29" t="s">
        <v>186</v>
      </c>
    </row>
    <row r="30" spans="1:1">
      <c r="A30" t="s">
        <v>187</v>
      </c>
    </row>
    <row r="31" spans="1:1">
      <c r="A31" t="s">
        <v>188</v>
      </c>
    </row>
    <row r="32" spans="1:1">
      <c r="A32" t="s">
        <v>189</v>
      </c>
    </row>
    <row r="33" spans="1:1">
      <c r="A33" t="s">
        <v>190</v>
      </c>
    </row>
    <row r="34" spans="1:1">
      <c r="A34" t="s">
        <v>191</v>
      </c>
    </row>
    <row r="35" spans="1:1">
      <c r="A35" t="s">
        <v>192</v>
      </c>
    </row>
    <row r="36" spans="1:1">
      <c r="A36" t="s">
        <v>193</v>
      </c>
    </row>
    <row r="37" spans="1:1">
      <c r="A37" t="s">
        <v>194</v>
      </c>
    </row>
    <row r="38" spans="1:1">
      <c r="A38" t="s">
        <v>195</v>
      </c>
    </row>
    <row r="39" spans="1:1">
      <c r="A39" t="s">
        <v>196</v>
      </c>
    </row>
    <row r="40" spans="1:1">
      <c r="A40" t="s">
        <v>197</v>
      </c>
    </row>
    <row r="41" spans="1:1">
      <c r="A41" t="s">
        <v>198</v>
      </c>
    </row>
    <row r="42" spans="1:1">
      <c r="A42" t="s">
        <v>199</v>
      </c>
    </row>
    <row r="43" spans="1:1">
      <c r="A43" t="s">
        <v>200</v>
      </c>
    </row>
    <row r="44" spans="1:1">
      <c r="A44" t="s">
        <v>201</v>
      </c>
    </row>
    <row r="45" spans="1:1">
      <c r="A45" t="s">
        <v>202</v>
      </c>
    </row>
    <row r="46" spans="1:1">
      <c r="A46" t="s">
        <v>203</v>
      </c>
    </row>
    <row r="47" spans="1:1">
      <c r="A47" t="s">
        <v>204</v>
      </c>
    </row>
    <row r="48" spans="1:1">
      <c r="A48" t="s">
        <v>205</v>
      </c>
    </row>
    <row r="49" spans="1:1">
      <c r="A49" t="s">
        <v>206</v>
      </c>
    </row>
    <row r="50" spans="1:1">
      <c r="A50" t="s">
        <v>207</v>
      </c>
    </row>
    <row r="51" spans="1:1">
      <c r="A51" t="s">
        <v>208</v>
      </c>
    </row>
    <row r="52" spans="1:1">
      <c r="A52" t="s">
        <v>209</v>
      </c>
    </row>
    <row r="53" spans="1:1">
      <c r="A53" t="s">
        <v>210</v>
      </c>
    </row>
    <row r="54" spans="1:1">
      <c r="A54" t="s">
        <v>211</v>
      </c>
    </row>
    <row r="55" spans="1:1">
      <c r="A55" t="s">
        <v>212</v>
      </c>
    </row>
    <row r="56" spans="1:1">
      <c r="A56" t="s">
        <v>213</v>
      </c>
    </row>
    <row r="57" spans="1:1">
      <c r="A57" t="s">
        <v>214</v>
      </c>
    </row>
    <row r="58" spans="1:1">
      <c r="A58" t="s">
        <v>215</v>
      </c>
    </row>
    <row r="59" spans="1:1">
      <c r="A59" t="s">
        <v>216</v>
      </c>
    </row>
    <row r="60" spans="1:1">
      <c r="A60" t="s">
        <v>217</v>
      </c>
    </row>
    <row r="61" spans="1:1">
      <c r="A61" t="s">
        <v>218</v>
      </c>
    </row>
    <row r="62" spans="1:1">
      <c r="A62" t="s">
        <v>219</v>
      </c>
    </row>
    <row r="63" spans="1:1">
      <c r="A63" t="s">
        <v>220</v>
      </c>
    </row>
    <row r="64" spans="1:1">
      <c r="A64" t="s">
        <v>221</v>
      </c>
    </row>
    <row r="65" spans="1:1">
      <c r="A65" t="s">
        <v>222</v>
      </c>
    </row>
    <row r="66" spans="1:1">
      <c r="A66" t="s">
        <v>223</v>
      </c>
    </row>
    <row r="67" spans="1:1">
      <c r="A67" t="s">
        <v>224</v>
      </c>
    </row>
    <row r="68" spans="1:1">
      <c r="A68" t="s">
        <v>225</v>
      </c>
    </row>
    <row r="69" spans="1:1">
      <c r="A69" t="s">
        <v>226</v>
      </c>
    </row>
    <row r="70" spans="1:1">
      <c r="A70" t="s">
        <v>227</v>
      </c>
    </row>
    <row r="71" spans="1:1">
      <c r="A71" t="s">
        <v>228</v>
      </c>
    </row>
    <row r="72" spans="1:1">
      <c r="A72" t="s">
        <v>229</v>
      </c>
    </row>
    <row r="73" spans="1:1">
      <c r="A73" t="s">
        <v>230</v>
      </c>
    </row>
    <row r="74" spans="1:1">
      <c r="A74" t="s">
        <v>231</v>
      </c>
    </row>
    <row r="75" spans="1:1">
      <c r="A75" t="s">
        <v>232</v>
      </c>
    </row>
    <row r="76" spans="1:1">
      <c r="A76" t="s">
        <v>233</v>
      </c>
    </row>
    <row r="77" spans="1:1">
      <c r="A77" t="s">
        <v>234</v>
      </c>
    </row>
    <row r="78" spans="1:1">
      <c r="A78" t="s">
        <v>235</v>
      </c>
    </row>
    <row r="79" spans="1:1">
      <c r="A79" t="s">
        <v>236</v>
      </c>
    </row>
    <row r="80" spans="1:1">
      <c r="A80" t="s">
        <v>237</v>
      </c>
    </row>
    <row r="81" spans="1:1">
      <c r="A81" t="s">
        <v>238</v>
      </c>
    </row>
    <row r="82" spans="1:1">
      <c r="A82" t="s">
        <v>239</v>
      </c>
    </row>
    <row r="83" spans="1:1">
      <c r="A83" t="s">
        <v>240</v>
      </c>
    </row>
    <row r="84" spans="1:1">
      <c r="A84" t="s">
        <v>241</v>
      </c>
    </row>
    <row r="85" spans="1:1">
      <c r="A85" t="s">
        <v>242</v>
      </c>
    </row>
    <row r="86" spans="1:1">
      <c r="A86" t="s">
        <v>243</v>
      </c>
    </row>
    <row r="87" spans="1:1">
      <c r="A87" t="s">
        <v>244</v>
      </c>
    </row>
    <row r="88" spans="1:1">
      <c r="A88" t="s">
        <v>245</v>
      </c>
    </row>
    <row r="89" spans="1:1">
      <c r="A89" t="s">
        <v>246</v>
      </c>
    </row>
    <row r="90" spans="1:1">
      <c r="A90" t="s">
        <v>247</v>
      </c>
    </row>
    <row r="91" spans="1:1">
      <c r="A91" t="s">
        <v>248</v>
      </c>
    </row>
    <row r="92" spans="1:1">
      <c r="A92" t="s">
        <v>249</v>
      </c>
    </row>
    <row r="93" spans="1:1">
      <c r="A93" t="s">
        <v>250</v>
      </c>
    </row>
    <row r="94" spans="1:1">
      <c r="A94" t="s">
        <v>251</v>
      </c>
    </row>
    <row r="95" spans="1:1">
      <c r="A95" t="s">
        <v>252</v>
      </c>
    </row>
    <row r="96" spans="1:1">
      <c r="A96" t="s">
        <v>253</v>
      </c>
    </row>
    <row r="97" spans="1:1">
      <c r="A97" t="s">
        <v>254</v>
      </c>
    </row>
    <row r="98" spans="1:1">
      <c r="A98" t="s">
        <v>255</v>
      </c>
    </row>
    <row r="99" spans="1:1">
      <c r="A99" t="s">
        <v>256</v>
      </c>
    </row>
    <row r="100" spans="1:1">
      <c r="A100" t="s">
        <v>257</v>
      </c>
    </row>
    <row r="101" spans="1:1">
      <c r="A101" t="s">
        <v>258</v>
      </c>
    </row>
    <row r="102" spans="1:1">
      <c r="A102" t="s">
        <v>259</v>
      </c>
    </row>
    <row r="103" spans="1:1">
      <c r="A103" t="s">
        <v>260</v>
      </c>
    </row>
    <row r="104" spans="1:1">
      <c r="A104" t="s">
        <v>261</v>
      </c>
    </row>
    <row r="105" spans="1:1">
      <c r="A105" t="s">
        <v>262</v>
      </c>
    </row>
    <row r="106" spans="1:1">
      <c r="A106" t="s">
        <v>263</v>
      </c>
    </row>
    <row r="107" spans="1:1">
      <c r="A107" t="s">
        <v>264</v>
      </c>
    </row>
    <row r="108" spans="1:1">
      <c r="A108" t="s">
        <v>265</v>
      </c>
    </row>
    <row r="109" spans="1:1">
      <c r="A109" t="s">
        <v>266</v>
      </c>
    </row>
    <row r="110" spans="1:1">
      <c r="A110" t="s">
        <v>267</v>
      </c>
    </row>
    <row r="111" spans="1:1">
      <c r="A111" t="s">
        <v>268</v>
      </c>
    </row>
    <row r="112" spans="1:1">
      <c r="A112" t="s">
        <v>269</v>
      </c>
    </row>
    <row r="113" spans="1:1">
      <c r="A113" t="s">
        <v>270</v>
      </c>
    </row>
    <row r="114" spans="1:1">
      <c r="A114" t="s">
        <v>271</v>
      </c>
    </row>
    <row r="115" spans="1:1">
      <c r="A115" t="s">
        <v>272</v>
      </c>
    </row>
    <row r="116" spans="1:1">
      <c r="A116" t="s">
        <v>273</v>
      </c>
    </row>
    <row r="117" spans="1:1">
      <c r="A117" t="s">
        <v>274</v>
      </c>
    </row>
    <row r="118" spans="1:1">
      <c r="A118" t="s">
        <v>275</v>
      </c>
    </row>
    <row r="119" spans="1:1">
      <c r="A119" t="s">
        <v>276</v>
      </c>
    </row>
    <row r="120" spans="1:1">
      <c r="A120" t="s">
        <v>277</v>
      </c>
    </row>
    <row r="121" spans="1:1">
      <c r="A121" t="s">
        <v>278</v>
      </c>
    </row>
    <row r="122" spans="1:1">
      <c r="A122" t="s">
        <v>279</v>
      </c>
    </row>
    <row r="123" spans="1:1">
      <c r="A123" t="s">
        <v>280</v>
      </c>
    </row>
    <row r="124" spans="1:1">
      <c r="A124" t="s">
        <v>281</v>
      </c>
    </row>
    <row r="125" spans="1:1">
      <c r="A125" t="s">
        <v>282</v>
      </c>
    </row>
    <row r="126" spans="1:1">
      <c r="A126" t="s">
        <v>283</v>
      </c>
    </row>
    <row r="127" spans="1:1">
      <c r="A127" t="s">
        <v>284</v>
      </c>
    </row>
    <row r="128" spans="1:1">
      <c r="A128" t="s">
        <v>285</v>
      </c>
    </row>
    <row r="129" spans="1:1">
      <c r="A129" t="s">
        <v>286</v>
      </c>
    </row>
    <row r="130" spans="1:1">
      <c r="A130" t="s">
        <v>287</v>
      </c>
    </row>
    <row r="131" spans="1:1">
      <c r="A131" t="s">
        <v>288</v>
      </c>
    </row>
    <row r="132" spans="1:1">
      <c r="A132" t="s">
        <v>289</v>
      </c>
    </row>
    <row r="133" spans="1:1">
      <c r="A133" t="s">
        <v>290</v>
      </c>
    </row>
    <row r="134" spans="1:1">
      <c r="A134" t="s">
        <v>291</v>
      </c>
    </row>
    <row r="135" spans="1:1">
      <c r="A135" t="s">
        <v>292</v>
      </c>
    </row>
    <row r="136" spans="1:1">
      <c r="A136" t="s">
        <v>293</v>
      </c>
    </row>
    <row r="137" spans="1:1">
      <c r="A137" t="s">
        <v>294</v>
      </c>
    </row>
    <row r="138" spans="1:1">
      <c r="A138" t="s">
        <v>295</v>
      </c>
    </row>
    <row r="139" spans="1:1">
      <c r="A139" t="s">
        <v>296</v>
      </c>
    </row>
    <row r="140" spans="1:1">
      <c r="A140" t="s">
        <v>297</v>
      </c>
    </row>
    <row r="141" spans="1:1">
      <c r="A141" t="s">
        <v>298</v>
      </c>
    </row>
    <row r="142" spans="1:1">
      <c r="A142" t="s">
        <v>299</v>
      </c>
    </row>
    <row r="143" spans="1:1">
      <c r="A143" t="s">
        <v>300</v>
      </c>
    </row>
    <row r="144" spans="1:1">
      <c r="A144" t="s">
        <v>301</v>
      </c>
    </row>
    <row r="145" spans="1:1">
      <c r="A145" t="s">
        <v>302</v>
      </c>
    </row>
    <row r="146" spans="1:1">
      <c r="A146" t="s">
        <v>303</v>
      </c>
    </row>
    <row r="147" spans="1:1">
      <c r="A147" t="s">
        <v>304</v>
      </c>
    </row>
    <row r="148" spans="1:1">
      <c r="A148" t="s">
        <v>305</v>
      </c>
    </row>
    <row r="149" spans="1:1">
      <c r="A149" t="s">
        <v>306</v>
      </c>
    </row>
    <row r="150" spans="1:1">
      <c r="A150" t="s">
        <v>307</v>
      </c>
    </row>
    <row r="151" spans="1:1">
      <c r="A151" t="s">
        <v>308</v>
      </c>
    </row>
    <row r="152" spans="1:1">
      <c r="A152" t="s">
        <v>309</v>
      </c>
    </row>
    <row r="153" spans="1:1">
      <c r="A153" t="s">
        <v>310</v>
      </c>
    </row>
    <row r="154" spans="1:1">
      <c r="A154" t="s">
        <v>311</v>
      </c>
    </row>
    <row r="155" spans="1:1">
      <c r="A155" t="s">
        <v>312</v>
      </c>
    </row>
    <row r="156" spans="1:1">
      <c r="A156" t="s">
        <v>313</v>
      </c>
    </row>
    <row r="157" spans="1:1">
      <c r="A157" t="s">
        <v>314</v>
      </c>
    </row>
    <row r="158" spans="1:1">
      <c r="A158" t="s">
        <v>315</v>
      </c>
    </row>
    <row r="159" spans="1:1">
      <c r="A159" t="s">
        <v>316</v>
      </c>
    </row>
    <row r="160" spans="1:1">
      <c r="A160" t="s">
        <v>317</v>
      </c>
    </row>
    <row r="161" spans="1:1">
      <c r="A161" t="s">
        <v>318</v>
      </c>
    </row>
    <row r="162" spans="1:1">
      <c r="A162" t="s">
        <v>319</v>
      </c>
    </row>
    <row r="163" spans="1:1">
      <c r="A163" t="s">
        <v>320</v>
      </c>
    </row>
    <row r="164" spans="1:1">
      <c r="A164" t="s">
        <v>321</v>
      </c>
    </row>
    <row r="165" spans="1:1">
      <c r="A165" t="s">
        <v>322</v>
      </c>
    </row>
    <row r="166" spans="1:1">
      <c r="A166" t="s">
        <v>323</v>
      </c>
    </row>
    <row r="167" spans="1:1">
      <c r="A167" t="s">
        <v>324</v>
      </c>
    </row>
    <row r="168" spans="1:1">
      <c r="A168" t="s">
        <v>325</v>
      </c>
    </row>
    <row r="169" spans="1:1">
      <c r="A169" t="s">
        <v>326</v>
      </c>
    </row>
    <row r="170" spans="1:1">
      <c r="A170" t="s">
        <v>327</v>
      </c>
    </row>
    <row r="171" spans="1:1">
      <c r="A171" t="s">
        <v>328</v>
      </c>
    </row>
    <row r="172" spans="1:1">
      <c r="A172" t="s">
        <v>329</v>
      </c>
    </row>
    <row r="173" spans="1:1">
      <c r="A173" t="s">
        <v>330</v>
      </c>
    </row>
    <row r="174" spans="1:1">
      <c r="A174" t="s">
        <v>331</v>
      </c>
    </row>
    <row r="175" spans="1:1">
      <c r="A175" t="s">
        <v>332</v>
      </c>
    </row>
    <row r="176" spans="1:1">
      <c r="A176" t="s">
        <v>333</v>
      </c>
    </row>
    <row r="177" spans="1:1">
      <c r="A177" t="s">
        <v>334</v>
      </c>
    </row>
    <row r="178" spans="1:1">
      <c r="A178" t="s">
        <v>335</v>
      </c>
    </row>
    <row r="179" spans="1:1">
      <c r="A179" t="s">
        <v>336</v>
      </c>
    </row>
    <row r="180" spans="1:1">
      <c r="A180" t="s">
        <v>337</v>
      </c>
    </row>
    <row r="181" spans="1:1">
      <c r="A181" t="s">
        <v>338</v>
      </c>
    </row>
    <row r="182" spans="1:1">
      <c r="A182" t="s">
        <v>339</v>
      </c>
    </row>
    <row r="183" spans="1:1">
      <c r="A183" t="s">
        <v>340</v>
      </c>
    </row>
    <row r="184" spans="1:1">
      <c r="A184" t="s">
        <v>341</v>
      </c>
    </row>
    <row r="185" spans="1:1">
      <c r="A185" t="s">
        <v>342</v>
      </c>
    </row>
    <row r="186" spans="1:1">
      <c r="A186" t="s">
        <v>343</v>
      </c>
    </row>
    <row r="187" spans="1:1">
      <c r="A187" t="s">
        <v>344</v>
      </c>
    </row>
    <row r="188" spans="1:1">
      <c r="A188" t="s">
        <v>345</v>
      </c>
    </row>
    <row r="189" spans="1:1">
      <c r="A189" t="s">
        <v>346</v>
      </c>
    </row>
    <row r="190" spans="1:1">
      <c r="A190" t="s">
        <v>347</v>
      </c>
    </row>
    <row r="191" spans="1:1">
      <c r="A191" t="s">
        <v>348</v>
      </c>
    </row>
    <row r="192" spans="1:1">
      <c r="A192" t="s">
        <v>349</v>
      </c>
    </row>
    <row r="193" spans="1:1">
      <c r="A193" t="s">
        <v>350</v>
      </c>
    </row>
    <row r="194" spans="1:1">
      <c r="A194" t="s">
        <v>351</v>
      </c>
    </row>
    <row r="195" spans="1:1">
      <c r="A195" t="s">
        <v>352</v>
      </c>
    </row>
    <row r="196" spans="1:1">
      <c r="A196" t="s">
        <v>353</v>
      </c>
    </row>
    <row r="197" spans="1:1">
      <c r="A197" t="s">
        <v>354</v>
      </c>
    </row>
    <row r="198" spans="1:1">
      <c r="A198" t="s">
        <v>355</v>
      </c>
    </row>
    <row r="199" spans="1:1">
      <c r="A199" t="s">
        <v>356</v>
      </c>
    </row>
    <row r="200" spans="1:1">
      <c r="A200" t="s">
        <v>357</v>
      </c>
    </row>
    <row r="201" spans="1:1">
      <c r="A201" t="s">
        <v>358</v>
      </c>
    </row>
    <row r="202" spans="1:1">
      <c r="A202" t="s">
        <v>359</v>
      </c>
    </row>
    <row r="203" spans="1:1">
      <c r="A203" t="s">
        <v>360</v>
      </c>
    </row>
    <row r="204" spans="1:1">
      <c r="A204" t="s">
        <v>361</v>
      </c>
    </row>
    <row r="205" spans="1:1">
      <c r="A205" t="s">
        <v>362</v>
      </c>
    </row>
    <row r="206" spans="1:1">
      <c r="A206" t="s">
        <v>363</v>
      </c>
    </row>
    <row r="207" spans="1:1">
      <c r="A207" t="s">
        <v>364</v>
      </c>
    </row>
    <row r="208" spans="1:1">
      <c r="A208" t="s">
        <v>365</v>
      </c>
    </row>
    <row r="209" spans="1:1">
      <c r="A209" t="s">
        <v>366</v>
      </c>
    </row>
    <row r="210" spans="1:1">
      <c r="A210" t="s">
        <v>367</v>
      </c>
    </row>
    <row r="211" spans="1:1">
      <c r="A211" t="s">
        <v>368</v>
      </c>
    </row>
    <row r="212" spans="1:1">
      <c r="A212" t="s">
        <v>369</v>
      </c>
    </row>
    <row r="213" spans="1:1">
      <c r="A213" t="s">
        <v>370</v>
      </c>
    </row>
    <row r="214" spans="1:1">
      <c r="A214" t="s">
        <v>371</v>
      </c>
    </row>
    <row r="215" spans="1:1">
      <c r="A215" t="s">
        <v>372</v>
      </c>
    </row>
    <row r="216" spans="1:1">
      <c r="A216" t="s">
        <v>373</v>
      </c>
    </row>
    <row r="217" spans="1:1">
      <c r="A217" t="s">
        <v>374</v>
      </c>
    </row>
    <row r="218" spans="1:1">
      <c r="A218" t="s">
        <v>375</v>
      </c>
    </row>
    <row r="219" spans="1:1">
      <c r="A219" t="s">
        <v>376</v>
      </c>
    </row>
    <row r="220" spans="1:1">
      <c r="A220" t="s">
        <v>377</v>
      </c>
    </row>
    <row r="221" spans="1:1">
      <c r="A221" t="s">
        <v>378</v>
      </c>
    </row>
    <row r="222" spans="1:1">
      <c r="A222" t="s">
        <v>379</v>
      </c>
    </row>
    <row r="223" spans="1:1">
      <c r="A223" t="s">
        <v>380</v>
      </c>
    </row>
    <row r="224" spans="1:1">
      <c r="A224" t="s">
        <v>381</v>
      </c>
    </row>
    <row r="225" spans="1:1">
      <c r="A225" t="s">
        <v>382</v>
      </c>
    </row>
    <row r="226" spans="1:1">
      <c r="A226" t="s">
        <v>383</v>
      </c>
    </row>
    <row r="227" spans="1:1">
      <c r="A227" t="s">
        <v>384</v>
      </c>
    </row>
    <row r="228" spans="1:1">
      <c r="A228" t="s">
        <v>385</v>
      </c>
    </row>
    <row r="229" spans="1:1">
      <c r="A229" t="s">
        <v>386</v>
      </c>
    </row>
    <row r="230" spans="1:1">
      <c r="A230" t="s">
        <v>387</v>
      </c>
    </row>
    <row r="231" spans="1:1">
      <c r="A231" t="s">
        <v>388</v>
      </c>
    </row>
    <row r="232" spans="1:1">
      <c r="A232" t="s">
        <v>389</v>
      </c>
    </row>
    <row r="233" spans="1:1">
      <c r="A233" t="s">
        <v>390</v>
      </c>
    </row>
    <row r="234" spans="1:1">
      <c r="A234" t="s">
        <v>391</v>
      </c>
    </row>
    <row r="235" spans="1:1">
      <c r="A235" t="s">
        <v>392</v>
      </c>
    </row>
    <row r="236" spans="1:1">
      <c r="A236" t="s">
        <v>393</v>
      </c>
    </row>
    <row r="237" spans="1:1">
      <c r="A237" t="s">
        <v>394</v>
      </c>
    </row>
    <row r="238" spans="1:1">
      <c r="A238" t="s">
        <v>395</v>
      </c>
    </row>
    <row r="239" spans="1:1">
      <c r="A239" t="s">
        <v>396</v>
      </c>
    </row>
    <row r="240" spans="1:1">
      <c r="A240" t="s">
        <v>397</v>
      </c>
    </row>
    <row r="241" spans="1:1">
      <c r="A241" t="s">
        <v>398</v>
      </c>
    </row>
    <row r="242" spans="1:1">
      <c r="A242" t="s">
        <v>399</v>
      </c>
    </row>
    <row r="243" spans="1:1">
      <c r="A243" t="s">
        <v>400</v>
      </c>
    </row>
    <row r="244" spans="1:1">
      <c r="A244" t="s">
        <v>401</v>
      </c>
    </row>
    <row r="245" spans="1:1">
      <c r="A245" t="s">
        <v>402</v>
      </c>
    </row>
    <row r="246" spans="1:1">
      <c r="A246" t="s">
        <v>403</v>
      </c>
    </row>
    <row r="247" spans="1:1">
      <c r="A247" t="s">
        <v>404</v>
      </c>
    </row>
    <row r="248" spans="1:1">
      <c r="A248" t="s">
        <v>405</v>
      </c>
    </row>
    <row r="249" spans="1:1">
      <c r="A249" t="s">
        <v>406</v>
      </c>
    </row>
    <row r="250" spans="1:1">
      <c r="A250" t="s">
        <v>407</v>
      </c>
    </row>
    <row r="251" spans="1:1">
      <c r="A251" t="s">
        <v>408</v>
      </c>
    </row>
    <row r="252" spans="1:1">
      <c r="A252" t="s">
        <v>409</v>
      </c>
    </row>
    <row r="253" spans="1:1">
      <c r="A253" t="s">
        <v>410</v>
      </c>
    </row>
    <row r="254" spans="1:1">
      <c r="A254" t="s">
        <v>411</v>
      </c>
    </row>
    <row r="255" spans="1:1">
      <c r="A255" t="s">
        <v>412</v>
      </c>
    </row>
    <row r="256" spans="1:1">
      <c r="A256" t="s">
        <v>413</v>
      </c>
    </row>
    <row r="257" spans="1:1">
      <c r="A257" t="s">
        <v>414</v>
      </c>
    </row>
    <row r="258" spans="1:1">
      <c r="A258" t="s">
        <v>415</v>
      </c>
    </row>
    <row r="259" spans="1:1">
      <c r="A259" t="s">
        <v>416</v>
      </c>
    </row>
    <row r="260" spans="1:1">
      <c r="A260" t="s">
        <v>417</v>
      </c>
    </row>
    <row r="261" spans="1:1">
      <c r="A261" t="s">
        <v>418</v>
      </c>
    </row>
    <row r="262" spans="1:1">
      <c r="A262" t="s">
        <v>419</v>
      </c>
    </row>
    <row r="263" spans="1:1">
      <c r="A263" t="s">
        <v>420</v>
      </c>
    </row>
    <row r="264" spans="1:1">
      <c r="A264" t="s">
        <v>421</v>
      </c>
    </row>
    <row r="265" spans="1:1">
      <c r="A265" t="s">
        <v>422</v>
      </c>
    </row>
    <row r="266" spans="1:1">
      <c r="A266" t="s">
        <v>423</v>
      </c>
    </row>
    <row r="267" spans="1:1">
      <c r="A267" t="s">
        <v>424</v>
      </c>
    </row>
    <row r="268" spans="1:1">
      <c r="A268" t="s">
        <v>425</v>
      </c>
    </row>
    <row r="269" spans="1:1">
      <c r="A269" t="s">
        <v>426</v>
      </c>
    </row>
    <row r="270" spans="1:1">
      <c r="A270" t="s">
        <v>427</v>
      </c>
    </row>
    <row r="271" spans="1:1">
      <c r="A271" t="s">
        <v>428</v>
      </c>
    </row>
    <row r="272" spans="1:1">
      <c r="A272" t="s">
        <v>429</v>
      </c>
    </row>
    <row r="273" spans="1:1">
      <c r="A273" t="s">
        <v>430</v>
      </c>
    </row>
    <row r="274" spans="1:1">
      <c r="A274" t="s">
        <v>431</v>
      </c>
    </row>
    <row r="275" spans="1:1">
      <c r="A275" t="s">
        <v>432</v>
      </c>
    </row>
    <row r="276" spans="1:1">
      <c r="A276" t="s">
        <v>433</v>
      </c>
    </row>
    <row r="277" spans="1:1">
      <c r="A277" t="s">
        <v>434</v>
      </c>
    </row>
    <row r="278" spans="1:1">
      <c r="A278" t="s">
        <v>435</v>
      </c>
    </row>
    <row r="279" spans="1:1">
      <c r="A279" t="s">
        <v>436</v>
      </c>
    </row>
    <row r="280" spans="1:1">
      <c r="A280" t="s">
        <v>437</v>
      </c>
    </row>
    <row r="281" spans="1:1">
      <c r="A281" t="s">
        <v>438</v>
      </c>
    </row>
    <row r="282" spans="1:1">
      <c r="A282" t="s">
        <v>439</v>
      </c>
    </row>
    <row r="283" spans="1:1">
      <c r="A283" t="s">
        <v>440</v>
      </c>
    </row>
    <row r="284" spans="1:1">
      <c r="A284" t="s">
        <v>441</v>
      </c>
    </row>
    <row r="285" spans="1:1">
      <c r="A285" t="s">
        <v>442</v>
      </c>
    </row>
    <row r="286" spans="1:1">
      <c r="A286" t="s">
        <v>443</v>
      </c>
    </row>
    <row r="287" spans="1:1">
      <c r="A287" t="s">
        <v>444</v>
      </c>
    </row>
    <row r="288" spans="1:1">
      <c r="A288" t="s">
        <v>445</v>
      </c>
    </row>
    <row r="289" spans="1:1">
      <c r="A289" t="s">
        <v>446</v>
      </c>
    </row>
    <row r="290" spans="1:1">
      <c r="A290" t="s">
        <v>447</v>
      </c>
    </row>
    <row r="291" spans="1:1">
      <c r="A291" t="s">
        <v>448</v>
      </c>
    </row>
    <row r="292" spans="1:1">
      <c r="A292" t="s">
        <v>449</v>
      </c>
    </row>
    <row r="293" spans="1:1">
      <c r="A293" t="s">
        <v>450</v>
      </c>
    </row>
    <row r="294" spans="1:1">
      <c r="A294" t="s">
        <v>451</v>
      </c>
    </row>
    <row r="295" spans="1:1">
      <c r="A295" t="s">
        <v>452</v>
      </c>
    </row>
    <row r="296" spans="1:1">
      <c r="A296" t="s">
        <v>453</v>
      </c>
    </row>
    <row r="297" spans="1:1">
      <c r="A297" t="s">
        <v>454</v>
      </c>
    </row>
    <row r="298" spans="1:1">
      <c r="A298" t="s">
        <v>455</v>
      </c>
    </row>
    <row r="299" spans="1:1">
      <c r="A299" t="s">
        <v>456</v>
      </c>
    </row>
    <row r="300" spans="1:1">
      <c r="A300" t="s">
        <v>457</v>
      </c>
    </row>
    <row r="301" spans="1:1">
      <c r="A301" t="s">
        <v>458</v>
      </c>
    </row>
    <row r="302" spans="1:1">
      <c r="A302" t="s">
        <v>459</v>
      </c>
    </row>
    <row r="303" spans="1:1">
      <c r="A303" t="s">
        <v>460</v>
      </c>
    </row>
    <row r="304" spans="1:1">
      <c r="A304" t="s">
        <v>461</v>
      </c>
    </row>
    <row r="305" spans="1:1">
      <c r="A305" t="s">
        <v>462</v>
      </c>
    </row>
    <row r="306" spans="1:1">
      <c r="A306" t="s">
        <v>463</v>
      </c>
    </row>
    <row r="307" spans="1:1">
      <c r="A307" t="s">
        <v>464</v>
      </c>
    </row>
    <row r="308" spans="1:1">
      <c r="A308" t="s">
        <v>465</v>
      </c>
    </row>
    <row r="309" spans="1:1">
      <c r="A309" t="s">
        <v>466</v>
      </c>
    </row>
    <row r="310" spans="1:1">
      <c r="A310" t="s">
        <v>467</v>
      </c>
    </row>
    <row r="311" spans="1:1">
      <c r="A311" t="s">
        <v>468</v>
      </c>
    </row>
    <row r="312" spans="1:1">
      <c r="A312" t="s">
        <v>469</v>
      </c>
    </row>
    <row r="313" spans="1:1">
      <c r="A313" t="s">
        <v>470</v>
      </c>
    </row>
    <row r="314" spans="1:1">
      <c r="A314" t="s">
        <v>471</v>
      </c>
    </row>
    <row r="315" spans="1:1">
      <c r="A315" t="s">
        <v>472</v>
      </c>
    </row>
    <row r="316" spans="1:1">
      <c r="A316" t="s">
        <v>473</v>
      </c>
    </row>
    <row r="317" spans="1:1">
      <c r="A317" t="s">
        <v>474</v>
      </c>
    </row>
    <row r="318" spans="1:1">
      <c r="A318" t="s">
        <v>475</v>
      </c>
    </row>
    <row r="319" spans="1:1">
      <c r="A319" t="s">
        <v>476</v>
      </c>
    </row>
    <row r="320" spans="1:1">
      <c r="A320" t="s">
        <v>477</v>
      </c>
    </row>
    <row r="321" spans="1:1">
      <c r="A321" t="s">
        <v>478</v>
      </c>
    </row>
    <row r="322" spans="1:1">
      <c r="A322" t="s">
        <v>479</v>
      </c>
    </row>
    <row r="323" spans="1:1">
      <c r="A323" t="s">
        <v>480</v>
      </c>
    </row>
    <row r="324" spans="1:1">
      <c r="A324" t="s">
        <v>481</v>
      </c>
    </row>
    <row r="325" spans="1:1">
      <c r="A325" t="s">
        <v>482</v>
      </c>
    </row>
    <row r="326" spans="1:1">
      <c r="A326" t="s">
        <v>483</v>
      </c>
    </row>
    <row r="327" spans="1:1">
      <c r="A327" t="s">
        <v>484</v>
      </c>
    </row>
    <row r="328" spans="1:1">
      <c r="A328" t="s">
        <v>485</v>
      </c>
    </row>
    <row r="329" spans="1:1">
      <c r="A329" t="s">
        <v>486</v>
      </c>
    </row>
    <row r="330" spans="1:1">
      <c r="A330" t="s">
        <v>487</v>
      </c>
    </row>
    <row r="331" spans="1:1">
      <c r="A331" t="s">
        <v>488</v>
      </c>
    </row>
    <row r="332" spans="1:1">
      <c r="A332" t="s">
        <v>489</v>
      </c>
    </row>
    <row r="333" spans="1:1">
      <c r="A333" t="s">
        <v>490</v>
      </c>
    </row>
    <row r="334" spans="1:1">
      <c r="A334" t="s">
        <v>491</v>
      </c>
    </row>
    <row r="335" spans="1:1">
      <c r="A335" t="s">
        <v>492</v>
      </c>
    </row>
    <row r="336" spans="1:1">
      <c r="A336" t="s">
        <v>493</v>
      </c>
    </row>
    <row r="337" spans="1:1">
      <c r="A337" t="s">
        <v>494</v>
      </c>
    </row>
    <row r="338" spans="1:1">
      <c r="A338" t="s">
        <v>495</v>
      </c>
    </row>
    <row r="339" spans="1:1">
      <c r="A339" t="s">
        <v>496</v>
      </c>
    </row>
    <row r="340" spans="1:1">
      <c r="A340" t="s">
        <v>497</v>
      </c>
    </row>
    <row r="341" spans="1:1">
      <c r="A341" t="s">
        <v>498</v>
      </c>
    </row>
    <row r="342" spans="1:1">
      <c r="A342" t="s">
        <v>499</v>
      </c>
    </row>
    <row r="343" spans="1:1">
      <c r="A343" t="s">
        <v>500</v>
      </c>
    </row>
    <row r="344" spans="1:1">
      <c r="A344" t="s">
        <v>501</v>
      </c>
    </row>
    <row r="345" spans="1:1">
      <c r="A345" t="s">
        <v>502</v>
      </c>
    </row>
    <row r="346" spans="1:1">
      <c r="A346" t="s">
        <v>503</v>
      </c>
    </row>
    <row r="347" spans="1:1">
      <c r="A347" t="s">
        <v>504</v>
      </c>
    </row>
    <row r="348" spans="1:1">
      <c r="A348" t="s">
        <v>505</v>
      </c>
    </row>
    <row r="349" spans="1:1">
      <c r="A349" t="s">
        <v>506</v>
      </c>
    </row>
    <row r="350" spans="1:1">
      <c r="A350" t="s">
        <v>507</v>
      </c>
    </row>
    <row r="351" spans="1:1">
      <c r="A351" t="s">
        <v>508</v>
      </c>
    </row>
    <row r="352" spans="1:1">
      <c r="A352" t="s">
        <v>509</v>
      </c>
    </row>
    <row r="353" spans="1:1">
      <c r="A353" t="s">
        <v>510</v>
      </c>
    </row>
    <row r="354" spans="1:1">
      <c r="A354" t="s">
        <v>511</v>
      </c>
    </row>
    <row r="355" spans="1:1">
      <c r="A355" t="s">
        <v>512</v>
      </c>
    </row>
    <row r="356" spans="1:1">
      <c r="A356" t="s">
        <v>513</v>
      </c>
    </row>
    <row r="357" spans="1:1">
      <c r="A357" t="s">
        <v>514</v>
      </c>
    </row>
    <row r="358" spans="1:1">
      <c r="A358" t="s">
        <v>515</v>
      </c>
    </row>
    <row r="359" spans="1:1">
      <c r="A359" t="s">
        <v>516</v>
      </c>
    </row>
    <row r="360" spans="1:1">
      <c r="A360" t="s">
        <v>517</v>
      </c>
    </row>
    <row r="361" spans="1:1">
      <c r="A361" t="s">
        <v>518</v>
      </c>
    </row>
    <row r="362" spans="1:1">
      <c r="A362" t="s">
        <v>519</v>
      </c>
    </row>
    <row r="363" spans="1:1">
      <c r="A363" t="s">
        <v>520</v>
      </c>
    </row>
    <row r="364" spans="1:1">
      <c r="A364" t="s">
        <v>521</v>
      </c>
    </row>
    <row r="365" spans="1:1">
      <c r="A365" t="s">
        <v>522</v>
      </c>
    </row>
    <row r="366" spans="1:1">
      <c r="A366" t="s">
        <v>523</v>
      </c>
    </row>
    <row r="367" spans="1:1">
      <c r="A367" t="s">
        <v>524</v>
      </c>
    </row>
    <row r="368" spans="1:1">
      <c r="A368" t="s">
        <v>525</v>
      </c>
    </row>
    <row r="369" spans="1:1">
      <c r="A369" t="s">
        <v>526</v>
      </c>
    </row>
    <row r="370" spans="1:1">
      <c r="A370" t="s">
        <v>527</v>
      </c>
    </row>
    <row r="371" spans="1:1">
      <c r="A371" t="s">
        <v>528</v>
      </c>
    </row>
    <row r="372" spans="1:1">
      <c r="A372" t="s">
        <v>529</v>
      </c>
    </row>
    <row r="373" spans="1:1">
      <c r="A373" t="s">
        <v>530</v>
      </c>
    </row>
    <row r="374" spans="1:1">
      <c r="A374" t="s">
        <v>531</v>
      </c>
    </row>
    <row r="375" spans="1:1">
      <c r="A375" t="s">
        <v>532</v>
      </c>
    </row>
    <row r="376" spans="1:1">
      <c r="A376" t="s">
        <v>533</v>
      </c>
    </row>
    <row r="377" spans="1:1">
      <c r="A377" t="s">
        <v>534</v>
      </c>
    </row>
    <row r="378" spans="1:1">
      <c r="A378" t="s">
        <v>535</v>
      </c>
    </row>
    <row r="379" spans="1:1">
      <c r="A379" t="s">
        <v>536</v>
      </c>
    </row>
    <row r="380" spans="1:1">
      <c r="A380" t="s">
        <v>537</v>
      </c>
    </row>
    <row r="381" spans="1:1">
      <c r="A381" t="s">
        <v>538</v>
      </c>
    </row>
    <row r="382" spans="1:1">
      <c r="A382" t="s">
        <v>539</v>
      </c>
    </row>
    <row r="383" spans="1:1">
      <c r="A383" t="s">
        <v>540</v>
      </c>
    </row>
    <row r="384" spans="1:1">
      <c r="A384" t="s">
        <v>541</v>
      </c>
    </row>
    <row r="385" spans="1:1">
      <c r="A385" t="s">
        <v>542</v>
      </c>
    </row>
    <row r="386" spans="1:1">
      <c r="A386" t="s">
        <v>543</v>
      </c>
    </row>
    <row r="387" spans="1:1">
      <c r="A387" t="s">
        <v>544</v>
      </c>
    </row>
    <row r="388" spans="1:1">
      <c r="A388" t="s">
        <v>545</v>
      </c>
    </row>
    <row r="389" spans="1:1">
      <c r="A389" t="s">
        <v>546</v>
      </c>
    </row>
    <row r="390" spans="1:1">
      <c r="A390" t="s">
        <v>547</v>
      </c>
    </row>
    <row r="391" spans="1:1">
      <c r="A391" t="s">
        <v>548</v>
      </c>
    </row>
    <row r="392" spans="1:1">
      <c r="A392" t="s">
        <v>549</v>
      </c>
    </row>
    <row r="393" spans="1:1">
      <c r="A393" t="s">
        <v>550</v>
      </c>
    </row>
    <row r="394" spans="1:1">
      <c r="A394" t="s">
        <v>551</v>
      </c>
    </row>
    <row r="395" spans="1:1">
      <c r="A395" t="s">
        <v>552</v>
      </c>
    </row>
    <row r="396" spans="1:1">
      <c r="A396" t="s">
        <v>553</v>
      </c>
    </row>
    <row r="397" spans="1:1">
      <c r="A397" t="s">
        <v>554</v>
      </c>
    </row>
    <row r="398" spans="1:1">
      <c r="A398" t="s">
        <v>555</v>
      </c>
    </row>
    <row r="399" spans="1:1">
      <c r="A399" t="s">
        <v>556</v>
      </c>
    </row>
    <row r="400" spans="1:1">
      <c r="A400" t="s">
        <v>557</v>
      </c>
    </row>
    <row r="401" spans="1:1">
      <c r="A401" t="s">
        <v>558</v>
      </c>
    </row>
    <row r="402" spans="1:1">
      <c r="A402" t="s">
        <v>559</v>
      </c>
    </row>
    <row r="403" spans="1:1">
      <c r="A403" t="s">
        <v>560</v>
      </c>
    </row>
    <row r="404" spans="1:1">
      <c r="A404" t="s">
        <v>561</v>
      </c>
    </row>
    <row r="405" spans="1:1">
      <c r="A405" t="s">
        <v>562</v>
      </c>
    </row>
    <row r="406" spans="1:1">
      <c r="A406" t="s">
        <v>563</v>
      </c>
    </row>
    <row r="407" spans="1:1">
      <c r="A407" t="s">
        <v>564</v>
      </c>
    </row>
    <row r="408" spans="1:1">
      <c r="A408" t="s">
        <v>565</v>
      </c>
    </row>
    <row r="409" spans="1:1">
      <c r="A409" t="s">
        <v>566</v>
      </c>
    </row>
    <row r="410" spans="1:1">
      <c r="A410" t="s">
        <v>567</v>
      </c>
    </row>
    <row r="411" spans="1:1">
      <c r="A411" t="s">
        <v>568</v>
      </c>
    </row>
    <row r="412" spans="1:1">
      <c r="A412" t="s">
        <v>569</v>
      </c>
    </row>
    <row r="413" spans="1:1">
      <c r="A413" t="s">
        <v>570</v>
      </c>
    </row>
    <row r="414" spans="1:1">
      <c r="A414" t="s">
        <v>571</v>
      </c>
    </row>
    <row r="415" spans="1:1">
      <c r="A415" t="s">
        <v>572</v>
      </c>
    </row>
    <row r="416" spans="1:1">
      <c r="A416" t="s">
        <v>573</v>
      </c>
    </row>
    <row r="417" spans="1:1">
      <c r="A417" t="s">
        <v>574</v>
      </c>
    </row>
    <row r="418" spans="1:1">
      <c r="A418" t="s">
        <v>575</v>
      </c>
    </row>
    <row r="419" spans="1:1">
      <c r="A419" t="s">
        <v>576</v>
      </c>
    </row>
    <row r="420" spans="1:1">
      <c r="A420" t="s">
        <v>577</v>
      </c>
    </row>
    <row r="421" spans="1:1">
      <c r="A421" t="s">
        <v>578</v>
      </c>
    </row>
    <row r="422" spans="1:1">
      <c r="A422" t="s">
        <v>579</v>
      </c>
    </row>
    <row r="423" spans="1:1">
      <c r="A423" t="s">
        <v>580</v>
      </c>
    </row>
    <row r="424" spans="1:1">
      <c r="A424" t="s">
        <v>581</v>
      </c>
    </row>
    <row r="425" spans="1:1">
      <c r="A425" t="s">
        <v>582</v>
      </c>
    </row>
    <row r="426" spans="1:1">
      <c r="A426" t="s">
        <v>583</v>
      </c>
    </row>
    <row r="427" spans="1:1">
      <c r="A427" t="s">
        <v>584</v>
      </c>
    </row>
    <row r="428" spans="1:1">
      <c r="A428" t="s">
        <v>585</v>
      </c>
    </row>
    <row r="429" spans="1:1">
      <c r="A429" t="s">
        <v>586</v>
      </c>
    </row>
    <row r="430" spans="1:1">
      <c r="A430" t="s">
        <v>587</v>
      </c>
    </row>
    <row r="431" spans="1:1">
      <c r="A431" t="s">
        <v>588</v>
      </c>
    </row>
    <row r="432" spans="1:1">
      <c r="A432" t="s">
        <v>589</v>
      </c>
    </row>
    <row r="433" spans="1:1">
      <c r="A433" t="s">
        <v>590</v>
      </c>
    </row>
    <row r="434" spans="1:1">
      <c r="A434" t="s">
        <v>591</v>
      </c>
    </row>
    <row r="435" spans="1:1">
      <c r="A435" t="s">
        <v>592</v>
      </c>
    </row>
    <row r="436" spans="1:1">
      <c r="A436" t="s">
        <v>593</v>
      </c>
    </row>
    <row r="437" spans="1:1">
      <c r="A437" t="s">
        <v>594</v>
      </c>
    </row>
    <row r="438" spans="1:1">
      <c r="A438" t="s">
        <v>595</v>
      </c>
    </row>
    <row r="439" spans="1:1">
      <c r="A439" t="s">
        <v>596</v>
      </c>
    </row>
    <row r="440" spans="1:1">
      <c r="A440" t="s">
        <v>597</v>
      </c>
    </row>
    <row r="441" spans="1:1">
      <c r="A441" t="s">
        <v>598</v>
      </c>
    </row>
    <row r="442" spans="1:1">
      <c r="A442" t="s">
        <v>599</v>
      </c>
    </row>
    <row r="443" spans="1:1">
      <c r="A443" t="s">
        <v>600</v>
      </c>
    </row>
    <row r="444" spans="1:1">
      <c r="A444" t="s">
        <v>601</v>
      </c>
    </row>
    <row r="445" spans="1:1">
      <c r="A445" t="s">
        <v>602</v>
      </c>
    </row>
    <row r="446" spans="1:1">
      <c r="A446" t="s">
        <v>603</v>
      </c>
    </row>
    <row r="447" spans="1:1">
      <c r="A447" t="s">
        <v>604</v>
      </c>
    </row>
    <row r="448" spans="1:1">
      <c r="A448" t="s">
        <v>605</v>
      </c>
    </row>
    <row r="449" spans="1:1">
      <c r="A449" t="s">
        <v>606</v>
      </c>
    </row>
    <row r="450" spans="1:1">
      <c r="A450" t="s">
        <v>607</v>
      </c>
    </row>
    <row r="451" spans="1:1">
      <c r="A451" t="s">
        <v>608</v>
      </c>
    </row>
    <row r="452" spans="1:1">
      <c r="A452" t="s">
        <v>609</v>
      </c>
    </row>
    <row r="453" spans="1:1">
      <c r="A453" t="s">
        <v>610</v>
      </c>
    </row>
    <row r="454" spans="1:1">
      <c r="A454" t="s">
        <v>611</v>
      </c>
    </row>
    <row r="455" spans="1:1">
      <c r="A455" t="s">
        <v>612</v>
      </c>
    </row>
    <row r="456" spans="1:1">
      <c r="A456" t="s">
        <v>613</v>
      </c>
    </row>
    <row r="457" spans="1:1">
      <c r="A457" t="s">
        <v>614</v>
      </c>
    </row>
    <row r="458" spans="1:1">
      <c r="A458" t="s">
        <v>615</v>
      </c>
    </row>
    <row r="459" spans="1:1">
      <c r="A459" t="s">
        <v>616</v>
      </c>
    </row>
    <row r="460" spans="1:1">
      <c r="A460" t="s">
        <v>617</v>
      </c>
    </row>
    <row r="461" spans="1:1">
      <c r="A461" t="s">
        <v>618</v>
      </c>
    </row>
    <row r="462" spans="1:1">
      <c r="A462" t="s">
        <v>619</v>
      </c>
    </row>
    <row r="463" spans="1:1">
      <c r="A463" t="s">
        <v>620</v>
      </c>
    </row>
    <row r="464" spans="1:1">
      <c r="A464" t="s">
        <v>621</v>
      </c>
    </row>
    <row r="465" spans="1:1">
      <c r="A465" t="s">
        <v>622</v>
      </c>
    </row>
    <row r="466" spans="1:1">
      <c r="A466" t="s">
        <v>623</v>
      </c>
    </row>
    <row r="467" spans="1:1">
      <c r="A467" t="s">
        <v>624</v>
      </c>
    </row>
    <row r="468" spans="1:1">
      <c r="A468" t="s">
        <v>625</v>
      </c>
    </row>
    <row r="469" spans="1:1">
      <c r="A469" t="s">
        <v>626</v>
      </c>
    </row>
    <row r="470" spans="1:1">
      <c r="A470" t="s">
        <v>630</v>
      </c>
    </row>
    <row r="471" spans="1:1">
      <c r="A471" t="s">
        <v>631</v>
      </c>
    </row>
    <row r="472" spans="1:1">
      <c r="A472" t="s">
        <v>632</v>
      </c>
    </row>
    <row r="473" spans="1:1">
      <c r="A473" t="s">
        <v>633</v>
      </c>
    </row>
    <row r="474" spans="1:1">
      <c r="A474" t="s">
        <v>634</v>
      </c>
    </row>
    <row r="475" spans="1:1">
      <c r="A475" t="s">
        <v>635</v>
      </c>
    </row>
    <row r="476" spans="1:1">
      <c r="A476" t="s">
        <v>636</v>
      </c>
    </row>
    <row r="477" spans="1:1">
      <c r="A477" t="s">
        <v>637</v>
      </c>
    </row>
    <row r="478" spans="1:1">
      <c r="A478" t="s">
        <v>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0994-87AE-4A54-9ED5-C86B4B05AC89}">
  <dimension ref="B1:K29"/>
  <sheetViews>
    <sheetView workbookViewId="0">
      <selection activeCell="E39" sqref="E39"/>
    </sheetView>
  </sheetViews>
  <sheetFormatPr defaultColWidth="10.6640625" defaultRowHeight="14.4"/>
  <cols>
    <col min="1" max="1" width="3" style="3" customWidth="1"/>
    <col min="2" max="2" width="11.5546875" style="3"/>
    <col min="3" max="3" width="12.44140625" style="3" bestFit="1" customWidth="1"/>
    <col min="4" max="4" width="14.44140625" style="3" bestFit="1" customWidth="1"/>
    <col min="5" max="5" width="21.44140625" style="3" bestFit="1" customWidth="1"/>
    <col min="6" max="6" width="14.44140625" style="3" bestFit="1" customWidth="1"/>
    <col min="7" max="7" width="3.5546875" style="3" customWidth="1"/>
    <col min="8" max="8" width="5.44140625" style="3" bestFit="1" customWidth="1"/>
    <col min="9" max="9" width="3.5546875" style="3" customWidth="1"/>
    <col min="10" max="10" width="24.5546875" style="3" bestFit="1" customWidth="1"/>
    <col min="11" max="256" width="11.5546875" style="3"/>
    <col min="257" max="257" width="3" style="3" customWidth="1"/>
    <col min="258" max="258" width="11.5546875" style="3"/>
    <col min="259" max="259" width="12.44140625" style="3" bestFit="1" customWidth="1"/>
    <col min="260" max="260" width="14.44140625" style="3" bestFit="1" customWidth="1"/>
    <col min="261" max="261" width="21.44140625" style="3" bestFit="1" customWidth="1"/>
    <col min="262" max="262" width="14.44140625" style="3" bestFit="1" customWidth="1"/>
    <col min="263" max="263" width="3.5546875" style="3" customWidth="1"/>
    <col min="264" max="264" width="5.44140625" style="3" bestFit="1" customWidth="1"/>
    <col min="265" max="265" width="3.5546875" style="3" customWidth="1"/>
    <col min="266" max="266" width="24.5546875" style="3" bestFit="1" customWidth="1"/>
    <col min="267" max="512" width="11.5546875" style="3"/>
    <col min="513" max="513" width="3" style="3" customWidth="1"/>
    <col min="514" max="514" width="11.5546875" style="3"/>
    <col min="515" max="515" width="12.44140625" style="3" bestFit="1" customWidth="1"/>
    <col min="516" max="516" width="14.44140625" style="3" bestFit="1" customWidth="1"/>
    <col min="517" max="517" width="21.44140625" style="3" bestFit="1" customWidth="1"/>
    <col min="518" max="518" width="14.44140625" style="3" bestFit="1" customWidth="1"/>
    <col min="519" max="519" width="3.5546875" style="3" customWidth="1"/>
    <col min="520" max="520" width="5.44140625" style="3" bestFit="1" customWidth="1"/>
    <col min="521" max="521" width="3.5546875" style="3" customWidth="1"/>
    <col min="522" max="522" width="24.5546875" style="3" bestFit="1" customWidth="1"/>
    <col min="523" max="768" width="11.5546875" style="3"/>
    <col min="769" max="769" width="3" style="3" customWidth="1"/>
    <col min="770" max="770" width="11.5546875" style="3"/>
    <col min="771" max="771" width="12.44140625" style="3" bestFit="1" customWidth="1"/>
    <col min="772" max="772" width="14.44140625" style="3" bestFit="1" customWidth="1"/>
    <col min="773" max="773" width="21.44140625" style="3" bestFit="1" customWidth="1"/>
    <col min="774" max="774" width="14.44140625" style="3" bestFit="1" customWidth="1"/>
    <col min="775" max="775" width="3.5546875" style="3" customWidth="1"/>
    <col min="776" max="776" width="5.44140625" style="3" bestFit="1" customWidth="1"/>
    <col min="777" max="777" width="3.5546875" style="3" customWidth="1"/>
    <col min="778" max="778" width="24.5546875" style="3" bestFit="1" customWidth="1"/>
    <col min="779" max="1024" width="11.5546875" style="3"/>
    <col min="1025" max="1025" width="3" style="3" customWidth="1"/>
    <col min="1026" max="1026" width="11.5546875" style="3"/>
    <col min="1027" max="1027" width="12.44140625" style="3" bestFit="1" customWidth="1"/>
    <col min="1028" max="1028" width="14.44140625" style="3" bestFit="1" customWidth="1"/>
    <col min="1029" max="1029" width="21.44140625" style="3" bestFit="1" customWidth="1"/>
    <col min="1030" max="1030" width="14.44140625" style="3" bestFit="1" customWidth="1"/>
    <col min="1031" max="1031" width="3.5546875" style="3" customWidth="1"/>
    <col min="1032" max="1032" width="5.44140625" style="3" bestFit="1" customWidth="1"/>
    <col min="1033" max="1033" width="3.5546875" style="3" customWidth="1"/>
    <col min="1034" max="1034" width="24.5546875" style="3" bestFit="1" customWidth="1"/>
    <col min="1035" max="1280" width="11.5546875" style="3"/>
    <col min="1281" max="1281" width="3" style="3" customWidth="1"/>
    <col min="1282" max="1282" width="11.5546875" style="3"/>
    <col min="1283" max="1283" width="12.44140625" style="3" bestFit="1" customWidth="1"/>
    <col min="1284" max="1284" width="14.44140625" style="3" bestFit="1" customWidth="1"/>
    <col min="1285" max="1285" width="21.44140625" style="3" bestFit="1" customWidth="1"/>
    <col min="1286" max="1286" width="14.44140625" style="3" bestFit="1" customWidth="1"/>
    <col min="1287" max="1287" width="3.5546875" style="3" customWidth="1"/>
    <col min="1288" max="1288" width="5.44140625" style="3" bestFit="1" customWidth="1"/>
    <col min="1289" max="1289" width="3.5546875" style="3" customWidth="1"/>
    <col min="1290" max="1290" width="24.5546875" style="3" bestFit="1" customWidth="1"/>
    <col min="1291" max="1536" width="11.5546875" style="3"/>
    <col min="1537" max="1537" width="3" style="3" customWidth="1"/>
    <col min="1538" max="1538" width="11.5546875" style="3"/>
    <col min="1539" max="1539" width="12.44140625" style="3" bestFit="1" customWidth="1"/>
    <col min="1540" max="1540" width="14.44140625" style="3" bestFit="1" customWidth="1"/>
    <col min="1541" max="1541" width="21.44140625" style="3" bestFit="1" customWidth="1"/>
    <col min="1542" max="1542" width="14.44140625" style="3" bestFit="1" customWidth="1"/>
    <col min="1543" max="1543" width="3.5546875" style="3" customWidth="1"/>
    <col min="1544" max="1544" width="5.44140625" style="3" bestFit="1" customWidth="1"/>
    <col min="1545" max="1545" width="3.5546875" style="3" customWidth="1"/>
    <col min="1546" max="1546" width="24.5546875" style="3" bestFit="1" customWidth="1"/>
    <col min="1547" max="1792" width="11.5546875" style="3"/>
    <col min="1793" max="1793" width="3" style="3" customWidth="1"/>
    <col min="1794" max="1794" width="11.5546875" style="3"/>
    <col min="1795" max="1795" width="12.44140625" style="3" bestFit="1" customWidth="1"/>
    <col min="1796" max="1796" width="14.44140625" style="3" bestFit="1" customWidth="1"/>
    <col min="1797" max="1797" width="21.44140625" style="3" bestFit="1" customWidth="1"/>
    <col min="1798" max="1798" width="14.44140625" style="3" bestFit="1" customWidth="1"/>
    <col min="1799" max="1799" width="3.5546875" style="3" customWidth="1"/>
    <col min="1800" max="1800" width="5.44140625" style="3" bestFit="1" customWidth="1"/>
    <col min="1801" max="1801" width="3.5546875" style="3" customWidth="1"/>
    <col min="1802" max="1802" width="24.5546875" style="3" bestFit="1" customWidth="1"/>
    <col min="1803" max="2048" width="11.5546875" style="3"/>
    <col min="2049" max="2049" width="3" style="3" customWidth="1"/>
    <col min="2050" max="2050" width="11.5546875" style="3"/>
    <col min="2051" max="2051" width="12.44140625" style="3" bestFit="1" customWidth="1"/>
    <col min="2052" max="2052" width="14.44140625" style="3" bestFit="1" customWidth="1"/>
    <col min="2053" max="2053" width="21.44140625" style="3" bestFit="1" customWidth="1"/>
    <col min="2054" max="2054" width="14.44140625" style="3" bestFit="1" customWidth="1"/>
    <col min="2055" max="2055" width="3.5546875" style="3" customWidth="1"/>
    <col min="2056" max="2056" width="5.44140625" style="3" bestFit="1" customWidth="1"/>
    <col min="2057" max="2057" width="3.5546875" style="3" customWidth="1"/>
    <col min="2058" max="2058" width="24.5546875" style="3" bestFit="1" customWidth="1"/>
    <col min="2059" max="2304" width="11.5546875" style="3"/>
    <col min="2305" max="2305" width="3" style="3" customWidth="1"/>
    <col min="2306" max="2306" width="11.5546875" style="3"/>
    <col min="2307" max="2307" width="12.44140625" style="3" bestFit="1" customWidth="1"/>
    <col min="2308" max="2308" width="14.44140625" style="3" bestFit="1" customWidth="1"/>
    <col min="2309" max="2309" width="21.44140625" style="3" bestFit="1" customWidth="1"/>
    <col min="2310" max="2310" width="14.44140625" style="3" bestFit="1" customWidth="1"/>
    <col min="2311" max="2311" width="3.5546875" style="3" customWidth="1"/>
    <col min="2312" max="2312" width="5.44140625" style="3" bestFit="1" customWidth="1"/>
    <col min="2313" max="2313" width="3.5546875" style="3" customWidth="1"/>
    <col min="2314" max="2314" width="24.5546875" style="3" bestFit="1" customWidth="1"/>
    <col min="2315" max="2560" width="11.5546875" style="3"/>
    <col min="2561" max="2561" width="3" style="3" customWidth="1"/>
    <col min="2562" max="2562" width="11.5546875" style="3"/>
    <col min="2563" max="2563" width="12.44140625" style="3" bestFit="1" customWidth="1"/>
    <col min="2564" max="2564" width="14.44140625" style="3" bestFit="1" customWidth="1"/>
    <col min="2565" max="2565" width="21.44140625" style="3" bestFit="1" customWidth="1"/>
    <col min="2566" max="2566" width="14.44140625" style="3" bestFit="1" customWidth="1"/>
    <col min="2567" max="2567" width="3.5546875" style="3" customWidth="1"/>
    <col min="2568" max="2568" width="5.44140625" style="3" bestFit="1" customWidth="1"/>
    <col min="2569" max="2569" width="3.5546875" style="3" customWidth="1"/>
    <col min="2570" max="2570" width="24.5546875" style="3" bestFit="1" customWidth="1"/>
    <col min="2571" max="2816" width="11.5546875" style="3"/>
    <col min="2817" max="2817" width="3" style="3" customWidth="1"/>
    <col min="2818" max="2818" width="11.5546875" style="3"/>
    <col min="2819" max="2819" width="12.44140625" style="3" bestFit="1" customWidth="1"/>
    <col min="2820" max="2820" width="14.44140625" style="3" bestFit="1" customWidth="1"/>
    <col min="2821" max="2821" width="21.44140625" style="3" bestFit="1" customWidth="1"/>
    <col min="2822" max="2822" width="14.44140625" style="3" bestFit="1" customWidth="1"/>
    <col min="2823" max="2823" width="3.5546875" style="3" customWidth="1"/>
    <col min="2824" max="2824" width="5.44140625" style="3" bestFit="1" customWidth="1"/>
    <col min="2825" max="2825" width="3.5546875" style="3" customWidth="1"/>
    <col min="2826" max="2826" width="24.5546875" style="3" bestFit="1" customWidth="1"/>
    <col min="2827" max="3072" width="11.5546875" style="3"/>
    <col min="3073" max="3073" width="3" style="3" customWidth="1"/>
    <col min="3074" max="3074" width="11.5546875" style="3"/>
    <col min="3075" max="3075" width="12.44140625" style="3" bestFit="1" customWidth="1"/>
    <col min="3076" max="3076" width="14.44140625" style="3" bestFit="1" customWidth="1"/>
    <col min="3077" max="3077" width="21.44140625" style="3" bestFit="1" customWidth="1"/>
    <col min="3078" max="3078" width="14.44140625" style="3" bestFit="1" customWidth="1"/>
    <col min="3079" max="3079" width="3.5546875" style="3" customWidth="1"/>
    <col min="3080" max="3080" width="5.44140625" style="3" bestFit="1" customWidth="1"/>
    <col min="3081" max="3081" width="3.5546875" style="3" customWidth="1"/>
    <col min="3082" max="3082" width="24.5546875" style="3" bestFit="1" customWidth="1"/>
    <col min="3083" max="3328" width="11.5546875" style="3"/>
    <col min="3329" max="3329" width="3" style="3" customWidth="1"/>
    <col min="3330" max="3330" width="11.5546875" style="3"/>
    <col min="3331" max="3331" width="12.44140625" style="3" bestFit="1" customWidth="1"/>
    <col min="3332" max="3332" width="14.44140625" style="3" bestFit="1" customWidth="1"/>
    <col min="3333" max="3333" width="21.44140625" style="3" bestFit="1" customWidth="1"/>
    <col min="3334" max="3334" width="14.44140625" style="3" bestFit="1" customWidth="1"/>
    <col min="3335" max="3335" width="3.5546875" style="3" customWidth="1"/>
    <col min="3336" max="3336" width="5.44140625" style="3" bestFit="1" customWidth="1"/>
    <col min="3337" max="3337" width="3.5546875" style="3" customWidth="1"/>
    <col min="3338" max="3338" width="24.5546875" style="3" bestFit="1" customWidth="1"/>
    <col min="3339" max="3584" width="11.5546875" style="3"/>
    <col min="3585" max="3585" width="3" style="3" customWidth="1"/>
    <col min="3586" max="3586" width="11.5546875" style="3"/>
    <col min="3587" max="3587" width="12.44140625" style="3" bestFit="1" customWidth="1"/>
    <col min="3588" max="3588" width="14.44140625" style="3" bestFit="1" customWidth="1"/>
    <col min="3589" max="3589" width="21.44140625" style="3" bestFit="1" customWidth="1"/>
    <col min="3590" max="3590" width="14.44140625" style="3" bestFit="1" customWidth="1"/>
    <col min="3591" max="3591" width="3.5546875" style="3" customWidth="1"/>
    <col min="3592" max="3592" width="5.44140625" style="3" bestFit="1" customWidth="1"/>
    <col min="3593" max="3593" width="3.5546875" style="3" customWidth="1"/>
    <col min="3594" max="3594" width="24.5546875" style="3" bestFit="1" customWidth="1"/>
    <col min="3595" max="3840" width="11.5546875" style="3"/>
    <col min="3841" max="3841" width="3" style="3" customWidth="1"/>
    <col min="3842" max="3842" width="11.5546875" style="3"/>
    <col min="3843" max="3843" width="12.44140625" style="3" bestFit="1" customWidth="1"/>
    <col min="3844" max="3844" width="14.44140625" style="3" bestFit="1" customWidth="1"/>
    <col min="3845" max="3845" width="21.44140625" style="3" bestFit="1" customWidth="1"/>
    <col min="3846" max="3846" width="14.44140625" style="3" bestFit="1" customWidth="1"/>
    <col min="3847" max="3847" width="3.5546875" style="3" customWidth="1"/>
    <col min="3848" max="3848" width="5.44140625" style="3" bestFit="1" customWidth="1"/>
    <col min="3849" max="3849" width="3.5546875" style="3" customWidth="1"/>
    <col min="3850" max="3850" width="24.5546875" style="3" bestFit="1" customWidth="1"/>
    <col min="3851" max="4096" width="11.5546875" style="3"/>
    <col min="4097" max="4097" width="3" style="3" customWidth="1"/>
    <col min="4098" max="4098" width="11.5546875" style="3"/>
    <col min="4099" max="4099" width="12.44140625" style="3" bestFit="1" customWidth="1"/>
    <col min="4100" max="4100" width="14.44140625" style="3" bestFit="1" customWidth="1"/>
    <col min="4101" max="4101" width="21.44140625" style="3" bestFit="1" customWidth="1"/>
    <col min="4102" max="4102" width="14.44140625" style="3" bestFit="1" customWidth="1"/>
    <col min="4103" max="4103" width="3.5546875" style="3" customWidth="1"/>
    <col min="4104" max="4104" width="5.44140625" style="3" bestFit="1" customWidth="1"/>
    <col min="4105" max="4105" width="3.5546875" style="3" customWidth="1"/>
    <col min="4106" max="4106" width="24.5546875" style="3" bestFit="1" customWidth="1"/>
    <col min="4107" max="4352" width="11.5546875" style="3"/>
    <col min="4353" max="4353" width="3" style="3" customWidth="1"/>
    <col min="4354" max="4354" width="11.5546875" style="3"/>
    <col min="4355" max="4355" width="12.44140625" style="3" bestFit="1" customWidth="1"/>
    <col min="4356" max="4356" width="14.44140625" style="3" bestFit="1" customWidth="1"/>
    <col min="4357" max="4357" width="21.44140625" style="3" bestFit="1" customWidth="1"/>
    <col min="4358" max="4358" width="14.44140625" style="3" bestFit="1" customWidth="1"/>
    <col min="4359" max="4359" width="3.5546875" style="3" customWidth="1"/>
    <col min="4360" max="4360" width="5.44140625" style="3" bestFit="1" customWidth="1"/>
    <col min="4361" max="4361" width="3.5546875" style="3" customWidth="1"/>
    <col min="4362" max="4362" width="24.5546875" style="3" bestFit="1" customWidth="1"/>
    <col min="4363" max="4608" width="11.5546875" style="3"/>
    <col min="4609" max="4609" width="3" style="3" customWidth="1"/>
    <col min="4610" max="4610" width="11.5546875" style="3"/>
    <col min="4611" max="4611" width="12.44140625" style="3" bestFit="1" customWidth="1"/>
    <col min="4612" max="4612" width="14.44140625" style="3" bestFit="1" customWidth="1"/>
    <col min="4613" max="4613" width="21.44140625" style="3" bestFit="1" customWidth="1"/>
    <col min="4614" max="4614" width="14.44140625" style="3" bestFit="1" customWidth="1"/>
    <col min="4615" max="4615" width="3.5546875" style="3" customWidth="1"/>
    <col min="4616" max="4616" width="5.44140625" style="3" bestFit="1" customWidth="1"/>
    <col min="4617" max="4617" width="3.5546875" style="3" customWidth="1"/>
    <col min="4618" max="4618" width="24.5546875" style="3" bestFit="1" customWidth="1"/>
    <col min="4619" max="4864" width="11.5546875" style="3"/>
    <col min="4865" max="4865" width="3" style="3" customWidth="1"/>
    <col min="4866" max="4866" width="11.5546875" style="3"/>
    <col min="4867" max="4867" width="12.44140625" style="3" bestFit="1" customWidth="1"/>
    <col min="4868" max="4868" width="14.44140625" style="3" bestFit="1" customWidth="1"/>
    <col min="4869" max="4869" width="21.44140625" style="3" bestFit="1" customWidth="1"/>
    <col min="4870" max="4870" width="14.44140625" style="3" bestFit="1" customWidth="1"/>
    <col min="4871" max="4871" width="3.5546875" style="3" customWidth="1"/>
    <col min="4872" max="4872" width="5.44140625" style="3" bestFit="1" customWidth="1"/>
    <col min="4873" max="4873" width="3.5546875" style="3" customWidth="1"/>
    <col min="4874" max="4874" width="24.5546875" style="3" bestFit="1" customWidth="1"/>
    <col min="4875" max="5120" width="11.5546875" style="3"/>
    <col min="5121" max="5121" width="3" style="3" customWidth="1"/>
    <col min="5122" max="5122" width="11.5546875" style="3"/>
    <col min="5123" max="5123" width="12.44140625" style="3" bestFit="1" customWidth="1"/>
    <col min="5124" max="5124" width="14.44140625" style="3" bestFit="1" customWidth="1"/>
    <col min="5125" max="5125" width="21.44140625" style="3" bestFit="1" customWidth="1"/>
    <col min="5126" max="5126" width="14.44140625" style="3" bestFit="1" customWidth="1"/>
    <col min="5127" max="5127" width="3.5546875" style="3" customWidth="1"/>
    <col min="5128" max="5128" width="5.44140625" style="3" bestFit="1" customWidth="1"/>
    <col min="5129" max="5129" width="3.5546875" style="3" customWidth="1"/>
    <col min="5130" max="5130" width="24.5546875" style="3" bestFit="1" customWidth="1"/>
    <col min="5131" max="5376" width="11.5546875" style="3"/>
    <col min="5377" max="5377" width="3" style="3" customWidth="1"/>
    <col min="5378" max="5378" width="11.5546875" style="3"/>
    <col min="5379" max="5379" width="12.44140625" style="3" bestFit="1" customWidth="1"/>
    <col min="5380" max="5380" width="14.44140625" style="3" bestFit="1" customWidth="1"/>
    <col min="5381" max="5381" width="21.44140625" style="3" bestFit="1" customWidth="1"/>
    <col min="5382" max="5382" width="14.44140625" style="3" bestFit="1" customWidth="1"/>
    <col min="5383" max="5383" width="3.5546875" style="3" customWidth="1"/>
    <col min="5384" max="5384" width="5.44140625" style="3" bestFit="1" customWidth="1"/>
    <col min="5385" max="5385" width="3.5546875" style="3" customWidth="1"/>
    <col min="5386" max="5386" width="24.5546875" style="3" bestFit="1" customWidth="1"/>
    <col min="5387" max="5632" width="11.5546875" style="3"/>
    <col min="5633" max="5633" width="3" style="3" customWidth="1"/>
    <col min="5634" max="5634" width="11.5546875" style="3"/>
    <col min="5635" max="5635" width="12.44140625" style="3" bestFit="1" customWidth="1"/>
    <col min="5636" max="5636" width="14.44140625" style="3" bestFit="1" customWidth="1"/>
    <col min="5637" max="5637" width="21.44140625" style="3" bestFit="1" customWidth="1"/>
    <col min="5638" max="5638" width="14.44140625" style="3" bestFit="1" customWidth="1"/>
    <col min="5639" max="5639" width="3.5546875" style="3" customWidth="1"/>
    <col min="5640" max="5640" width="5.44140625" style="3" bestFit="1" customWidth="1"/>
    <col min="5641" max="5641" width="3.5546875" style="3" customWidth="1"/>
    <col min="5642" max="5642" width="24.5546875" style="3" bestFit="1" customWidth="1"/>
    <col min="5643" max="5888" width="11.5546875" style="3"/>
    <col min="5889" max="5889" width="3" style="3" customWidth="1"/>
    <col min="5890" max="5890" width="11.5546875" style="3"/>
    <col min="5891" max="5891" width="12.44140625" style="3" bestFit="1" customWidth="1"/>
    <col min="5892" max="5892" width="14.44140625" style="3" bestFit="1" customWidth="1"/>
    <col min="5893" max="5893" width="21.44140625" style="3" bestFit="1" customWidth="1"/>
    <col min="5894" max="5894" width="14.44140625" style="3" bestFit="1" customWidth="1"/>
    <col min="5895" max="5895" width="3.5546875" style="3" customWidth="1"/>
    <col min="5896" max="5896" width="5.44140625" style="3" bestFit="1" customWidth="1"/>
    <col min="5897" max="5897" width="3.5546875" style="3" customWidth="1"/>
    <col min="5898" max="5898" width="24.5546875" style="3" bestFit="1" customWidth="1"/>
    <col min="5899" max="6144" width="11.5546875" style="3"/>
    <col min="6145" max="6145" width="3" style="3" customWidth="1"/>
    <col min="6146" max="6146" width="11.5546875" style="3"/>
    <col min="6147" max="6147" width="12.44140625" style="3" bestFit="1" customWidth="1"/>
    <col min="6148" max="6148" width="14.44140625" style="3" bestFit="1" customWidth="1"/>
    <col min="6149" max="6149" width="21.44140625" style="3" bestFit="1" customWidth="1"/>
    <col min="6150" max="6150" width="14.44140625" style="3" bestFit="1" customWidth="1"/>
    <col min="6151" max="6151" width="3.5546875" style="3" customWidth="1"/>
    <col min="6152" max="6152" width="5.44140625" style="3" bestFit="1" customWidth="1"/>
    <col min="6153" max="6153" width="3.5546875" style="3" customWidth="1"/>
    <col min="6154" max="6154" width="24.5546875" style="3" bestFit="1" customWidth="1"/>
    <col min="6155" max="6400" width="11.5546875" style="3"/>
    <col min="6401" max="6401" width="3" style="3" customWidth="1"/>
    <col min="6402" max="6402" width="11.5546875" style="3"/>
    <col min="6403" max="6403" width="12.44140625" style="3" bestFit="1" customWidth="1"/>
    <col min="6404" max="6404" width="14.44140625" style="3" bestFit="1" customWidth="1"/>
    <col min="6405" max="6405" width="21.44140625" style="3" bestFit="1" customWidth="1"/>
    <col min="6406" max="6406" width="14.44140625" style="3" bestFit="1" customWidth="1"/>
    <col min="6407" max="6407" width="3.5546875" style="3" customWidth="1"/>
    <col min="6408" max="6408" width="5.44140625" style="3" bestFit="1" customWidth="1"/>
    <col min="6409" max="6409" width="3.5546875" style="3" customWidth="1"/>
    <col min="6410" max="6410" width="24.5546875" style="3" bestFit="1" customWidth="1"/>
    <col min="6411" max="6656" width="11.5546875" style="3"/>
    <col min="6657" max="6657" width="3" style="3" customWidth="1"/>
    <col min="6658" max="6658" width="11.5546875" style="3"/>
    <col min="6659" max="6659" width="12.44140625" style="3" bestFit="1" customWidth="1"/>
    <col min="6660" max="6660" width="14.44140625" style="3" bestFit="1" customWidth="1"/>
    <col min="6661" max="6661" width="21.44140625" style="3" bestFit="1" customWidth="1"/>
    <col min="6662" max="6662" width="14.44140625" style="3" bestFit="1" customWidth="1"/>
    <col min="6663" max="6663" width="3.5546875" style="3" customWidth="1"/>
    <col min="6664" max="6664" width="5.44140625" style="3" bestFit="1" customWidth="1"/>
    <col min="6665" max="6665" width="3.5546875" style="3" customWidth="1"/>
    <col min="6666" max="6666" width="24.5546875" style="3" bestFit="1" customWidth="1"/>
    <col min="6667" max="6912" width="11.5546875" style="3"/>
    <col min="6913" max="6913" width="3" style="3" customWidth="1"/>
    <col min="6914" max="6914" width="11.5546875" style="3"/>
    <col min="6915" max="6915" width="12.44140625" style="3" bestFit="1" customWidth="1"/>
    <col min="6916" max="6916" width="14.44140625" style="3" bestFit="1" customWidth="1"/>
    <col min="6917" max="6917" width="21.44140625" style="3" bestFit="1" customWidth="1"/>
    <col min="6918" max="6918" width="14.44140625" style="3" bestFit="1" customWidth="1"/>
    <col min="6919" max="6919" width="3.5546875" style="3" customWidth="1"/>
    <col min="6920" max="6920" width="5.44140625" style="3" bestFit="1" customWidth="1"/>
    <col min="6921" max="6921" width="3.5546875" style="3" customWidth="1"/>
    <col min="6922" max="6922" width="24.5546875" style="3" bestFit="1" customWidth="1"/>
    <col min="6923" max="7168" width="11.5546875" style="3"/>
    <col min="7169" max="7169" width="3" style="3" customWidth="1"/>
    <col min="7170" max="7170" width="11.5546875" style="3"/>
    <col min="7171" max="7171" width="12.44140625" style="3" bestFit="1" customWidth="1"/>
    <col min="7172" max="7172" width="14.44140625" style="3" bestFit="1" customWidth="1"/>
    <col min="7173" max="7173" width="21.44140625" style="3" bestFit="1" customWidth="1"/>
    <col min="7174" max="7174" width="14.44140625" style="3" bestFit="1" customWidth="1"/>
    <col min="7175" max="7175" width="3.5546875" style="3" customWidth="1"/>
    <col min="7176" max="7176" width="5.44140625" style="3" bestFit="1" customWidth="1"/>
    <col min="7177" max="7177" width="3.5546875" style="3" customWidth="1"/>
    <col min="7178" max="7178" width="24.5546875" style="3" bestFit="1" customWidth="1"/>
    <col min="7179" max="7424" width="11.5546875" style="3"/>
    <col min="7425" max="7425" width="3" style="3" customWidth="1"/>
    <col min="7426" max="7426" width="11.5546875" style="3"/>
    <col min="7427" max="7427" width="12.44140625" style="3" bestFit="1" customWidth="1"/>
    <col min="7428" max="7428" width="14.44140625" style="3" bestFit="1" customWidth="1"/>
    <col min="7429" max="7429" width="21.44140625" style="3" bestFit="1" customWidth="1"/>
    <col min="7430" max="7430" width="14.44140625" style="3" bestFit="1" customWidth="1"/>
    <col min="7431" max="7431" width="3.5546875" style="3" customWidth="1"/>
    <col min="7432" max="7432" width="5.44140625" style="3" bestFit="1" customWidth="1"/>
    <col min="7433" max="7433" width="3.5546875" style="3" customWidth="1"/>
    <col min="7434" max="7434" width="24.5546875" style="3" bestFit="1" customWidth="1"/>
    <col min="7435" max="7680" width="11.5546875" style="3"/>
    <col min="7681" max="7681" width="3" style="3" customWidth="1"/>
    <col min="7682" max="7682" width="11.5546875" style="3"/>
    <col min="7683" max="7683" width="12.44140625" style="3" bestFit="1" customWidth="1"/>
    <col min="7684" max="7684" width="14.44140625" style="3" bestFit="1" customWidth="1"/>
    <col min="7685" max="7685" width="21.44140625" style="3" bestFit="1" customWidth="1"/>
    <col min="7686" max="7686" width="14.44140625" style="3" bestFit="1" customWidth="1"/>
    <col min="7687" max="7687" width="3.5546875" style="3" customWidth="1"/>
    <col min="7688" max="7688" width="5.44140625" style="3" bestFit="1" customWidth="1"/>
    <col min="7689" max="7689" width="3.5546875" style="3" customWidth="1"/>
    <col min="7690" max="7690" width="24.5546875" style="3" bestFit="1" customWidth="1"/>
    <col min="7691" max="7936" width="11.5546875" style="3"/>
    <col min="7937" max="7937" width="3" style="3" customWidth="1"/>
    <col min="7938" max="7938" width="11.5546875" style="3"/>
    <col min="7939" max="7939" width="12.44140625" style="3" bestFit="1" customWidth="1"/>
    <col min="7940" max="7940" width="14.44140625" style="3" bestFit="1" customWidth="1"/>
    <col min="7941" max="7941" width="21.44140625" style="3" bestFit="1" customWidth="1"/>
    <col min="7942" max="7942" width="14.44140625" style="3" bestFit="1" customWidth="1"/>
    <col min="7943" max="7943" width="3.5546875" style="3" customWidth="1"/>
    <col min="7944" max="7944" width="5.44140625" style="3" bestFit="1" customWidth="1"/>
    <col min="7945" max="7945" width="3.5546875" style="3" customWidth="1"/>
    <col min="7946" max="7946" width="24.5546875" style="3" bestFit="1" customWidth="1"/>
    <col min="7947" max="8192" width="11.5546875" style="3"/>
    <col min="8193" max="8193" width="3" style="3" customWidth="1"/>
    <col min="8194" max="8194" width="11.5546875" style="3"/>
    <col min="8195" max="8195" width="12.44140625" style="3" bestFit="1" customWidth="1"/>
    <col min="8196" max="8196" width="14.44140625" style="3" bestFit="1" customWidth="1"/>
    <col min="8197" max="8197" width="21.44140625" style="3" bestFit="1" customWidth="1"/>
    <col min="8198" max="8198" width="14.44140625" style="3" bestFit="1" customWidth="1"/>
    <col min="8199" max="8199" width="3.5546875" style="3" customWidth="1"/>
    <col min="8200" max="8200" width="5.44140625" style="3" bestFit="1" customWidth="1"/>
    <col min="8201" max="8201" width="3.5546875" style="3" customWidth="1"/>
    <col min="8202" max="8202" width="24.5546875" style="3" bestFit="1" customWidth="1"/>
    <col min="8203" max="8448" width="11.5546875" style="3"/>
    <col min="8449" max="8449" width="3" style="3" customWidth="1"/>
    <col min="8450" max="8450" width="11.5546875" style="3"/>
    <col min="8451" max="8451" width="12.44140625" style="3" bestFit="1" customWidth="1"/>
    <col min="8452" max="8452" width="14.44140625" style="3" bestFit="1" customWidth="1"/>
    <col min="8453" max="8453" width="21.44140625" style="3" bestFit="1" customWidth="1"/>
    <col min="8454" max="8454" width="14.44140625" style="3" bestFit="1" customWidth="1"/>
    <col min="8455" max="8455" width="3.5546875" style="3" customWidth="1"/>
    <col min="8456" max="8456" width="5.44140625" style="3" bestFit="1" customWidth="1"/>
    <col min="8457" max="8457" width="3.5546875" style="3" customWidth="1"/>
    <col min="8458" max="8458" width="24.5546875" style="3" bestFit="1" customWidth="1"/>
    <col min="8459" max="8704" width="11.5546875" style="3"/>
    <col min="8705" max="8705" width="3" style="3" customWidth="1"/>
    <col min="8706" max="8706" width="11.5546875" style="3"/>
    <col min="8707" max="8707" width="12.44140625" style="3" bestFit="1" customWidth="1"/>
    <col min="8708" max="8708" width="14.44140625" style="3" bestFit="1" customWidth="1"/>
    <col min="8709" max="8709" width="21.44140625" style="3" bestFit="1" customWidth="1"/>
    <col min="8710" max="8710" width="14.44140625" style="3" bestFit="1" customWidth="1"/>
    <col min="8711" max="8711" width="3.5546875" style="3" customWidth="1"/>
    <col min="8712" max="8712" width="5.44140625" style="3" bestFit="1" customWidth="1"/>
    <col min="8713" max="8713" width="3.5546875" style="3" customWidth="1"/>
    <col min="8714" max="8714" width="24.5546875" style="3" bestFit="1" customWidth="1"/>
    <col min="8715" max="8960" width="11.5546875" style="3"/>
    <col min="8961" max="8961" width="3" style="3" customWidth="1"/>
    <col min="8962" max="8962" width="11.5546875" style="3"/>
    <col min="8963" max="8963" width="12.44140625" style="3" bestFit="1" customWidth="1"/>
    <col min="8964" max="8964" width="14.44140625" style="3" bestFit="1" customWidth="1"/>
    <col min="8965" max="8965" width="21.44140625" style="3" bestFit="1" customWidth="1"/>
    <col min="8966" max="8966" width="14.44140625" style="3" bestFit="1" customWidth="1"/>
    <col min="8967" max="8967" width="3.5546875" style="3" customWidth="1"/>
    <col min="8968" max="8968" width="5.44140625" style="3" bestFit="1" customWidth="1"/>
    <col min="8969" max="8969" width="3.5546875" style="3" customWidth="1"/>
    <col min="8970" max="8970" width="24.5546875" style="3" bestFit="1" customWidth="1"/>
    <col min="8971" max="9216" width="11.5546875" style="3"/>
    <col min="9217" max="9217" width="3" style="3" customWidth="1"/>
    <col min="9218" max="9218" width="11.5546875" style="3"/>
    <col min="9219" max="9219" width="12.44140625" style="3" bestFit="1" customWidth="1"/>
    <col min="9220" max="9220" width="14.44140625" style="3" bestFit="1" customWidth="1"/>
    <col min="9221" max="9221" width="21.44140625" style="3" bestFit="1" customWidth="1"/>
    <col min="9222" max="9222" width="14.44140625" style="3" bestFit="1" customWidth="1"/>
    <col min="9223" max="9223" width="3.5546875" style="3" customWidth="1"/>
    <col min="9224" max="9224" width="5.44140625" style="3" bestFit="1" customWidth="1"/>
    <col min="9225" max="9225" width="3.5546875" style="3" customWidth="1"/>
    <col min="9226" max="9226" width="24.5546875" style="3" bestFit="1" customWidth="1"/>
    <col min="9227" max="9472" width="11.5546875" style="3"/>
    <col min="9473" max="9473" width="3" style="3" customWidth="1"/>
    <col min="9474" max="9474" width="11.5546875" style="3"/>
    <col min="9475" max="9475" width="12.44140625" style="3" bestFit="1" customWidth="1"/>
    <col min="9476" max="9476" width="14.44140625" style="3" bestFit="1" customWidth="1"/>
    <col min="9477" max="9477" width="21.44140625" style="3" bestFit="1" customWidth="1"/>
    <col min="9478" max="9478" width="14.44140625" style="3" bestFit="1" customWidth="1"/>
    <col min="9479" max="9479" width="3.5546875" style="3" customWidth="1"/>
    <col min="9480" max="9480" width="5.44140625" style="3" bestFit="1" customWidth="1"/>
    <col min="9481" max="9481" width="3.5546875" style="3" customWidth="1"/>
    <col min="9482" max="9482" width="24.5546875" style="3" bestFit="1" customWidth="1"/>
    <col min="9483" max="9728" width="11.5546875" style="3"/>
    <col min="9729" max="9729" width="3" style="3" customWidth="1"/>
    <col min="9730" max="9730" width="11.5546875" style="3"/>
    <col min="9731" max="9731" width="12.44140625" style="3" bestFit="1" customWidth="1"/>
    <col min="9732" max="9732" width="14.44140625" style="3" bestFit="1" customWidth="1"/>
    <col min="9733" max="9733" width="21.44140625" style="3" bestFit="1" customWidth="1"/>
    <col min="9734" max="9734" width="14.44140625" style="3" bestFit="1" customWidth="1"/>
    <col min="9735" max="9735" width="3.5546875" style="3" customWidth="1"/>
    <col min="9736" max="9736" width="5.44140625" style="3" bestFit="1" customWidth="1"/>
    <col min="9737" max="9737" width="3.5546875" style="3" customWidth="1"/>
    <col min="9738" max="9738" width="24.5546875" style="3" bestFit="1" customWidth="1"/>
    <col min="9739" max="9984" width="11.5546875" style="3"/>
    <col min="9985" max="9985" width="3" style="3" customWidth="1"/>
    <col min="9986" max="9986" width="11.5546875" style="3"/>
    <col min="9987" max="9987" width="12.44140625" style="3" bestFit="1" customWidth="1"/>
    <col min="9988" max="9988" width="14.44140625" style="3" bestFit="1" customWidth="1"/>
    <col min="9989" max="9989" width="21.44140625" style="3" bestFit="1" customWidth="1"/>
    <col min="9990" max="9990" width="14.44140625" style="3" bestFit="1" customWidth="1"/>
    <col min="9991" max="9991" width="3.5546875" style="3" customWidth="1"/>
    <col min="9992" max="9992" width="5.44140625" style="3" bestFit="1" customWidth="1"/>
    <col min="9993" max="9993" width="3.5546875" style="3" customWidth="1"/>
    <col min="9994" max="9994" width="24.5546875" style="3" bestFit="1" customWidth="1"/>
    <col min="9995" max="10240" width="11.5546875" style="3"/>
    <col min="10241" max="10241" width="3" style="3" customWidth="1"/>
    <col min="10242" max="10242" width="11.5546875" style="3"/>
    <col min="10243" max="10243" width="12.44140625" style="3" bestFit="1" customWidth="1"/>
    <col min="10244" max="10244" width="14.44140625" style="3" bestFit="1" customWidth="1"/>
    <col min="10245" max="10245" width="21.44140625" style="3" bestFit="1" customWidth="1"/>
    <col min="10246" max="10246" width="14.44140625" style="3" bestFit="1" customWidth="1"/>
    <col min="10247" max="10247" width="3.5546875" style="3" customWidth="1"/>
    <col min="10248" max="10248" width="5.44140625" style="3" bestFit="1" customWidth="1"/>
    <col min="10249" max="10249" width="3.5546875" style="3" customWidth="1"/>
    <col min="10250" max="10250" width="24.5546875" style="3" bestFit="1" customWidth="1"/>
    <col min="10251" max="10496" width="11.5546875" style="3"/>
    <col min="10497" max="10497" width="3" style="3" customWidth="1"/>
    <col min="10498" max="10498" width="11.5546875" style="3"/>
    <col min="10499" max="10499" width="12.44140625" style="3" bestFit="1" customWidth="1"/>
    <col min="10500" max="10500" width="14.44140625" style="3" bestFit="1" customWidth="1"/>
    <col min="10501" max="10501" width="21.44140625" style="3" bestFit="1" customWidth="1"/>
    <col min="10502" max="10502" width="14.44140625" style="3" bestFit="1" customWidth="1"/>
    <col min="10503" max="10503" width="3.5546875" style="3" customWidth="1"/>
    <col min="10504" max="10504" width="5.44140625" style="3" bestFit="1" customWidth="1"/>
    <col min="10505" max="10505" width="3.5546875" style="3" customWidth="1"/>
    <col min="10506" max="10506" width="24.5546875" style="3" bestFit="1" customWidth="1"/>
    <col min="10507" max="10752" width="11.5546875" style="3"/>
    <col min="10753" max="10753" width="3" style="3" customWidth="1"/>
    <col min="10754" max="10754" width="11.5546875" style="3"/>
    <col min="10755" max="10755" width="12.44140625" style="3" bestFit="1" customWidth="1"/>
    <col min="10756" max="10756" width="14.44140625" style="3" bestFit="1" customWidth="1"/>
    <col min="10757" max="10757" width="21.44140625" style="3" bestFit="1" customWidth="1"/>
    <col min="10758" max="10758" width="14.44140625" style="3" bestFit="1" customWidth="1"/>
    <col min="10759" max="10759" width="3.5546875" style="3" customWidth="1"/>
    <col min="10760" max="10760" width="5.44140625" style="3" bestFit="1" customWidth="1"/>
    <col min="10761" max="10761" width="3.5546875" style="3" customWidth="1"/>
    <col min="10762" max="10762" width="24.5546875" style="3" bestFit="1" customWidth="1"/>
    <col min="10763" max="11008" width="11.5546875" style="3"/>
    <col min="11009" max="11009" width="3" style="3" customWidth="1"/>
    <col min="11010" max="11010" width="11.5546875" style="3"/>
    <col min="11011" max="11011" width="12.44140625" style="3" bestFit="1" customWidth="1"/>
    <col min="11012" max="11012" width="14.44140625" style="3" bestFit="1" customWidth="1"/>
    <col min="11013" max="11013" width="21.44140625" style="3" bestFit="1" customWidth="1"/>
    <col min="11014" max="11014" width="14.44140625" style="3" bestFit="1" customWidth="1"/>
    <col min="11015" max="11015" width="3.5546875" style="3" customWidth="1"/>
    <col min="11016" max="11016" width="5.44140625" style="3" bestFit="1" customWidth="1"/>
    <col min="11017" max="11017" width="3.5546875" style="3" customWidth="1"/>
    <col min="11018" max="11018" width="24.5546875" style="3" bestFit="1" customWidth="1"/>
    <col min="11019" max="11264" width="11.5546875" style="3"/>
    <col min="11265" max="11265" width="3" style="3" customWidth="1"/>
    <col min="11266" max="11266" width="11.5546875" style="3"/>
    <col min="11267" max="11267" width="12.44140625" style="3" bestFit="1" customWidth="1"/>
    <col min="11268" max="11268" width="14.44140625" style="3" bestFit="1" customWidth="1"/>
    <col min="11269" max="11269" width="21.44140625" style="3" bestFit="1" customWidth="1"/>
    <col min="11270" max="11270" width="14.44140625" style="3" bestFit="1" customWidth="1"/>
    <col min="11271" max="11271" width="3.5546875" style="3" customWidth="1"/>
    <col min="11272" max="11272" width="5.44140625" style="3" bestFit="1" customWidth="1"/>
    <col min="11273" max="11273" width="3.5546875" style="3" customWidth="1"/>
    <col min="11274" max="11274" width="24.5546875" style="3" bestFit="1" customWidth="1"/>
    <col min="11275" max="11520" width="11.5546875" style="3"/>
    <col min="11521" max="11521" width="3" style="3" customWidth="1"/>
    <col min="11522" max="11522" width="11.5546875" style="3"/>
    <col min="11523" max="11523" width="12.44140625" style="3" bestFit="1" customWidth="1"/>
    <col min="11524" max="11524" width="14.44140625" style="3" bestFit="1" customWidth="1"/>
    <col min="11525" max="11525" width="21.44140625" style="3" bestFit="1" customWidth="1"/>
    <col min="11526" max="11526" width="14.44140625" style="3" bestFit="1" customWidth="1"/>
    <col min="11527" max="11527" width="3.5546875" style="3" customWidth="1"/>
    <col min="11528" max="11528" width="5.44140625" style="3" bestFit="1" customWidth="1"/>
    <col min="11529" max="11529" width="3.5546875" style="3" customWidth="1"/>
    <col min="11530" max="11530" width="24.5546875" style="3" bestFit="1" customWidth="1"/>
    <col min="11531" max="11776" width="11.5546875" style="3"/>
    <col min="11777" max="11777" width="3" style="3" customWidth="1"/>
    <col min="11778" max="11778" width="11.5546875" style="3"/>
    <col min="11779" max="11779" width="12.44140625" style="3" bestFit="1" customWidth="1"/>
    <col min="11780" max="11780" width="14.44140625" style="3" bestFit="1" customWidth="1"/>
    <col min="11781" max="11781" width="21.44140625" style="3" bestFit="1" customWidth="1"/>
    <col min="11782" max="11782" width="14.44140625" style="3" bestFit="1" customWidth="1"/>
    <col min="11783" max="11783" width="3.5546875" style="3" customWidth="1"/>
    <col min="11784" max="11784" width="5.44140625" style="3" bestFit="1" customWidth="1"/>
    <col min="11785" max="11785" width="3.5546875" style="3" customWidth="1"/>
    <col min="11786" max="11786" width="24.5546875" style="3" bestFit="1" customWidth="1"/>
    <col min="11787" max="12032" width="11.5546875" style="3"/>
    <col min="12033" max="12033" width="3" style="3" customWidth="1"/>
    <col min="12034" max="12034" width="11.5546875" style="3"/>
    <col min="12035" max="12035" width="12.44140625" style="3" bestFit="1" customWidth="1"/>
    <col min="12036" max="12036" width="14.44140625" style="3" bestFit="1" customWidth="1"/>
    <col min="12037" max="12037" width="21.44140625" style="3" bestFit="1" customWidth="1"/>
    <col min="12038" max="12038" width="14.44140625" style="3" bestFit="1" customWidth="1"/>
    <col min="12039" max="12039" width="3.5546875" style="3" customWidth="1"/>
    <col min="12040" max="12040" width="5.44140625" style="3" bestFit="1" customWidth="1"/>
    <col min="12041" max="12041" width="3.5546875" style="3" customWidth="1"/>
    <col min="12042" max="12042" width="24.5546875" style="3" bestFit="1" customWidth="1"/>
    <col min="12043" max="12288" width="11.5546875" style="3"/>
    <col min="12289" max="12289" width="3" style="3" customWidth="1"/>
    <col min="12290" max="12290" width="11.5546875" style="3"/>
    <col min="12291" max="12291" width="12.44140625" style="3" bestFit="1" customWidth="1"/>
    <col min="12292" max="12292" width="14.44140625" style="3" bestFit="1" customWidth="1"/>
    <col min="12293" max="12293" width="21.44140625" style="3" bestFit="1" customWidth="1"/>
    <col min="12294" max="12294" width="14.44140625" style="3" bestFit="1" customWidth="1"/>
    <col min="12295" max="12295" width="3.5546875" style="3" customWidth="1"/>
    <col min="12296" max="12296" width="5.44140625" style="3" bestFit="1" customWidth="1"/>
    <col min="12297" max="12297" width="3.5546875" style="3" customWidth="1"/>
    <col min="12298" max="12298" width="24.5546875" style="3" bestFit="1" customWidth="1"/>
    <col min="12299" max="12544" width="11.5546875" style="3"/>
    <col min="12545" max="12545" width="3" style="3" customWidth="1"/>
    <col min="12546" max="12546" width="11.5546875" style="3"/>
    <col min="12547" max="12547" width="12.44140625" style="3" bestFit="1" customWidth="1"/>
    <col min="12548" max="12548" width="14.44140625" style="3" bestFit="1" customWidth="1"/>
    <col min="12549" max="12549" width="21.44140625" style="3" bestFit="1" customWidth="1"/>
    <col min="12550" max="12550" width="14.44140625" style="3" bestFit="1" customWidth="1"/>
    <col min="12551" max="12551" width="3.5546875" style="3" customWidth="1"/>
    <col min="12552" max="12552" width="5.44140625" style="3" bestFit="1" customWidth="1"/>
    <col min="12553" max="12553" width="3.5546875" style="3" customWidth="1"/>
    <col min="12554" max="12554" width="24.5546875" style="3" bestFit="1" customWidth="1"/>
    <col min="12555" max="12800" width="11.5546875" style="3"/>
    <col min="12801" max="12801" width="3" style="3" customWidth="1"/>
    <col min="12802" max="12802" width="11.5546875" style="3"/>
    <col min="12803" max="12803" width="12.44140625" style="3" bestFit="1" customWidth="1"/>
    <col min="12804" max="12804" width="14.44140625" style="3" bestFit="1" customWidth="1"/>
    <col min="12805" max="12805" width="21.44140625" style="3" bestFit="1" customWidth="1"/>
    <col min="12806" max="12806" width="14.44140625" style="3" bestFit="1" customWidth="1"/>
    <col min="12807" max="12807" width="3.5546875" style="3" customWidth="1"/>
    <col min="12808" max="12808" width="5.44140625" style="3" bestFit="1" customWidth="1"/>
    <col min="12809" max="12809" width="3.5546875" style="3" customWidth="1"/>
    <col min="12810" max="12810" width="24.5546875" style="3" bestFit="1" customWidth="1"/>
    <col min="12811" max="13056" width="11.5546875" style="3"/>
    <col min="13057" max="13057" width="3" style="3" customWidth="1"/>
    <col min="13058" max="13058" width="11.5546875" style="3"/>
    <col min="13059" max="13059" width="12.44140625" style="3" bestFit="1" customWidth="1"/>
    <col min="13060" max="13060" width="14.44140625" style="3" bestFit="1" customWidth="1"/>
    <col min="13061" max="13061" width="21.44140625" style="3" bestFit="1" customWidth="1"/>
    <col min="13062" max="13062" width="14.44140625" style="3" bestFit="1" customWidth="1"/>
    <col min="13063" max="13063" width="3.5546875" style="3" customWidth="1"/>
    <col min="13064" max="13064" width="5.44140625" style="3" bestFit="1" customWidth="1"/>
    <col min="13065" max="13065" width="3.5546875" style="3" customWidth="1"/>
    <col min="13066" max="13066" width="24.5546875" style="3" bestFit="1" customWidth="1"/>
    <col min="13067" max="13312" width="11.5546875" style="3"/>
    <col min="13313" max="13313" width="3" style="3" customWidth="1"/>
    <col min="13314" max="13314" width="11.5546875" style="3"/>
    <col min="13315" max="13315" width="12.44140625" style="3" bestFit="1" customWidth="1"/>
    <col min="13316" max="13316" width="14.44140625" style="3" bestFit="1" customWidth="1"/>
    <col min="13317" max="13317" width="21.44140625" style="3" bestFit="1" customWidth="1"/>
    <col min="13318" max="13318" width="14.44140625" style="3" bestFit="1" customWidth="1"/>
    <col min="13319" max="13319" width="3.5546875" style="3" customWidth="1"/>
    <col min="13320" max="13320" width="5.44140625" style="3" bestFit="1" customWidth="1"/>
    <col min="13321" max="13321" width="3.5546875" style="3" customWidth="1"/>
    <col min="13322" max="13322" width="24.5546875" style="3" bestFit="1" customWidth="1"/>
    <col min="13323" max="13568" width="11.5546875" style="3"/>
    <col min="13569" max="13569" width="3" style="3" customWidth="1"/>
    <col min="13570" max="13570" width="11.5546875" style="3"/>
    <col min="13571" max="13571" width="12.44140625" style="3" bestFit="1" customWidth="1"/>
    <col min="13572" max="13572" width="14.44140625" style="3" bestFit="1" customWidth="1"/>
    <col min="13573" max="13573" width="21.44140625" style="3" bestFit="1" customWidth="1"/>
    <col min="13574" max="13574" width="14.44140625" style="3" bestFit="1" customWidth="1"/>
    <col min="13575" max="13575" width="3.5546875" style="3" customWidth="1"/>
    <col min="13576" max="13576" width="5.44140625" style="3" bestFit="1" customWidth="1"/>
    <col min="13577" max="13577" width="3.5546875" style="3" customWidth="1"/>
    <col min="13578" max="13578" width="24.5546875" style="3" bestFit="1" customWidth="1"/>
    <col min="13579" max="13824" width="11.5546875" style="3"/>
    <col min="13825" max="13825" width="3" style="3" customWidth="1"/>
    <col min="13826" max="13826" width="11.5546875" style="3"/>
    <col min="13827" max="13827" width="12.44140625" style="3" bestFit="1" customWidth="1"/>
    <col min="13828" max="13828" width="14.44140625" style="3" bestFit="1" customWidth="1"/>
    <col min="13829" max="13829" width="21.44140625" style="3" bestFit="1" customWidth="1"/>
    <col min="13830" max="13830" width="14.44140625" style="3" bestFit="1" customWidth="1"/>
    <col min="13831" max="13831" width="3.5546875" style="3" customWidth="1"/>
    <col min="13832" max="13832" width="5.44140625" style="3" bestFit="1" customWidth="1"/>
    <col min="13833" max="13833" width="3.5546875" style="3" customWidth="1"/>
    <col min="13834" max="13834" width="24.5546875" style="3" bestFit="1" customWidth="1"/>
    <col min="13835" max="14080" width="11.5546875" style="3"/>
    <col min="14081" max="14081" width="3" style="3" customWidth="1"/>
    <col min="14082" max="14082" width="11.5546875" style="3"/>
    <col min="14083" max="14083" width="12.44140625" style="3" bestFit="1" customWidth="1"/>
    <col min="14084" max="14084" width="14.44140625" style="3" bestFit="1" customWidth="1"/>
    <col min="14085" max="14085" width="21.44140625" style="3" bestFit="1" customWidth="1"/>
    <col min="14086" max="14086" width="14.44140625" style="3" bestFit="1" customWidth="1"/>
    <col min="14087" max="14087" width="3.5546875" style="3" customWidth="1"/>
    <col min="14088" max="14088" width="5.44140625" style="3" bestFit="1" customWidth="1"/>
    <col min="14089" max="14089" width="3.5546875" style="3" customWidth="1"/>
    <col min="14090" max="14090" width="24.5546875" style="3" bestFit="1" customWidth="1"/>
    <col min="14091" max="14336" width="11.5546875" style="3"/>
    <col min="14337" max="14337" width="3" style="3" customWidth="1"/>
    <col min="14338" max="14338" width="11.5546875" style="3"/>
    <col min="14339" max="14339" width="12.44140625" style="3" bestFit="1" customWidth="1"/>
    <col min="14340" max="14340" width="14.44140625" style="3" bestFit="1" customWidth="1"/>
    <col min="14341" max="14341" width="21.44140625" style="3" bestFit="1" customWidth="1"/>
    <col min="14342" max="14342" width="14.44140625" style="3" bestFit="1" customWidth="1"/>
    <col min="14343" max="14343" width="3.5546875" style="3" customWidth="1"/>
    <col min="14344" max="14344" width="5.44140625" style="3" bestFit="1" customWidth="1"/>
    <col min="14345" max="14345" width="3.5546875" style="3" customWidth="1"/>
    <col min="14346" max="14346" width="24.5546875" style="3" bestFit="1" customWidth="1"/>
    <col min="14347" max="14592" width="11.5546875" style="3"/>
    <col min="14593" max="14593" width="3" style="3" customWidth="1"/>
    <col min="14594" max="14594" width="11.5546875" style="3"/>
    <col min="14595" max="14595" width="12.44140625" style="3" bestFit="1" customWidth="1"/>
    <col min="14596" max="14596" width="14.44140625" style="3" bestFit="1" customWidth="1"/>
    <col min="14597" max="14597" width="21.44140625" style="3" bestFit="1" customWidth="1"/>
    <col min="14598" max="14598" width="14.44140625" style="3" bestFit="1" customWidth="1"/>
    <col min="14599" max="14599" width="3.5546875" style="3" customWidth="1"/>
    <col min="14600" max="14600" width="5.44140625" style="3" bestFit="1" customWidth="1"/>
    <col min="14601" max="14601" width="3.5546875" style="3" customWidth="1"/>
    <col min="14602" max="14602" width="24.5546875" style="3" bestFit="1" customWidth="1"/>
    <col min="14603" max="14848" width="11.5546875" style="3"/>
    <col min="14849" max="14849" width="3" style="3" customWidth="1"/>
    <col min="14850" max="14850" width="11.5546875" style="3"/>
    <col min="14851" max="14851" width="12.44140625" style="3" bestFit="1" customWidth="1"/>
    <col min="14852" max="14852" width="14.44140625" style="3" bestFit="1" customWidth="1"/>
    <col min="14853" max="14853" width="21.44140625" style="3" bestFit="1" customWidth="1"/>
    <col min="14854" max="14854" width="14.44140625" style="3" bestFit="1" customWidth="1"/>
    <col min="14855" max="14855" width="3.5546875" style="3" customWidth="1"/>
    <col min="14856" max="14856" width="5.44140625" style="3" bestFit="1" customWidth="1"/>
    <col min="14857" max="14857" width="3.5546875" style="3" customWidth="1"/>
    <col min="14858" max="14858" width="24.5546875" style="3" bestFit="1" customWidth="1"/>
    <col min="14859" max="15104" width="11.5546875" style="3"/>
    <col min="15105" max="15105" width="3" style="3" customWidth="1"/>
    <col min="15106" max="15106" width="11.5546875" style="3"/>
    <col min="15107" max="15107" width="12.44140625" style="3" bestFit="1" customWidth="1"/>
    <col min="15108" max="15108" width="14.44140625" style="3" bestFit="1" customWidth="1"/>
    <col min="15109" max="15109" width="21.44140625" style="3" bestFit="1" customWidth="1"/>
    <col min="15110" max="15110" width="14.44140625" style="3" bestFit="1" customWidth="1"/>
    <col min="15111" max="15111" width="3.5546875" style="3" customWidth="1"/>
    <col min="15112" max="15112" width="5.44140625" style="3" bestFit="1" customWidth="1"/>
    <col min="15113" max="15113" width="3.5546875" style="3" customWidth="1"/>
    <col min="15114" max="15114" width="24.5546875" style="3" bestFit="1" customWidth="1"/>
    <col min="15115" max="15360" width="11.5546875" style="3"/>
    <col min="15361" max="15361" width="3" style="3" customWidth="1"/>
    <col min="15362" max="15362" width="11.5546875" style="3"/>
    <col min="15363" max="15363" width="12.44140625" style="3" bestFit="1" customWidth="1"/>
    <col min="15364" max="15364" width="14.44140625" style="3" bestFit="1" customWidth="1"/>
    <col min="15365" max="15365" width="21.44140625" style="3" bestFit="1" customWidth="1"/>
    <col min="15366" max="15366" width="14.44140625" style="3" bestFit="1" customWidth="1"/>
    <col min="15367" max="15367" width="3.5546875" style="3" customWidth="1"/>
    <col min="15368" max="15368" width="5.44140625" style="3" bestFit="1" customWidth="1"/>
    <col min="15369" max="15369" width="3.5546875" style="3" customWidth="1"/>
    <col min="15370" max="15370" width="24.5546875" style="3" bestFit="1" customWidth="1"/>
    <col min="15371" max="15616" width="11.5546875" style="3"/>
    <col min="15617" max="15617" width="3" style="3" customWidth="1"/>
    <col min="15618" max="15618" width="11.5546875" style="3"/>
    <col min="15619" max="15619" width="12.44140625" style="3" bestFit="1" customWidth="1"/>
    <col min="15620" max="15620" width="14.44140625" style="3" bestFit="1" customWidth="1"/>
    <col min="15621" max="15621" width="21.44140625" style="3" bestFit="1" customWidth="1"/>
    <col min="15622" max="15622" width="14.44140625" style="3" bestFit="1" customWidth="1"/>
    <col min="15623" max="15623" width="3.5546875" style="3" customWidth="1"/>
    <col min="15624" max="15624" width="5.44140625" style="3" bestFit="1" customWidth="1"/>
    <col min="15625" max="15625" width="3.5546875" style="3" customWidth="1"/>
    <col min="15626" max="15626" width="24.5546875" style="3" bestFit="1" customWidth="1"/>
    <col min="15627" max="15872" width="11.5546875" style="3"/>
    <col min="15873" max="15873" width="3" style="3" customWidth="1"/>
    <col min="15874" max="15874" width="11.5546875" style="3"/>
    <col min="15875" max="15875" width="12.44140625" style="3" bestFit="1" customWidth="1"/>
    <col min="15876" max="15876" width="14.44140625" style="3" bestFit="1" customWidth="1"/>
    <col min="15877" max="15877" width="21.44140625" style="3" bestFit="1" customWidth="1"/>
    <col min="15878" max="15878" width="14.44140625" style="3" bestFit="1" customWidth="1"/>
    <col min="15879" max="15879" width="3.5546875" style="3" customWidth="1"/>
    <col min="15880" max="15880" width="5.44140625" style="3" bestFit="1" customWidth="1"/>
    <col min="15881" max="15881" width="3.5546875" style="3" customWidth="1"/>
    <col min="15882" max="15882" width="24.5546875" style="3" bestFit="1" customWidth="1"/>
    <col min="15883" max="16128" width="11.5546875" style="3"/>
    <col min="16129" max="16129" width="3" style="3" customWidth="1"/>
    <col min="16130" max="16130" width="11.5546875" style="3"/>
    <col min="16131" max="16131" width="12.44140625" style="3" bestFit="1" customWidth="1"/>
    <col min="16132" max="16132" width="14.44140625" style="3" bestFit="1" customWidth="1"/>
    <col min="16133" max="16133" width="21.44140625" style="3" bestFit="1" customWidth="1"/>
    <col min="16134" max="16134" width="14.44140625" style="3" bestFit="1" customWidth="1"/>
    <col min="16135" max="16135" width="3.5546875" style="3" customWidth="1"/>
    <col min="16136" max="16136" width="5.44140625" style="3" bestFit="1" customWidth="1"/>
    <col min="16137" max="16137" width="3.5546875" style="3" customWidth="1"/>
    <col min="16138" max="16138" width="24.5546875" style="3" bestFit="1" customWidth="1"/>
    <col min="16139" max="16384" width="11.5546875" style="3"/>
  </cols>
  <sheetData>
    <row r="1" spans="2:11" ht="15" thickBot="1"/>
    <row r="2" spans="2:11" ht="15" thickBot="1">
      <c r="B2" s="139"/>
      <c r="C2" s="201" t="s">
        <v>132</v>
      </c>
      <c r="D2" s="201"/>
      <c r="E2" s="202"/>
      <c r="F2" s="202"/>
      <c r="G2" s="202"/>
      <c r="H2" s="202"/>
      <c r="I2" s="202"/>
      <c r="J2" s="202"/>
      <c r="K2" s="203"/>
    </row>
    <row r="3" spans="2:11" ht="15" thickBot="1">
      <c r="B3" s="30"/>
      <c r="C3" s="143" t="s">
        <v>133</v>
      </c>
      <c r="D3" s="204" t="s">
        <v>134</v>
      </c>
      <c r="E3" s="204" t="s">
        <v>135</v>
      </c>
      <c r="F3" s="205" t="s">
        <v>136</v>
      </c>
      <c r="J3" s="206" t="s">
        <v>137</v>
      </c>
      <c r="K3" s="207"/>
    </row>
    <row r="4" spans="2:11">
      <c r="B4" s="30"/>
      <c r="C4" s="208">
        <v>2.7</v>
      </c>
      <c r="D4" s="208">
        <v>4</v>
      </c>
      <c r="E4" s="208">
        <v>16</v>
      </c>
      <c r="F4" s="209">
        <f>(C4*D4)+(J4*E4)</f>
        <v>12.600000000000001</v>
      </c>
      <c r="G4" s="209"/>
      <c r="H4" s="3">
        <f>C10-C20</f>
        <v>10.67999999999995</v>
      </c>
      <c r="J4" s="210">
        <f>C4/24</f>
        <v>0.1125</v>
      </c>
      <c r="K4" s="207"/>
    </row>
    <row r="5" spans="2:11" ht="15" thickBot="1">
      <c r="B5" s="30"/>
      <c r="C5" s="211" t="s">
        <v>138</v>
      </c>
      <c r="D5" s="212"/>
      <c r="K5" s="207"/>
    </row>
    <row r="6" spans="2:11" ht="15" thickBot="1">
      <c r="B6" s="30"/>
      <c r="C6" s="143" t="s">
        <v>139</v>
      </c>
      <c r="D6" s="204" t="s">
        <v>134</v>
      </c>
      <c r="E6" s="204" t="s">
        <v>135</v>
      </c>
      <c r="F6" s="205" t="s">
        <v>136</v>
      </c>
      <c r="J6" s="206" t="s">
        <v>137</v>
      </c>
      <c r="K6" s="207"/>
    </row>
    <row r="7" spans="2:11">
      <c r="B7" s="30"/>
      <c r="C7" s="208">
        <v>0</v>
      </c>
      <c r="D7" s="208">
        <v>0</v>
      </c>
      <c r="E7" s="208">
        <v>0</v>
      </c>
      <c r="F7" s="213">
        <f>(C7*D7)+(J7*E7)</f>
        <v>0</v>
      </c>
      <c r="G7" s="213"/>
      <c r="H7" s="3">
        <f>D10-D20</f>
        <v>0</v>
      </c>
      <c r="J7" s="210">
        <f>C7/24</f>
        <v>0</v>
      </c>
      <c r="K7" s="207"/>
    </row>
    <row r="8" spans="2:11" ht="15" thickBot="1">
      <c r="B8" s="30"/>
      <c r="K8" s="207"/>
    </row>
    <row r="9" spans="2:11" ht="15" thickBot="1">
      <c r="B9" s="30"/>
      <c r="C9" s="214" t="s">
        <v>140</v>
      </c>
      <c r="D9" s="215" t="s">
        <v>141</v>
      </c>
      <c r="E9" s="204" t="s">
        <v>142</v>
      </c>
      <c r="F9" s="205" t="s">
        <v>143</v>
      </c>
      <c r="K9" s="207"/>
    </row>
    <row r="10" spans="2:11" ht="15" thickBot="1">
      <c r="B10" s="33"/>
      <c r="C10" s="216">
        <v>540.89</v>
      </c>
      <c r="D10" s="217">
        <v>123.96</v>
      </c>
      <c r="E10" s="218">
        <f>C10-C20</f>
        <v>10.67999999999995</v>
      </c>
      <c r="F10" s="211">
        <f>D10-D20</f>
        <v>0</v>
      </c>
      <c r="G10" s="219"/>
      <c r="H10" s="34"/>
      <c r="I10" s="34"/>
      <c r="J10" s="34"/>
      <c r="K10" s="35"/>
    </row>
    <row r="11" spans="2:11" ht="15" thickBot="1">
      <c r="C11" s="220"/>
      <c r="D11" s="164"/>
      <c r="E11" s="209"/>
      <c r="F11" s="221"/>
      <c r="G11" s="221"/>
    </row>
    <row r="12" spans="2:11" ht="15" thickBot="1">
      <c r="B12" s="139"/>
      <c r="C12" s="201" t="s">
        <v>144</v>
      </c>
      <c r="D12" s="201"/>
      <c r="E12" s="202"/>
      <c r="F12" s="202"/>
      <c r="G12" s="202"/>
      <c r="H12" s="202"/>
      <c r="I12" s="202"/>
      <c r="J12" s="202"/>
      <c r="K12" s="203"/>
    </row>
    <row r="13" spans="2:11" ht="15" thickBot="1">
      <c r="B13" s="30"/>
      <c r="C13" s="143" t="s">
        <v>133</v>
      </c>
      <c r="D13" s="204" t="s">
        <v>134</v>
      </c>
      <c r="E13" s="204" t="s">
        <v>135</v>
      </c>
      <c r="F13" s="205" t="s">
        <v>136</v>
      </c>
      <c r="J13" s="206" t="s">
        <v>137</v>
      </c>
      <c r="K13" s="207"/>
    </row>
    <row r="14" spans="2:11">
      <c r="B14" s="30"/>
      <c r="C14" s="208">
        <v>5.4</v>
      </c>
      <c r="D14" s="208">
        <v>5</v>
      </c>
      <c r="E14" s="208">
        <v>0</v>
      </c>
      <c r="F14" s="209">
        <f>(C14*D14)+(J14*E14)</f>
        <v>27</v>
      </c>
      <c r="G14" s="209"/>
      <c r="J14" s="210">
        <f>C14/24</f>
        <v>0.22500000000000001</v>
      </c>
      <c r="K14" s="207"/>
    </row>
    <row r="15" spans="2:11" ht="15" thickBot="1">
      <c r="B15" s="30"/>
      <c r="C15" s="211" t="s">
        <v>138</v>
      </c>
      <c r="D15" s="212"/>
      <c r="K15" s="207"/>
    </row>
    <row r="16" spans="2:11" ht="15" thickBot="1">
      <c r="B16" s="30"/>
      <c r="C16" s="143" t="s">
        <v>139</v>
      </c>
      <c r="D16" s="204" t="s">
        <v>134</v>
      </c>
      <c r="E16" s="204" t="s">
        <v>135</v>
      </c>
      <c r="F16" s="205" t="s">
        <v>136</v>
      </c>
      <c r="J16" s="206" t="s">
        <v>137</v>
      </c>
      <c r="K16" s="207"/>
    </row>
    <row r="17" spans="2:11">
      <c r="B17" s="30"/>
      <c r="C17" s="208">
        <v>0</v>
      </c>
      <c r="D17" s="208">
        <v>0</v>
      </c>
      <c r="E17" s="208">
        <v>0</v>
      </c>
      <c r="F17" s="213">
        <f>(C17*D17)+(J17*E17)</f>
        <v>0</v>
      </c>
      <c r="G17" s="213"/>
      <c r="J17" s="210">
        <f>C17/24</f>
        <v>0</v>
      </c>
      <c r="K17" s="207"/>
    </row>
    <row r="18" spans="2:11" ht="15" thickBot="1">
      <c r="B18" s="30"/>
      <c r="K18" s="207"/>
    </row>
    <row r="19" spans="2:11" ht="15" thickBot="1">
      <c r="B19" s="30"/>
      <c r="C19" s="214" t="s">
        <v>140</v>
      </c>
      <c r="D19" s="215" t="s">
        <v>141</v>
      </c>
      <c r="E19" s="204" t="s">
        <v>142</v>
      </c>
      <c r="F19" s="205" t="s">
        <v>143</v>
      </c>
      <c r="K19" s="207"/>
    </row>
    <row r="20" spans="2:11" ht="15" thickBot="1">
      <c r="B20" s="33"/>
      <c r="C20" s="216">
        <v>530.21</v>
      </c>
      <c r="D20" s="217">
        <f>D10</f>
        <v>123.96</v>
      </c>
      <c r="E20" s="218">
        <f>F14</f>
        <v>27</v>
      </c>
      <c r="F20" s="211">
        <f>F17</f>
        <v>0</v>
      </c>
      <c r="G20" s="219"/>
      <c r="H20" s="34"/>
      <c r="I20" s="34"/>
      <c r="J20" s="34"/>
      <c r="K20" s="35"/>
    </row>
    <row r="21" spans="2:11" ht="15" thickBot="1"/>
    <row r="22" spans="2:11" ht="15" thickBot="1">
      <c r="B22" s="139"/>
      <c r="C22" s="201" t="s">
        <v>145</v>
      </c>
      <c r="D22" s="202"/>
      <c r="E22" s="202"/>
      <c r="F22" s="202"/>
      <c r="G22" s="202"/>
      <c r="H22" s="202"/>
      <c r="I22" s="202"/>
      <c r="J22" s="202"/>
      <c r="K22" s="203"/>
    </row>
    <row r="23" spans="2:11" ht="15" thickBot="1">
      <c r="B23" s="30"/>
      <c r="C23" s="214" t="s">
        <v>146</v>
      </c>
      <c r="D23" s="214" t="s">
        <v>140</v>
      </c>
      <c r="E23" s="222" t="s">
        <v>147</v>
      </c>
      <c r="F23" s="47"/>
      <c r="G23" s="448" t="s">
        <v>148</v>
      </c>
      <c r="H23" s="449"/>
      <c r="J23" s="222" t="s">
        <v>149</v>
      </c>
      <c r="K23" s="207"/>
    </row>
    <row r="24" spans="2:11">
      <c r="B24" s="30"/>
      <c r="C24" s="223">
        <v>391.17</v>
      </c>
      <c r="D24" s="220">
        <f>C20</f>
        <v>530.21</v>
      </c>
      <c r="E24" s="220">
        <f>D24-C24</f>
        <v>139.04000000000002</v>
      </c>
      <c r="F24" s="164"/>
      <c r="G24" s="450">
        <f>J24-E24</f>
        <v>-126.44000000000003</v>
      </c>
      <c r="H24" s="450"/>
      <c r="I24" s="224"/>
      <c r="J24" s="225">
        <f>F4</f>
        <v>12.600000000000001</v>
      </c>
      <c r="K24" s="207"/>
    </row>
    <row r="25" spans="2:11" ht="15" thickBot="1">
      <c r="B25" s="30"/>
      <c r="C25" s="211" t="s">
        <v>138</v>
      </c>
      <c r="K25" s="207"/>
    </row>
    <row r="26" spans="2:11" ht="15" thickBot="1">
      <c r="B26" s="30"/>
      <c r="C26" s="226" t="s">
        <v>150</v>
      </c>
      <c r="D26" s="215" t="s">
        <v>141</v>
      </c>
      <c r="E26" s="222" t="s">
        <v>147</v>
      </c>
      <c r="F26" s="47"/>
      <c r="G26" s="448" t="s">
        <v>148</v>
      </c>
      <c r="H26" s="449"/>
      <c r="J26" s="222" t="s">
        <v>151</v>
      </c>
      <c r="K26" s="207"/>
    </row>
    <row r="27" spans="2:11" ht="15" thickBot="1">
      <c r="B27" s="30"/>
      <c r="C27" s="223">
        <v>159.9</v>
      </c>
      <c r="D27" s="164">
        <f>D20</f>
        <v>123.96</v>
      </c>
      <c r="E27" s="220">
        <f>D27-C27</f>
        <v>-35.940000000000012</v>
      </c>
      <c r="F27" s="164"/>
      <c r="G27" s="451">
        <f>C27-D27</f>
        <v>35.940000000000012</v>
      </c>
      <c r="H27" s="451"/>
      <c r="I27" s="224"/>
      <c r="J27" s="227">
        <f>F7</f>
        <v>0</v>
      </c>
      <c r="K27" s="207"/>
    </row>
    <row r="28" spans="2:11" ht="15" thickBot="1">
      <c r="B28" s="30"/>
      <c r="F28" s="228">
        <f>F4+F7</f>
        <v>12.600000000000001</v>
      </c>
      <c r="K28" s="207"/>
    </row>
    <row r="29" spans="2:11" ht="15" thickBot="1">
      <c r="B29" s="33"/>
      <c r="C29" s="34"/>
      <c r="D29" s="34"/>
      <c r="E29" s="34"/>
      <c r="F29" s="34"/>
      <c r="G29" s="34"/>
      <c r="H29" s="34"/>
      <c r="I29" s="34"/>
      <c r="J29" s="34"/>
      <c r="K29" s="35"/>
    </row>
  </sheetData>
  <mergeCells count="4">
    <mergeCell ref="G23:H23"/>
    <mergeCell ref="G24:H24"/>
    <mergeCell ref="G26:H26"/>
    <mergeCell ref="G27:H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C4A4-0D7B-4776-82A6-C343667D31A0}">
  <dimension ref="A1:Q46"/>
  <sheetViews>
    <sheetView topLeftCell="A7" zoomScaleNormal="100" workbookViewId="0">
      <selection activeCell="E39" sqref="E39"/>
    </sheetView>
  </sheetViews>
  <sheetFormatPr defaultColWidth="11.109375" defaultRowHeight="14.4"/>
  <cols>
    <col min="1" max="1" width="13.44140625" style="111" customWidth="1"/>
    <col min="2" max="4" width="11.109375" style="111" customWidth="1"/>
    <col min="5" max="5" width="13.5546875" style="111" customWidth="1"/>
    <col min="6" max="6" width="12.88671875" style="111" customWidth="1"/>
    <col min="7" max="7" width="11.109375" style="111" customWidth="1"/>
    <col min="8" max="8" width="12.109375" style="111" customWidth="1"/>
    <col min="9" max="9" width="11.109375" style="111" customWidth="1"/>
    <col min="10" max="10" width="21" style="111" customWidth="1"/>
    <col min="11" max="11" width="12.44140625" style="111" customWidth="1"/>
    <col min="12" max="13" width="11.109375" style="111" customWidth="1"/>
    <col min="14" max="14" width="11.44140625" style="111" bestFit="1" customWidth="1"/>
    <col min="15" max="256" width="11.109375" style="111"/>
    <col min="257" max="257" width="13.44140625" style="111" customWidth="1"/>
    <col min="258" max="260" width="11.109375" style="111"/>
    <col min="261" max="261" width="13.5546875" style="111" customWidth="1"/>
    <col min="262" max="262" width="12.88671875" style="111" customWidth="1"/>
    <col min="263" max="263" width="11.109375" style="111"/>
    <col min="264" max="264" width="12.109375" style="111" customWidth="1"/>
    <col min="265" max="265" width="11.109375" style="111"/>
    <col min="266" max="266" width="21" style="111" customWidth="1"/>
    <col min="267" max="267" width="12.44140625" style="111" customWidth="1"/>
    <col min="268" max="269" width="11.109375" style="111"/>
    <col min="270" max="270" width="11.44140625" style="111" bestFit="1" customWidth="1"/>
    <col min="271" max="512" width="11.109375" style="111"/>
    <col min="513" max="513" width="13.44140625" style="111" customWidth="1"/>
    <col min="514" max="516" width="11.109375" style="111"/>
    <col min="517" max="517" width="13.5546875" style="111" customWidth="1"/>
    <col min="518" max="518" width="12.88671875" style="111" customWidth="1"/>
    <col min="519" max="519" width="11.109375" style="111"/>
    <col min="520" max="520" width="12.109375" style="111" customWidth="1"/>
    <col min="521" max="521" width="11.109375" style="111"/>
    <col min="522" max="522" width="21" style="111" customWidth="1"/>
    <col min="523" max="523" width="12.44140625" style="111" customWidth="1"/>
    <col min="524" max="525" width="11.109375" style="111"/>
    <col min="526" max="526" width="11.44140625" style="111" bestFit="1" customWidth="1"/>
    <col min="527" max="768" width="11.109375" style="111"/>
    <col min="769" max="769" width="13.44140625" style="111" customWidth="1"/>
    <col min="770" max="772" width="11.109375" style="111"/>
    <col min="773" max="773" width="13.5546875" style="111" customWidth="1"/>
    <col min="774" max="774" width="12.88671875" style="111" customWidth="1"/>
    <col min="775" max="775" width="11.109375" style="111"/>
    <col min="776" max="776" width="12.109375" style="111" customWidth="1"/>
    <col min="777" max="777" width="11.109375" style="111"/>
    <col min="778" max="778" width="21" style="111" customWidth="1"/>
    <col min="779" max="779" width="12.44140625" style="111" customWidth="1"/>
    <col min="780" max="781" width="11.109375" style="111"/>
    <col min="782" max="782" width="11.44140625" style="111" bestFit="1" customWidth="1"/>
    <col min="783" max="1024" width="11.109375" style="111"/>
    <col min="1025" max="1025" width="13.44140625" style="111" customWidth="1"/>
    <col min="1026" max="1028" width="11.109375" style="111"/>
    <col min="1029" max="1029" width="13.5546875" style="111" customWidth="1"/>
    <col min="1030" max="1030" width="12.88671875" style="111" customWidth="1"/>
    <col min="1031" max="1031" width="11.109375" style="111"/>
    <col min="1032" max="1032" width="12.109375" style="111" customWidth="1"/>
    <col min="1033" max="1033" width="11.109375" style="111"/>
    <col min="1034" max="1034" width="21" style="111" customWidth="1"/>
    <col min="1035" max="1035" width="12.44140625" style="111" customWidth="1"/>
    <col min="1036" max="1037" width="11.109375" style="111"/>
    <col min="1038" max="1038" width="11.44140625" style="111" bestFit="1" customWidth="1"/>
    <col min="1039" max="1280" width="11.109375" style="111"/>
    <col min="1281" max="1281" width="13.44140625" style="111" customWidth="1"/>
    <col min="1282" max="1284" width="11.109375" style="111"/>
    <col min="1285" max="1285" width="13.5546875" style="111" customWidth="1"/>
    <col min="1286" max="1286" width="12.88671875" style="111" customWidth="1"/>
    <col min="1287" max="1287" width="11.109375" style="111"/>
    <col min="1288" max="1288" width="12.109375" style="111" customWidth="1"/>
    <col min="1289" max="1289" width="11.109375" style="111"/>
    <col min="1290" max="1290" width="21" style="111" customWidth="1"/>
    <col min="1291" max="1291" width="12.44140625" style="111" customWidth="1"/>
    <col min="1292" max="1293" width="11.109375" style="111"/>
    <col min="1294" max="1294" width="11.44140625" style="111" bestFit="1" customWidth="1"/>
    <col min="1295" max="1536" width="11.109375" style="111"/>
    <col min="1537" max="1537" width="13.44140625" style="111" customWidth="1"/>
    <col min="1538" max="1540" width="11.109375" style="111"/>
    <col min="1541" max="1541" width="13.5546875" style="111" customWidth="1"/>
    <col min="1542" max="1542" width="12.88671875" style="111" customWidth="1"/>
    <col min="1543" max="1543" width="11.109375" style="111"/>
    <col min="1544" max="1544" width="12.109375" style="111" customWidth="1"/>
    <col min="1545" max="1545" width="11.109375" style="111"/>
    <col min="1546" max="1546" width="21" style="111" customWidth="1"/>
    <col min="1547" max="1547" width="12.44140625" style="111" customWidth="1"/>
    <col min="1548" max="1549" width="11.109375" style="111"/>
    <col min="1550" max="1550" width="11.44140625" style="111" bestFit="1" customWidth="1"/>
    <col min="1551" max="1792" width="11.109375" style="111"/>
    <col min="1793" max="1793" width="13.44140625" style="111" customWidth="1"/>
    <col min="1794" max="1796" width="11.109375" style="111"/>
    <col min="1797" max="1797" width="13.5546875" style="111" customWidth="1"/>
    <col min="1798" max="1798" width="12.88671875" style="111" customWidth="1"/>
    <col min="1799" max="1799" width="11.109375" style="111"/>
    <col min="1800" max="1800" width="12.109375" style="111" customWidth="1"/>
    <col min="1801" max="1801" width="11.109375" style="111"/>
    <col min="1802" max="1802" width="21" style="111" customWidth="1"/>
    <col min="1803" max="1803" width="12.44140625" style="111" customWidth="1"/>
    <col min="1804" max="1805" width="11.109375" style="111"/>
    <col min="1806" max="1806" width="11.44140625" style="111" bestFit="1" customWidth="1"/>
    <col min="1807" max="2048" width="11.109375" style="111"/>
    <col min="2049" max="2049" width="13.44140625" style="111" customWidth="1"/>
    <col min="2050" max="2052" width="11.109375" style="111"/>
    <col min="2053" max="2053" width="13.5546875" style="111" customWidth="1"/>
    <col min="2054" max="2054" width="12.88671875" style="111" customWidth="1"/>
    <col min="2055" max="2055" width="11.109375" style="111"/>
    <col min="2056" max="2056" width="12.109375" style="111" customWidth="1"/>
    <col min="2057" max="2057" width="11.109375" style="111"/>
    <col min="2058" max="2058" width="21" style="111" customWidth="1"/>
    <col min="2059" max="2059" width="12.44140625" style="111" customWidth="1"/>
    <col min="2060" max="2061" width="11.109375" style="111"/>
    <col min="2062" max="2062" width="11.44140625" style="111" bestFit="1" customWidth="1"/>
    <col min="2063" max="2304" width="11.109375" style="111"/>
    <col min="2305" max="2305" width="13.44140625" style="111" customWidth="1"/>
    <col min="2306" max="2308" width="11.109375" style="111"/>
    <col min="2309" max="2309" width="13.5546875" style="111" customWidth="1"/>
    <col min="2310" max="2310" width="12.88671875" style="111" customWidth="1"/>
    <col min="2311" max="2311" width="11.109375" style="111"/>
    <col min="2312" max="2312" width="12.109375" style="111" customWidth="1"/>
    <col min="2313" max="2313" width="11.109375" style="111"/>
    <col min="2314" max="2314" width="21" style="111" customWidth="1"/>
    <col min="2315" max="2315" width="12.44140625" style="111" customWidth="1"/>
    <col min="2316" max="2317" width="11.109375" style="111"/>
    <col min="2318" max="2318" width="11.44140625" style="111" bestFit="1" customWidth="1"/>
    <col min="2319" max="2560" width="11.109375" style="111"/>
    <col min="2561" max="2561" width="13.44140625" style="111" customWidth="1"/>
    <col min="2562" max="2564" width="11.109375" style="111"/>
    <col min="2565" max="2565" width="13.5546875" style="111" customWidth="1"/>
    <col min="2566" max="2566" width="12.88671875" style="111" customWidth="1"/>
    <col min="2567" max="2567" width="11.109375" style="111"/>
    <col min="2568" max="2568" width="12.109375" style="111" customWidth="1"/>
    <col min="2569" max="2569" width="11.109375" style="111"/>
    <col min="2570" max="2570" width="21" style="111" customWidth="1"/>
    <col min="2571" max="2571" width="12.44140625" style="111" customWidth="1"/>
    <col min="2572" max="2573" width="11.109375" style="111"/>
    <col min="2574" max="2574" width="11.44140625" style="111" bestFit="1" customWidth="1"/>
    <col min="2575" max="2816" width="11.109375" style="111"/>
    <col min="2817" max="2817" width="13.44140625" style="111" customWidth="1"/>
    <col min="2818" max="2820" width="11.109375" style="111"/>
    <col min="2821" max="2821" width="13.5546875" style="111" customWidth="1"/>
    <col min="2822" max="2822" width="12.88671875" style="111" customWidth="1"/>
    <col min="2823" max="2823" width="11.109375" style="111"/>
    <col min="2824" max="2824" width="12.109375" style="111" customWidth="1"/>
    <col min="2825" max="2825" width="11.109375" style="111"/>
    <col min="2826" max="2826" width="21" style="111" customWidth="1"/>
    <col min="2827" max="2827" width="12.44140625" style="111" customWidth="1"/>
    <col min="2828" max="2829" width="11.109375" style="111"/>
    <col min="2830" max="2830" width="11.44140625" style="111" bestFit="1" customWidth="1"/>
    <col min="2831" max="3072" width="11.109375" style="111"/>
    <col min="3073" max="3073" width="13.44140625" style="111" customWidth="1"/>
    <col min="3074" max="3076" width="11.109375" style="111"/>
    <col min="3077" max="3077" width="13.5546875" style="111" customWidth="1"/>
    <col min="3078" max="3078" width="12.88671875" style="111" customWidth="1"/>
    <col min="3079" max="3079" width="11.109375" style="111"/>
    <col min="3080" max="3080" width="12.109375" style="111" customWidth="1"/>
    <col min="3081" max="3081" width="11.109375" style="111"/>
    <col min="3082" max="3082" width="21" style="111" customWidth="1"/>
    <col min="3083" max="3083" width="12.44140625" style="111" customWidth="1"/>
    <col min="3084" max="3085" width="11.109375" style="111"/>
    <col min="3086" max="3086" width="11.44140625" style="111" bestFit="1" customWidth="1"/>
    <col min="3087" max="3328" width="11.109375" style="111"/>
    <col min="3329" max="3329" width="13.44140625" style="111" customWidth="1"/>
    <col min="3330" max="3332" width="11.109375" style="111"/>
    <col min="3333" max="3333" width="13.5546875" style="111" customWidth="1"/>
    <col min="3334" max="3334" width="12.88671875" style="111" customWidth="1"/>
    <col min="3335" max="3335" width="11.109375" style="111"/>
    <col min="3336" max="3336" width="12.109375" style="111" customWidth="1"/>
    <col min="3337" max="3337" width="11.109375" style="111"/>
    <col min="3338" max="3338" width="21" style="111" customWidth="1"/>
    <col min="3339" max="3339" width="12.44140625" style="111" customWidth="1"/>
    <col min="3340" max="3341" width="11.109375" style="111"/>
    <col min="3342" max="3342" width="11.44140625" style="111" bestFit="1" customWidth="1"/>
    <col min="3343" max="3584" width="11.109375" style="111"/>
    <col min="3585" max="3585" width="13.44140625" style="111" customWidth="1"/>
    <col min="3586" max="3588" width="11.109375" style="111"/>
    <col min="3589" max="3589" width="13.5546875" style="111" customWidth="1"/>
    <col min="3590" max="3590" width="12.88671875" style="111" customWidth="1"/>
    <col min="3591" max="3591" width="11.109375" style="111"/>
    <col min="3592" max="3592" width="12.109375" style="111" customWidth="1"/>
    <col min="3593" max="3593" width="11.109375" style="111"/>
    <col min="3594" max="3594" width="21" style="111" customWidth="1"/>
    <col min="3595" max="3595" width="12.44140625" style="111" customWidth="1"/>
    <col min="3596" max="3597" width="11.109375" style="111"/>
    <col min="3598" max="3598" width="11.44140625" style="111" bestFit="1" customWidth="1"/>
    <col min="3599" max="3840" width="11.109375" style="111"/>
    <col min="3841" max="3841" width="13.44140625" style="111" customWidth="1"/>
    <col min="3842" max="3844" width="11.109375" style="111"/>
    <col min="3845" max="3845" width="13.5546875" style="111" customWidth="1"/>
    <col min="3846" max="3846" width="12.88671875" style="111" customWidth="1"/>
    <col min="3847" max="3847" width="11.109375" style="111"/>
    <col min="3848" max="3848" width="12.109375" style="111" customWidth="1"/>
    <col min="3849" max="3849" width="11.109375" style="111"/>
    <col min="3850" max="3850" width="21" style="111" customWidth="1"/>
    <col min="3851" max="3851" width="12.44140625" style="111" customWidth="1"/>
    <col min="3852" max="3853" width="11.109375" style="111"/>
    <col min="3854" max="3854" width="11.44140625" style="111" bestFit="1" customWidth="1"/>
    <col min="3855" max="4096" width="11.109375" style="111"/>
    <col min="4097" max="4097" width="13.44140625" style="111" customWidth="1"/>
    <col min="4098" max="4100" width="11.109375" style="111"/>
    <col min="4101" max="4101" width="13.5546875" style="111" customWidth="1"/>
    <col min="4102" max="4102" width="12.88671875" style="111" customWidth="1"/>
    <col min="4103" max="4103" width="11.109375" style="111"/>
    <col min="4104" max="4104" width="12.109375" style="111" customWidth="1"/>
    <col min="4105" max="4105" width="11.109375" style="111"/>
    <col min="4106" max="4106" width="21" style="111" customWidth="1"/>
    <col min="4107" max="4107" width="12.44140625" style="111" customWidth="1"/>
    <col min="4108" max="4109" width="11.109375" style="111"/>
    <col min="4110" max="4110" width="11.44140625" style="111" bestFit="1" customWidth="1"/>
    <col min="4111" max="4352" width="11.109375" style="111"/>
    <col min="4353" max="4353" width="13.44140625" style="111" customWidth="1"/>
    <col min="4354" max="4356" width="11.109375" style="111"/>
    <col min="4357" max="4357" width="13.5546875" style="111" customWidth="1"/>
    <col min="4358" max="4358" width="12.88671875" style="111" customWidth="1"/>
    <col min="4359" max="4359" width="11.109375" style="111"/>
    <col min="4360" max="4360" width="12.109375" style="111" customWidth="1"/>
    <col min="4361" max="4361" width="11.109375" style="111"/>
    <col min="4362" max="4362" width="21" style="111" customWidth="1"/>
    <col min="4363" max="4363" width="12.44140625" style="111" customWidth="1"/>
    <col min="4364" max="4365" width="11.109375" style="111"/>
    <col min="4366" max="4366" width="11.44140625" style="111" bestFit="1" customWidth="1"/>
    <col min="4367" max="4608" width="11.109375" style="111"/>
    <col min="4609" max="4609" width="13.44140625" style="111" customWidth="1"/>
    <col min="4610" max="4612" width="11.109375" style="111"/>
    <col min="4613" max="4613" width="13.5546875" style="111" customWidth="1"/>
    <col min="4614" max="4614" width="12.88671875" style="111" customWidth="1"/>
    <col min="4615" max="4615" width="11.109375" style="111"/>
    <col min="4616" max="4616" width="12.109375" style="111" customWidth="1"/>
    <col min="4617" max="4617" width="11.109375" style="111"/>
    <col min="4618" max="4618" width="21" style="111" customWidth="1"/>
    <col min="4619" max="4619" width="12.44140625" style="111" customWidth="1"/>
    <col min="4620" max="4621" width="11.109375" style="111"/>
    <col min="4622" max="4622" width="11.44140625" style="111" bestFit="1" customWidth="1"/>
    <col min="4623" max="4864" width="11.109375" style="111"/>
    <col min="4865" max="4865" width="13.44140625" style="111" customWidth="1"/>
    <col min="4866" max="4868" width="11.109375" style="111"/>
    <col min="4869" max="4869" width="13.5546875" style="111" customWidth="1"/>
    <col min="4870" max="4870" width="12.88671875" style="111" customWidth="1"/>
    <col min="4871" max="4871" width="11.109375" style="111"/>
    <col min="4872" max="4872" width="12.109375" style="111" customWidth="1"/>
    <col min="4873" max="4873" width="11.109375" style="111"/>
    <col min="4874" max="4874" width="21" style="111" customWidth="1"/>
    <col min="4875" max="4875" width="12.44140625" style="111" customWidth="1"/>
    <col min="4876" max="4877" width="11.109375" style="111"/>
    <col min="4878" max="4878" width="11.44140625" style="111" bestFit="1" customWidth="1"/>
    <col min="4879" max="5120" width="11.109375" style="111"/>
    <col min="5121" max="5121" width="13.44140625" style="111" customWidth="1"/>
    <col min="5122" max="5124" width="11.109375" style="111"/>
    <col min="5125" max="5125" width="13.5546875" style="111" customWidth="1"/>
    <col min="5126" max="5126" width="12.88671875" style="111" customWidth="1"/>
    <col min="5127" max="5127" width="11.109375" style="111"/>
    <col min="5128" max="5128" width="12.109375" style="111" customWidth="1"/>
    <col min="5129" max="5129" width="11.109375" style="111"/>
    <col min="5130" max="5130" width="21" style="111" customWidth="1"/>
    <col min="5131" max="5131" width="12.44140625" style="111" customWidth="1"/>
    <col min="5132" max="5133" width="11.109375" style="111"/>
    <col min="5134" max="5134" width="11.44140625" style="111" bestFit="1" customWidth="1"/>
    <col min="5135" max="5376" width="11.109375" style="111"/>
    <col min="5377" max="5377" width="13.44140625" style="111" customWidth="1"/>
    <col min="5378" max="5380" width="11.109375" style="111"/>
    <col min="5381" max="5381" width="13.5546875" style="111" customWidth="1"/>
    <col min="5382" max="5382" width="12.88671875" style="111" customWidth="1"/>
    <col min="5383" max="5383" width="11.109375" style="111"/>
    <col min="5384" max="5384" width="12.109375" style="111" customWidth="1"/>
    <col min="5385" max="5385" width="11.109375" style="111"/>
    <col min="5386" max="5386" width="21" style="111" customWidth="1"/>
    <col min="5387" max="5387" width="12.44140625" style="111" customWidth="1"/>
    <col min="5388" max="5389" width="11.109375" style="111"/>
    <col min="5390" max="5390" width="11.44140625" style="111" bestFit="1" customWidth="1"/>
    <col min="5391" max="5632" width="11.109375" style="111"/>
    <col min="5633" max="5633" width="13.44140625" style="111" customWidth="1"/>
    <col min="5634" max="5636" width="11.109375" style="111"/>
    <col min="5637" max="5637" width="13.5546875" style="111" customWidth="1"/>
    <col min="5638" max="5638" width="12.88671875" style="111" customWidth="1"/>
    <col min="5639" max="5639" width="11.109375" style="111"/>
    <col min="5640" max="5640" width="12.109375" style="111" customWidth="1"/>
    <col min="5641" max="5641" width="11.109375" style="111"/>
    <col min="5642" max="5642" width="21" style="111" customWidth="1"/>
    <col min="5643" max="5643" width="12.44140625" style="111" customWidth="1"/>
    <col min="5644" max="5645" width="11.109375" style="111"/>
    <col min="5646" max="5646" width="11.44140625" style="111" bestFit="1" customWidth="1"/>
    <col min="5647" max="5888" width="11.109375" style="111"/>
    <col min="5889" max="5889" width="13.44140625" style="111" customWidth="1"/>
    <col min="5890" max="5892" width="11.109375" style="111"/>
    <col min="5893" max="5893" width="13.5546875" style="111" customWidth="1"/>
    <col min="5894" max="5894" width="12.88671875" style="111" customWidth="1"/>
    <col min="5895" max="5895" width="11.109375" style="111"/>
    <col min="5896" max="5896" width="12.109375" style="111" customWidth="1"/>
    <col min="5897" max="5897" width="11.109375" style="111"/>
    <col min="5898" max="5898" width="21" style="111" customWidth="1"/>
    <col min="5899" max="5899" width="12.44140625" style="111" customWidth="1"/>
    <col min="5900" max="5901" width="11.109375" style="111"/>
    <col min="5902" max="5902" width="11.44140625" style="111" bestFit="1" customWidth="1"/>
    <col min="5903" max="6144" width="11.109375" style="111"/>
    <col min="6145" max="6145" width="13.44140625" style="111" customWidth="1"/>
    <col min="6146" max="6148" width="11.109375" style="111"/>
    <col min="6149" max="6149" width="13.5546875" style="111" customWidth="1"/>
    <col min="6150" max="6150" width="12.88671875" style="111" customWidth="1"/>
    <col min="6151" max="6151" width="11.109375" style="111"/>
    <col min="6152" max="6152" width="12.109375" style="111" customWidth="1"/>
    <col min="6153" max="6153" width="11.109375" style="111"/>
    <col min="6154" max="6154" width="21" style="111" customWidth="1"/>
    <col min="6155" max="6155" width="12.44140625" style="111" customWidth="1"/>
    <col min="6156" max="6157" width="11.109375" style="111"/>
    <col min="6158" max="6158" width="11.44140625" style="111" bestFit="1" customWidth="1"/>
    <col min="6159" max="6400" width="11.109375" style="111"/>
    <col min="6401" max="6401" width="13.44140625" style="111" customWidth="1"/>
    <col min="6402" max="6404" width="11.109375" style="111"/>
    <col min="6405" max="6405" width="13.5546875" style="111" customWidth="1"/>
    <col min="6406" max="6406" width="12.88671875" style="111" customWidth="1"/>
    <col min="6407" max="6407" width="11.109375" style="111"/>
    <col min="6408" max="6408" width="12.109375" style="111" customWidth="1"/>
    <col min="6409" max="6409" width="11.109375" style="111"/>
    <col min="6410" max="6410" width="21" style="111" customWidth="1"/>
    <col min="6411" max="6411" width="12.44140625" style="111" customWidth="1"/>
    <col min="6412" max="6413" width="11.109375" style="111"/>
    <col min="6414" max="6414" width="11.44140625" style="111" bestFit="1" customWidth="1"/>
    <col min="6415" max="6656" width="11.109375" style="111"/>
    <col min="6657" max="6657" width="13.44140625" style="111" customWidth="1"/>
    <col min="6658" max="6660" width="11.109375" style="111"/>
    <col min="6661" max="6661" width="13.5546875" style="111" customWidth="1"/>
    <col min="6662" max="6662" width="12.88671875" style="111" customWidth="1"/>
    <col min="6663" max="6663" width="11.109375" style="111"/>
    <col min="6664" max="6664" width="12.109375" style="111" customWidth="1"/>
    <col min="6665" max="6665" width="11.109375" style="111"/>
    <col min="6666" max="6666" width="21" style="111" customWidth="1"/>
    <col min="6667" max="6667" width="12.44140625" style="111" customWidth="1"/>
    <col min="6668" max="6669" width="11.109375" style="111"/>
    <col min="6670" max="6670" width="11.44140625" style="111" bestFit="1" customWidth="1"/>
    <col min="6671" max="6912" width="11.109375" style="111"/>
    <col min="6913" max="6913" width="13.44140625" style="111" customWidth="1"/>
    <col min="6914" max="6916" width="11.109375" style="111"/>
    <col min="6917" max="6917" width="13.5546875" style="111" customWidth="1"/>
    <col min="6918" max="6918" width="12.88671875" style="111" customWidth="1"/>
    <col min="6919" max="6919" width="11.109375" style="111"/>
    <col min="6920" max="6920" width="12.109375" style="111" customWidth="1"/>
    <col min="6921" max="6921" width="11.109375" style="111"/>
    <col min="6922" max="6922" width="21" style="111" customWidth="1"/>
    <col min="6923" max="6923" width="12.44140625" style="111" customWidth="1"/>
    <col min="6924" max="6925" width="11.109375" style="111"/>
    <col min="6926" max="6926" width="11.44140625" style="111" bestFit="1" customWidth="1"/>
    <col min="6927" max="7168" width="11.109375" style="111"/>
    <col min="7169" max="7169" width="13.44140625" style="111" customWidth="1"/>
    <col min="7170" max="7172" width="11.109375" style="111"/>
    <col min="7173" max="7173" width="13.5546875" style="111" customWidth="1"/>
    <col min="7174" max="7174" width="12.88671875" style="111" customWidth="1"/>
    <col min="7175" max="7175" width="11.109375" style="111"/>
    <col min="7176" max="7176" width="12.109375" style="111" customWidth="1"/>
    <col min="7177" max="7177" width="11.109375" style="111"/>
    <col min="7178" max="7178" width="21" style="111" customWidth="1"/>
    <col min="7179" max="7179" width="12.44140625" style="111" customWidth="1"/>
    <col min="7180" max="7181" width="11.109375" style="111"/>
    <col min="7182" max="7182" width="11.44140625" style="111" bestFit="1" customWidth="1"/>
    <col min="7183" max="7424" width="11.109375" style="111"/>
    <col min="7425" max="7425" width="13.44140625" style="111" customWidth="1"/>
    <col min="7426" max="7428" width="11.109375" style="111"/>
    <col min="7429" max="7429" width="13.5546875" style="111" customWidth="1"/>
    <col min="7430" max="7430" width="12.88671875" style="111" customWidth="1"/>
    <col min="7431" max="7431" width="11.109375" style="111"/>
    <col min="7432" max="7432" width="12.109375" style="111" customWidth="1"/>
    <col min="7433" max="7433" width="11.109375" style="111"/>
    <col min="7434" max="7434" width="21" style="111" customWidth="1"/>
    <col min="7435" max="7435" width="12.44140625" style="111" customWidth="1"/>
    <col min="7436" max="7437" width="11.109375" style="111"/>
    <col min="7438" max="7438" width="11.44140625" style="111" bestFit="1" customWidth="1"/>
    <col min="7439" max="7680" width="11.109375" style="111"/>
    <col min="7681" max="7681" width="13.44140625" style="111" customWidth="1"/>
    <col min="7682" max="7684" width="11.109375" style="111"/>
    <col min="7685" max="7685" width="13.5546875" style="111" customWidth="1"/>
    <col min="7686" max="7686" width="12.88671875" style="111" customWidth="1"/>
    <col min="7687" max="7687" width="11.109375" style="111"/>
    <col min="7688" max="7688" width="12.109375" style="111" customWidth="1"/>
    <col min="7689" max="7689" width="11.109375" style="111"/>
    <col min="7690" max="7690" width="21" style="111" customWidth="1"/>
    <col min="7691" max="7691" width="12.44140625" style="111" customWidth="1"/>
    <col min="7692" max="7693" width="11.109375" style="111"/>
    <col min="7694" max="7694" width="11.44140625" style="111" bestFit="1" customWidth="1"/>
    <col min="7695" max="7936" width="11.109375" style="111"/>
    <col min="7937" max="7937" width="13.44140625" style="111" customWidth="1"/>
    <col min="7938" max="7940" width="11.109375" style="111"/>
    <col min="7941" max="7941" width="13.5546875" style="111" customWidth="1"/>
    <col min="7942" max="7942" width="12.88671875" style="111" customWidth="1"/>
    <col min="7943" max="7943" width="11.109375" style="111"/>
    <col min="7944" max="7944" width="12.109375" style="111" customWidth="1"/>
    <col min="7945" max="7945" width="11.109375" style="111"/>
    <col min="7946" max="7946" width="21" style="111" customWidth="1"/>
    <col min="7947" max="7947" width="12.44140625" style="111" customWidth="1"/>
    <col min="7948" max="7949" width="11.109375" style="111"/>
    <col min="7950" max="7950" width="11.44140625" style="111" bestFit="1" customWidth="1"/>
    <col min="7951" max="8192" width="11.109375" style="111"/>
    <col min="8193" max="8193" width="13.44140625" style="111" customWidth="1"/>
    <col min="8194" max="8196" width="11.109375" style="111"/>
    <col min="8197" max="8197" width="13.5546875" style="111" customWidth="1"/>
    <col min="8198" max="8198" width="12.88671875" style="111" customWidth="1"/>
    <col min="8199" max="8199" width="11.109375" style="111"/>
    <col min="8200" max="8200" width="12.109375" style="111" customWidth="1"/>
    <col min="8201" max="8201" width="11.109375" style="111"/>
    <col min="8202" max="8202" width="21" style="111" customWidth="1"/>
    <col min="8203" max="8203" width="12.44140625" style="111" customWidth="1"/>
    <col min="8204" max="8205" width="11.109375" style="111"/>
    <col min="8206" max="8206" width="11.44140625" style="111" bestFit="1" customWidth="1"/>
    <col min="8207" max="8448" width="11.109375" style="111"/>
    <col min="8449" max="8449" width="13.44140625" style="111" customWidth="1"/>
    <col min="8450" max="8452" width="11.109375" style="111"/>
    <col min="8453" max="8453" width="13.5546875" style="111" customWidth="1"/>
    <col min="8454" max="8454" width="12.88671875" style="111" customWidth="1"/>
    <col min="8455" max="8455" width="11.109375" style="111"/>
    <col min="8456" max="8456" width="12.109375" style="111" customWidth="1"/>
    <col min="8457" max="8457" width="11.109375" style="111"/>
    <col min="8458" max="8458" width="21" style="111" customWidth="1"/>
    <col min="8459" max="8459" width="12.44140625" style="111" customWidth="1"/>
    <col min="8460" max="8461" width="11.109375" style="111"/>
    <col min="8462" max="8462" width="11.44140625" style="111" bestFit="1" customWidth="1"/>
    <col min="8463" max="8704" width="11.109375" style="111"/>
    <col min="8705" max="8705" width="13.44140625" style="111" customWidth="1"/>
    <col min="8706" max="8708" width="11.109375" style="111"/>
    <col min="8709" max="8709" width="13.5546875" style="111" customWidth="1"/>
    <col min="8710" max="8710" width="12.88671875" style="111" customWidth="1"/>
    <col min="8711" max="8711" width="11.109375" style="111"/>
    <col min="8712" max="8712" width="12.109375" style="111" customWidth="1"/>
    <col min="8713" max="8713" width="11.109375" style="111"/>
    <col min="8714" max="8714" width="21" style="111" customWidth="1"/>
    <col min="8715" max="8715" width="12.44140625" style="111" customWidth="1"/>
    <col min="8716" max="8717" width="11.109375" style="111"/>
    <col min="8718" max="8718" width="11.44140625" style="111" bestFit="1" customWidth="1"/>
    <col min="8719" max="8960" width="11.109375" style="111"/>
    <col min="8961" max="8961" width="13.44140625" style="111" customWidth="1"/>
    <col min="8962" max="8964" width="11.109375" style="111"/>
    <col min="8965" max="8965" width="13.5546875" style="111" customWidth="1"/>
    <col min="8966" max="8966" width="12.88671875" style="111" customWidth="1"/>
    <col min="8967" max="8967" width="11.109375" style="111"/>
    <col min="8968" max="8968" width="12.109375" style="111" customWidth="1"/>
    <col min="8969" max="8969" width="11.109375" style="111"/>
    <col min="8970" max="8970" width="21" style="111" customWidth="1"/>
    <col min="8971" max="8971" width="12.44140625" style="111" customWidth="1"/>
    <col min="8972" max="8973" width="11.109375" style="111"/>
    <col min="8974" max="8974" width="11.44140625" style="111" bestFit="1" customWidth="1"/>
    <col min="8975" max="9216" width="11.109375" style="111"/>
    <col min="9217" max="9217" width="13.44140625" style="111" customWidth="1"/>
    <col min="9218" max="9220" width="11.109375" style="111"/>
    <col min="9221" max="9221" width="13.5546875" style="111" customWidth="1"/>
    <col min="9222" max="9222" width="12.88671875" style="111" customWidth="1"/>
    <col min="9223" max="9223" width="11.109375" style="111"/>
    <col min="9224" max="9224" width="12.109375" style="111" customWidth="1"/>
    <col min="9225" max="9225" width="11.109375" style="111"/>
    <col min="9226" max="9226" width="21" style="111" customWidth="1"/>
    <col min="9227" max="9227" width="12.44140625" style="111" customWidth="1"/>
    <col min="9228" max="9229" width="11.109375" style="111"/>
    <col min="9230" max="9230" width="11.44140625" style="111" bestFit="1" customWidth="1"/>
    <col min="9231" max="9472" width="11.109375" style="111"/>
    <col min="9473" max="9473" width="13.44140625" style="111" customWidth="1"/>
    <col min="9474" max="9476" width="11.109375" style="111"/>
    <col min="9477" max="9477" width="13.5546875" style="111" customWidth="1"/>
    <col min="9478" max="9478" width="12.88671875" style="111" customWidth="1"/>
    <col min="9479" max="9479" width="11.109375" style="111"/>
    <col min="9480" max="9480" width="12.109375" style="111" customWidth="1"/>
    <col min="9481" max="9481" width="11.109375" style="111"/>
    <col min="9482" max="9482" width="21" style="111" customWidth="1"/>
    <col min="9483" max="9483" width="12.44140625" style="111" customWidth="1"/>
    <col min="9484" max="9485" width="11.109375" style="111"/>
    <col min="9486" max="9486" width="11.44140625" style="111" bestFit="1" customWidth="1"/>
    <col min="9487" max="9728" width="11.109375" style="111"/>
    <col min="9729" max="9729" width="13.44140625" style="111" customWidth="1"/>
    <col min="9730" max="9732" width="11.109375" style="111"/>
    <col min="9733" max="9733" width="13.5546875" style="111" customWidth="1"/>
    <col min="9734" max="9734" width="12.88671875" style="111" customWidth="1"/>
    <col min="9735" max="9735" width="11.109375" style="111"/>
    <col min="9736" max="9736" width="12.109375" style="111" customWidth="1"/>
    <col min="9737" max="9737" width="11.109375" style="111"/>
    <col min="9738" max="9738" width="21" style="111" customWidth="1"/>
    <col min="9739" max="9739" width="12.44140625" style="111" customWidth="1"/>
    <col min="9740" max="9741" width="11.109375" style="111"/>
    <col min="9742" max="9742" width="11.44140625" style="111" bestFit="1" customWidth="1"/>
    <col min="9743" max="9984" width="11.109375" style="111"/>
    <col min="9985" max="9985" width="13.44140625" style="111" customWidth="1"/>
    <col min="9986" max="9988" width="11.109375" style="111"/>
    <col min="9989" max="9989" width="13.5546875" style="111" customWidth="1"/>
    <col min="9990" max="9990" width="12.88671875" style="111" customWidth="1"/>
    <col min="9991" max="9991" width="11.109375" style="111"/>
    <col min="9992" max="9992" width="12.109375" style="111" customWidth="1"/>
    <col min="9993" max="9993" width="11.109375" style="111"/>
    <col min="9994" max="9994" width="21" style="111" customWidth="1"/>
    <col min="9995" max="9995" width="12.44140625" style="111" customWidth="1"/>
    <col min="9996" max="9997" width="11.109375" style="111"/>
    <col min="9998" max="9998" width="11.44140625" style="111" bestFit="1" customWidth="1"/>
    <col min="9999" max="10240" width="11.109375" style="111"/>
    <col min="10241" max="10241" width="13.44140625" style="111" customWidth="1"/>
    <col min="10242" max="10244" width="11.109375" style="111"/>
    <col min="10245" max="10245" width="13.5546875" style="111" customWidth="1"/>
    <col min="10246" max="10246" width="12.88671875" style="111" customWidth="1"/>
    <col min="10247" max="10247" width="11.109375" style="111"/>
    <col min="10248" max="10248" width="12.109375" style="111" customWidth="1"/>
    <col min="10249" max="10249" width="11.109375" style="111"/>
    <col min="10250" max="10250" width="21" style="111" customWidth="1"/>
    <col min="10251" max="10251" width="12.44140625" style="111" customWidth="1"/>
    <col min="10252" max="10253" width="11.109375" style="111"/>
    <col min="10254" max="10254" width="11.44140625" style="111" bestFit="1" customWidth="1"/>
    <col min="10255" max="10496" width="11.109375" style="111"/>
    <col min="10497" max="10497" width="13.44140625" style="111" customWidth="1"/>
    <col min="10498" max="10500" width="11.109375" style="111"/>
    <col min="10501" max="10501" width="13.5546875" style="111" customWidth="1"/>
    <col min="10502" max="10502" width="12.88671875" style="111" customWidth="1"/>
    <col min="10503" max="10503" width="11.109375" style="111"/>
    <col min="10504" max="10504" width="12.109375" style="111" customWidth="1"/>
    <col min="10505" max="10505" width="11.109375" style="111"/>
    <col min="10506" max="10506" width="21" style="111" customWidth="1"/>
    <col min="10507" max="10507" width="12.44140625" style="111" customWidth="1"/>
    <col min="10508" max="10509" width="11.109375" style="111"/>
    <col min="10510" max="10510" width="11.44140625" style="111" bestFit="1" customWidth="1"/>
    <col min="10511" max="10752" width="11.109375" style="111"/>
    <col min="10753" max="10753" width="13.44140625" style="111" customWidth="1"/>
    <col min="10754" max="10756" width="11.109375" style="111"/>
    <col min="10757" max="10757" width="13.5546875" style="111" customWidth="1"/>
    <col min="10758" max="10758" width="12.88671875" style="111" customWidth="1"/>
    <col min="10759" max="10759" width="11.109375" style="111"/>
    <col min="10760" max="10760" width="12.109375" style="111" customWidth="1"/>
    <col min="10761" max="10761" width="11.109375" style="111"/>
    <col min="10762" max="10762" width="21" style="111" customWidth="1"/>
    <col min="10763" max="10763" width="12.44140625" style="111" customWidth="1"/>
    <col min="10764" max="10765" width="11.109375" style="111"/>
    <col min="10766" max="10766" width="11.44140625" style="111" bestFit="1" customWidth="1"/>
    <col min="10767" max="11008" width="11.109375" style="111"/>
    <col min="11009" max="11009" width="13.44140625" style="111" customWidth="1"/>
    <col min="11010" max="11012" width="11.109375" style="111"/>
    <col min="11013" max="11013" width="13.5546875" style="111" customWidth="1"/>
    <col min="11014" max="11014" width="12.88671875" style="111" customWidth="1"/>
    <col min="11015" max="11015" width="11.109375" style="111"/>
    <col min="11016" max="11016" width="12.109375" style="111" customWidth="1"/>
    <col min="11017" max="11017" width="11.109375" style="111"/>
    <col min="11018" max="11018" width="21" style="111" customWidth="1"/>
    <col min="11019" max="11019" width="12.44140625" style="111" customWidth="1"/>
    <col min="11020" max="11021" width="11.109375" style="111"/>
    <col min="11022" max="11022" width="11.44140625" style="111" bestFit="1" customWidth="1"/>
    <col min="11023" max="11264" width="11.109375" style="111"/>
    <col min="11265" max="11265" width="13.44140625" style="111" customWidth="1"/>
    <col min="11266" max="11268" width="11.109375" style="111"/>
    <col min="11269" max="11269" width="13.5546875" style="111" customWidth="1"/>
    <col min="11270" max="11270" width="12.88671875" style="111" customWidth="1"/>
    <col min="11271" max="11271" width="11.109375" style="111"/>
    <col min="11272" max="11272" width="12.109375" style="111" customWidth="1"/>
    <col min="11273" max="11273" width="11.109375" style="111"/>
    <col min="11274" max="11274" width="21" style="111" customWidth="1"/>
    <col min="11275" max="11275" width="12.44140625" style="111" customWidth="1"/>
    <col min="11276" max="11277" width="11.109375" style="111"/>
    <col min="11278" max="11278" width="11.44140625" style="111" bestFit="1" customWidth="1"/>
    <col min="11279" max="11520" width="11.109375" style="111"/>
    <col min="11521" max="11521" width="13.44140625" style="111" customWidth="1"/>
    <col min="11522" max="11524" width="11.109375" style="111"/>
    <col min="11525" max="11525" width="13.5546875" style="111" customWidth="1"/>
    <col min="11526" max="11526" width="12.88671875" style="111" customWidth="1"/>
    <col min="11527" max="11527" width="11.109375" style="111"/>
    <col min="11528" max="11528" width="12.109375" style="111" customWidth="1"/>
    <col min="11529" max="11529" width="11.109375" style="111"/>
    <col min="11530" max="11530" width="21" style="111" customWidth="1"/>
    <col min="11531" max="11531" width="12.44140625" style="111" customWidth="1"/>
    <col min="11532" max="11533" width="11.109375" style="111"/>
    <col min="11534" max="11534" width="11.44140625" style="111" bestFit="1" customWidth="1"/>
    <col min="11535" max="11776" width="11.109375" style="111"/>
    <col min="11777" max="11777" width="13.44140625" style="111" customWidth="1"/>
    <col min="11778" max="11780" width="11.109375" style="111"/>
    <col min="11781" max="11781" width="13.5546875" style="111" customWidth="1"/>
    <col min="11782" max="11782" width="12.88671875" style="111" customWidth="1"/>
    <col min="11783" max="11783" width="11.109375" style="111"/>
    <col min="11784" max="11784" width="12.109375" style="111" customWidth="1"/>
    <col min="11785" max="11785" width="11.109375" style="111"/>
    <col min="11786" max="11786" width="21" style="111" customWidth="1"/>
    <col min="11787" max="11787" width="12.44140625" style="111" customWidth="1"/>
    <col min="11788" max="11789" width="11.109375" style="111"/>
    <col min="11790" max="11790" width="11.44140625" style="111" bestFit="1" customWidth="1"/>
    <col min="11791" max="12032" width="11.109375" style="111"/>
    <col min="12033" max="12033" width="13.44140625" style="111" customWidth="1"/>
    <col min="12034" max="12036" width="11.109375" style="111"/>
    <col min="12037" max="12037" width="13.5546875" style="111" customWidth="1"/>
    <col min="12038" max="12038" width="12.88671875" style="111" customWidth="1"/>
    <col min="12039" max="12039" width="11.109375" style="111"/>
    <col min="12040" max="12040" width="12.109375" style="111" customWidth="1"/>
    <col min="12041" max="12041" width="11.109375" style="111"/>
    <col min="12042" max="12042" width="21" style="111" customWidth="1"/>
    <col min="12043" max="12043" width="12.44140625" style="111" customWidth="1"/>
    <col min="12044" max="12045" width="11.109375" style="111"/>
    <col min="12046" max="12046" width="11.44140625" style="111" bestFit="1" customWidth="1"/>
    <col min="12047" max="12288" width="11.109375" style="111"/>
    <col min="12289" max="12289" width="13.44140625" style="111" customWidth="1"/>
    <col min="12290" max="12292" width="11.109375" style="111"/>
    <col min="12293" max="12293" width="13.5546875" style="111" customWidth="1"/>
    <col min="12294" max="12294" width="12.88671875" style="111" customWidth="1"/>
    <col min="12295" max="12295" width="11.109375" style="111"/>
    <col min="12296" max="12296" width="12.109375" style="111" customWidth="1"/>
    <col min="12297" max="12297" width="11.109375" style="111"/>
    <col min="12298" max="12298" width="21" style="111" customWidth="1"/>
    <col min="12299" max="12299" width="12.44140625" style="111" customWidth="1"/>
    <col min="12300" max="12301" width="11.109375" style="111"/>
    <col min="12302" max="12302" width="11.44140625" style="111" bestFit="1" customWidth="1"/>
    <col min="12303" max="12544" width="11.109375" style="111"/>
    <col min="12545" max="12545" width="13.44140625" style="111" customWidth="1"/>
    <col min="12546" max="12548" width="11.109375" style="111"/>
    <col min="12549" max="12549" width="13.5546875" style="111" customWidth="1"/>
    <col min="12550" max="12550" width="12.88671875" style="111" customWidth="1"/>
    <col min="12551" max="12551" width="11.109375" style="111"/>
    <col min="12552" max="12552" width="12.109375" style="111" customWidth="1"/>
    <col min="12553" max="12553" width="11.109375" style="111"/>
    <col min="12554" max="12554" width="21" style="111" customWidth="1"/>
    <col min="12555" max="12555" width="12.44140625" style="111" customWidth="1"/>
    <col min="12556" max="12557" width="11.109375" style="111"/>
    <col min="12558" max="12558" width="11.44140625" style="111" bestFit="1" customWidth="1"/>
    <col min="12559" max="12800" width="11.109375" style="111"/>
    <col min="12801" max="12801" width="13.44140625" style="111" customWidth="1"/>
    <col min="12802" max="12804" width="11.109375" style="111"/>
    <col min="12805" max="12805" width="13.5546875" style="111" customWidth="1"/>
    <col min="12806" max="12806" width="12.88671875" style="111" customWidth="1"/>
    <col min="12807" max="12807" width="11.109375" style="111"/>
    <col min="12808" max="12808" width="12.109375" style="111" customWidth="1"/>
    <col min="12809" max="12809" width="11.109375" style="111"/>
    <col min="12810" max="12810" width="21" style="111" customWidth="1"/>
    <col min="12811" max="12811" width="12.44140625" style="111" customWidth="1"/>
    <col min="12812" max="12813" width="11.109375" style="111"/>
    <col min="12814" max="12814" width="11.44140625" style="111" bestFit="1" customWidth="1"/>
    <col min="12815" max="13056" width="11.109375" style="111"/>
    <col min="13057" max="13057" width="13.44140625" style="111" customWidth="1"/>
    <col min="13058" max="13060" width="11.109375" style="111"/>
    <col min="13061" max="13061" width="13.5546875" style="111" customWidth="1"/>
    <col min="13062" max="13062" width="12.88671875" style="111" customWidth="1"/>
    <col min="13063" max="13063" width="11.109375" style="111"/>
    <col min="13064" max="13064" width="12.109375" style="111" customWidth="1"/>
    <col min="13065" max="13065" width="11.109375" style="111"/>
    <col min="13066" max="13066" width="21" style="111" customWidth="1"/>
    <col min="13067" max="13067" width="12.44140625" style="111" customWidth="1"/>
    <col min="13068" max="13069" width="11.109375" style="111"/>
    <col min="13070" max="13070" width="11.44140625" style="111" bestFit="1" customWidth="1"/>
    <col min="13071" max="13312" width="11.109375" style="111"/>
    <col min="13313" max="13313" width="13.44140625" style="111" customWidth="1"/>
    <col min="13314" max="13316" width="11.109375" style="111"/>
    <col min="13317" max="13317" width="13.5546875" style="111" customWidth="1"/>
    <col min="13318" max="13318" width="12.88671875" style="111" customWidth="1"/>
    <col min="13319" max="13319" width="11.109375" style="111"/>
    <col min="13320" max="13320" width="12.109375" style="111" customWidth="1"/>
    <col min="13321" max="13321" width="11.109375" style="111"/>
    <col min="13322" max="13322" width="21" style="111" customWidth="1"/>
    <col min="13323" max="13323" width="12.44140625" style="111" customWidth="1"/>
    <col min="13324" max="13325" width="11.109375" style="111"/>
    <col min="13326" max="13326" width="11.44140625" style="111" bestFit="1" customWidth="1"/>
    <col min="13327" max="13568" width="11.109375" style="111"/>
    <col min="13569" max="13569" width="13.44140625" style="111" customWidth="1"/>
    <col min="13570" max="13572" width="11.109375" style="111"/>
    <col min="13573" max="13573" width="13.5546875" style="111" customWidth="1"/>
    <col min="13574" max="13574" width="12.88671875" style="111" customWidth="1"/>
    <col min="13575" max="13575" width="11.109375" style="111"/>
    <col min="13576" max="13576" width="12.109375" style="111" customWidth="1"/>
    <col min="13577" max="13577" width="11.109375" style="111"/>
    <col min="13578" max="13578" width="21" style="111" customWidth="1"/>
    <col min="13579" max="13579" width="12.44140625" style="111" customWidth="1"/>
    <col min="13580" max="13581" width="11.109375" style="111"/>
    <col min="13582" max="13582" width="11.44140625" style="111" bestFit="1" customWidth="1"/>
    <col min="13583" max="13824" width="11.109375" style="111"/>
    <col min="13825" max="13825" width="13.44140625" style="111" customWidth="1"/>
    <col min="13826" max="13828" width="11.109375" style="111"/>
    <col min="13829" max="13829" width="13.5546875" style="111" customWidth="1"/>
    <col min="13830" max="13830" width="12.88671875" style="111" customWidth="1"/>
    <col min="13831" max="13831" width="11.109375" style="111"/>
    <col min="13832" max="13832" width="12.109375" style="111" customWidth="1"/>
    <col min="13833" max="13833" width="11.109375" style="111"/>
    <col min="13834" max="13834" width="21" style="111" customWidth="1"/>
    <col min="13835" max="13835" width="12.44140625" style="111" customWidth="1"/>
    <col min="13836" max="13837" width="11.109375" style="111"/>
    <col min="13838" max="13838" width="11.44140625" style="111" bestFit="1" customWidth="1"/>
    <col min="13839" max="14080" width="11.109375" style="111"/>
    <col min="14081" max="14081" width="13.44140625" style="111" customWidth="1"/>
    <col min="14082" max="14084" width="11.109375" style="111"/>
    <col min="14085" max="14085" width="13.5546875" style="111" customWidth="1"/>
    <col min="14086" max="14086" width="12.88671875" style="111" customWidth="1"/>
    <col min="14087" max="14087" width="11.109375" style="111"/>
    <col min="14088" max="14088" width="12.109375" style="111" customWidth="1"/>
    <col min="14089" max="14089" width="11.109375" style="111"/>
    <col min="14090" max="14090" width="21" style="111" customWidth="1"/>
    <col min="14091" max="14091" width="12.44140625" style="111" customWidth="1"/>
    <col min="14092" max="14093" width="11.109375" style="111"/>
    <col min="14094" max="14094" width="11.44140625" style="111" bestFit="1" customWidth="1"/>
    <col min="14095" max="14336" width="11.109375" style="111"/>
    <col min="14337" max="14337" width="13.44140625" style="111" customWidth="1"/>
    <col min="14338" max="14340" width="11.109375" style="111"/>
    <col min="14341" max="14341" width="13.5546875" style="111" customWidth="1"/>
    <col min="14342" max="14342" width="12.88671875" style="111" customWidth="1"/>
    <col min="14343" max="14343" width="11.109375" style="111"/>
    <col min="14344" max="14344" width="12.109375" style="111" customWidth="1"/>
    <col min="14345" max="14345" width="11.109375" style="111"/>
    <col min="14346" max="14346" width="21" style="111" customWidth="1"/>
    <col min="14347" max="14347" width="12.44140625" style="111" customWidth="1"/>
    <col min="14348" max="14349" width="11.109375" style="111"/>
    <col min="14350" max="14350" width="11.44140625" style="111" bestFit="1" customWidth="1"/>
    <col min="14351" max="14592" width="11.109375" style="111"/>
    <col min="14593" max="14593" width="13.44140625" style="111" customWidth="1"/>
    <col min="14594" max="14596" width="11.109375" style="111"/>
    <col min="14597" max="14597" width="13.5546875" style="111" customWidth="1"/>
    <col min="14598" max="14598" width="12.88671875" style="111" customWidth="1"/>
    <col min="14599" max="14599" width="11.109375" style="111"/>
    <col min="14600" max="14600" width="12.109375" style="111" customWidth="1"/>
    <col min="14601" max="14601" width="11.109375" style="111"/>
    <col min="14602" max="14602" width="21" style="111" customWidth="1"/>
    <col min="14603" max="14603" width="12.44140625" style="111" customWidth="1"/>
    <col min="14604" max="14605" width="11.109375" style="111"/>
    <col min="14606" max="14606" width="11.44140625" style="111" bestFit="1" customWidth="1"/>
    <col min="14607" max="14848" width="11.109375" style="111"/>
    <col min="14849" max="14849" width="13.44140625" style="111" customWidth="1"/>
    <col min="14850" max="14852" width="11.109375" style="111"/>
    <col min="14853" max="14853" width="13.5546875" style="111" customWidth="1"/>
    <col min="14854" max="14854" width="12.88671875" style="111" customWidth="1"/>
    <col min="14855" max="14855" width="11.109375" style="111"/>
    <col min="14856" max="14856" width="12.109375" style="111" customWidth="1"/>
    <col min="14857" max="14857" width="11.109375" style="111"/>
    <col min="14858" max="14858" width="21" style="111" customWidth="1"/>
    <col min="14859" max="14859" width="12.44140625" style="111" customWidth="1"/>
    <col min="14860" max="14861" width="11.109375" style="111"/>
    <col min="14862" max="14862" width="11.44140625" style="111" bestFit="1" customWidth="1"/>
    <col min="14863" max="15104" width="11.109375" style="111"/>
    <col min="15105" max="15105" width="13.44140625" style="111" customWidth="1"/>
    <col min="15106" max="15108" width="11.109375" style="111"/>
    <col min="15109" max="15109" width="13.5546875" style="111" customWidth="1"/>
    <col min="15110" max="15110" width="12.88671875" style="111" customWidth="1"/>
    <col min="15111" max="15111" width="11.109375" style="111"/>
    <col min="15112" max="15112" width="12.109375" style="111" customWidth="1"/>
    <col min="15113" max="15113" width="11.109375" style="111"/>
    <col min="15114" max="15114" width="21" style="111" customWidth="1"/>
    <col min="15115" max="15115" width="12.44140625" style="111" customWidth="1"/>
    <col min="15116" max="15117" width="11.109375" style="111"/>
    <col min="15118" max="15118" width="11.44140625" style="111" bestFit="1" customWidth="1"/>
    <col min="15119" max="15360" width="11.109375" style="111"/>
    <col min="15361" max="15361" width="13.44140625" style="111" customWidth="1"/>
    <col min="15362" max="15364" width="11.109375" style="111"/>
    <col min="15365" max="15365" width="13.5546875" style="111" customWidth="1"/>
    <col min="15366" max="15366" width="12.88671875" style="111" customWidth="1"/>
    <col min="15367" max="15367" width="11.109375" style="111"/>
    <col min="15368" max="15368" width="12.109375" style="111" customWidth="1"/>
    <col min="15369" max="15369" width="11.109375" style="111"/>
    <col min="15370" max="15370" width="21" style="111" customWidth="1"/>
    <col min="15371" max="15371" width="12.44140625" style="111" customWidth="1"/>
    <col min="15372" max="15373" width="11.109375" style="111"/>
    <col min="15374" max="15374" width="11.44140625" style="111" bestFit="1" customWidth="1"/>
    <col min="15375" max="15616" width="11.109375" style="111"/>
    <col min="15617" max="15617" width="13.44140625" style="111" customWidth="1"/>
    <col min="15618" max="15620" width="11.109375" style="111"/>
    <col min="15621" max="15621" width="13.5546875" style="111" customWidth="1"/>
    <col min="15622" max="15622" width="12.88671875" style="111" customWidth="1"/>
    <col min="15623" max="15623" width="11.109375" style="111"/>
    <col min="15624" max="15624" width="12.109375" style="111" customWidth="1"/>
    <col min="15625" max="15625" width="11.109375" style="111"/>
    <col min="15626" max="15626" width="21" style="111" customWidth="1"/>
    <col min="15627" max="15627" width="12.44140625" style="111" customWidth="1"/>
    <col min="15628" max="15629" width="11.109375" style="111"/>
    <col min="15630" max="15630" width="11.44140625" style="111" bestFit="1" customWidth="1"/>
    <col min="15631" max="15872" width="11.109375" style="111"/>
    <col min="15873" max="15873" width="13.44140625" style="111" customWidth="1"/>
    <col min="15874" max="15876" width="11.109375" style="111"/>
    <col min="15877" max="15877" width="13.5546875" style="111" customWidth="1"/>
    <col min="15878" max="15878" width="12.88671875" style="111" customWidth="1"/>
    <col min="15879" max="15879" width="11.109375" style="111"/>
    <col min="15880" max="15880" width="12.109375" style="111" customWidth="1"/>
    <col min="15881" max="15881" width="11.109375" style="111"/>
    <col min="15882" max="15882" width="21" style="111" customWidth="1"/>
    <col min="15883" max="15883" width="12.44140625" style="111" customWidth="1"/>
    <col min="15884" max="15885" width="11.109375" style="111"/>
    <col min="15886" max="15886" width="11.44140625" style="111" bestFit="1" customWidth="1"/>
    <col min="15887" max="16128" width="11.109375" style="111"/>
    <col min="16129" max="16129" width="13.44140625" style="111" customWidth="1"/>
    <col min="16130" max="16132" width="11.109375" style="111"/>
    <col min="16133" max="16133" width="13.5546875" style="111" customWidth="1"/>
    <col min="16134" max="16134" width="12.88671875" style="111" customWidth="1"/>
    <col min="16135" max="16135" width="11.109375" style="111"/>
    <col min="16136" max="16136" width="12.109375" style="111" customWidth="1"/>
    <col min="16137" max="16137" width="11.109375" style="111"/>
    <col min="16138" max="16138" width="21" style="111" customWidth="1"/>
    <col min="16139" max="16139" width="12.44140625" style="111" customWidth="1"/>
    <col min="16140" max="16141" width="11.109375" style="111"/>
    <col min="16142" max="16142" width="11.44140625" style="111" bestFit="1" customWidth="1"/>
    <col min="16143" max="16384" width="11.109375" style="111"/>
  </cols>
  <sheetData>
    <row r="1" spans="1:17" s="3" customFormat="1" ht="13.95" customHeight="1">
      <c r="A1" s="105"/>
      <c r="B1" s="105"/>
      <c r="C1" s="105"/>
      <c r="D1" s="105"/>
      <c r="E1" s="105"/>
      <c r="F1" s="106"/>
      <c r="G1" s="106"/>
      <c r="H1" s="106"/>
    </row>
    <row r="2" spans="1:17" s="3" customFormat="1" ht="22.95" customHeight="1">
      <c r="A2" s="107"/>
      <c r="B2" s="108"/>
      <c r="C2" s="107"/>
      <c r="D2" s="107"/>
      <c r="E2" s="107"/>
      <c r="F2" s="106"/>
      <c r="G2" s="106"/>
      <c r="H2" s="106"/>
      <c r="J2" s="109" t="s">
        <v>80</v>
      </c>
      <c r="K2" s="109" t="s">
        <v>81</v>
      </c>
      <c r="L2" s="109" t="s">
        <v>82</v>
      </c>
      <c r="M2" s="109" t="s">
        <v>83</v>
      </c>
      <c r="N2" s="109" t="s">
        <v>84</v>
      </c>
    </row>
    <row r="3" spans="1:17" s="3" customFormat="1" ht="0.9" customHeight="1">
      <c r="A3" s="110"/>
      <c r="B3" s="110"/>
      <c r="C3" s="110"/>
      <c r="D3" s="110"/>
      <c r="E3" s="110"/>
      <c r="F3" s="106"/>
      <c r="G3" s="106"/>
      <c r="H3" s="106"/>
      <c r="J3" s="111"/>
      <c r="K3" s="111"/>
      <c r="L3" s="111"/>
      <c r="M3" s="111"/>
      <c r="N3" s="111"/>
    </row>
    <row r="4" spans="1:17" s="3" customFormat="1">
      <c r="A4" s="112"/>
      <c r="B4" s="113"/>
      <c r="C4" s="113" t="s">
        <v>85</v>
      </c>
      <c r="D4" s="113"/>
      <c r="E4" s="113"/>
      <c r="F4" s="113"/>
      <c r="G4" s="113"/>
      <c r="H4" s="113"/>
      <c r="J4" s="111" t="s">
        <v>86</v>
      </c>
      <c r="K4" s="114">
        <v>2.6</v>
      </c>
      <c r="L4" s="111">
        <v>4</v>
      </c>
      <c r="M4" s="111">
        <v>6</v>
      </c>
      <c r="N4" s="115">
        <f>+(K4*L4+Q4)</f>
        <v>11.05</v>
      </c>
      <c r="P4" s="116">
        <f>K4/24</f>
        <v>0.10833333333333334</v>
      </c>
      <c r="Q4" s="116">
        <f>P4*M4</f>
        <v>0.65</v>
      </c>
    </row>
    <row r="5" spans="1:17" s="3" customFormat="1">
      <c r="A5" s="117"/>
      <c r="B5" s="117"/>
      <c r="C5" s="117"/>
      <c r="D5" s="117"/>
      <c r="E5" s="117"/>
      <c r="F5" s="117"/>
      <c r="G5" s="117"/>
      <c r="H5" s="118"/>
      <c r="J5" s="111" t="s">
        <v>87</v>
      </c>
      <c r="K5" s="114">
        <v>0.1</v>
      </c>
      <c r="L5" s="111">
        <v>3</v>
      </c>
      <c r="M5" s="111">
        <v>8</v>
      </c>
      <c r="N5" s="115">
        <f>+(K5*L5+Q5)</f>
        <v>0.33333333333333337</v>
      </c>
      <c r="P5" s="116">
        <f>K5/24</f>
        <v>4.1666666666666666E-3</v>
      </c>
      <c r="Q5" s="116">
        <f>P5*M5</f>
        <v>3.3333333333333333E-2</v>
      </c>
    </row>
    <row r="6" spans="1:17" s="3" customFormat="1">
      <c r="A6" s="453" t="s">
        <v>88</v>
      </c>
      <c r="B6" s="454"/>
      <c r="C6" s="454"/>
      <c r="D6" s="455"/>
      <c r="E6" s="456" t="s">
        <v>89</v>
      </c>
      <c r="F6" s="457"/>
      <c r="G6" s="457"/>
      <c r="H6" s="458"/>
    </row>
    <row r="7" spans="1:17" s="3" customFormat="1" ht="15" thickBot="1">
      <c r="A7" s="119" t="s">
        <v>90</v>
      </c>
      <c r="B7" s="459">
        <v>43266.000694444447</v>
      </c>
      <c r="C7" s="459"/>
      <c r="D7" s="460"/>
      <c r="E7" s="119" t="s">
        <v>90</v>
      </c>
      <c r="F7" s="459">
        <v>43268.341666666667</v>
      </c>
      <c r="G7" s="459"/>
      <c r="H7" s="460"/>
      <c r="J7" s="109" t="s">
        <v>91</v>
      </c>
      <c r="K7" s="111"/>
      <c r="L7" s="111"/>
      <c r="M7" s="111"/>
      <c r="N7" s="111"/>
    </row>
    <row r="8" spans="1:17" s="3" customFormat="1" ht="15.6" thickTop="1" thickBot="1">
      <c r="A8" s="120" t="s">
        <v>92</v>
      </c>
      <c r="B8" s="121">
        <v>494.11900000000003</v>
      </c>
      <c r="C8" s="122" t="s">
        <v>19</v>
      </c>
      <c r="D8" s="122"/>
      <c r="E8" s="123" t="s">
        <v>92</v>
      </c>
      <c r="F8" s="121">
        <v>564.11900000000003</v>
      </c>
      <c r="G8" s="124" t="s">
        <v>19</v>
      </c>
      <c r="H8" s="125"/>
      <c r="J8" s="111" t="s">
        <v>86</v>
      </c>
      <c r="K8" s="114">
        <v>4.2</v>
      </c>
      <c r="L8" s="111">
        <v>4</v>
      </c>
      <c r="M8" s="111">
        <v>4</v>
      </c>
      <c r="N8" s="115">
        <f>+(K8*L8+Q8)</f>
        <v>17.5</v>
      </c>
      <c r="P8" s="116">
        <f>K8/24</f>
        <v>0.17500000000000002</v>
      </c>
      <c r="Q8" s="116">
        <f>P8*M8</f>
        <v>0.70000000000000007</v>
      </c>
    </row>
    <row r="9" spans="1:17" s="3" customFormat="1" ht="15.6" thickTop="1" thickBot="1">
      <c r="A9" s="120" t="s">
        <v>93</v>
      </c>
      <c r="B9" s="121">
        <v>0</v>
      </c>
      <c r="C9" s="122" t="s">
        <v>19</v>
      </c>
      <c r="D9" s="122"/>
      <c r="E9" s="123" t="s">
        <v>93</v>
      </c>
      <c r="F9" s="121">
        <v>0</v>
      </c>
      <c r="G9" s="124" t="s">
        <v>19</v>
      </c>
      <c r="H9" s="125"/>
      <c r="J9" s="111" t="s">
        <v>87</v>
      </c>
      <c r="K9" s="114">
        <v>0.1</v>
      </c>
      <c r="L9" s="111">
        <v>4</v>
      </c>
      <c r="M9" s="111">
        <v>4</v>
      </c>
      <c r="N9" s="115">
        <f>+(K9*L9+Q9)</f>
        <v>0.41666666666666669</v>
      </c>
      <c r="P9" s="116">
        <f>K9/24</f>
        <v>4.1666666666666666E-3</v>
      </c>
      <c r="Q9" s="116">
        <f>P9*M9</f>
        <v>1.6666666666666666E-2</v>
      </c>
    </row>
    <row r="10" spans="1:17" s="3" customFormat="1" ht="15.6" thickTop="1" thickBot="1">
      <c r="A10" s="120" t="s">
        <v>94</v>
      </c>
      <c r="B10" s="121">
        <v>0</v>
      </c>
      <c r="C10" s="122" t="s">
        <v>19</v>
      </c>
      <c r="D10" s="122"/>
      <c r="E10" s="123" t="s">
        <v>94</v>
      </c>
      <c r="F10" s="121">
        <v>0</v>
      </c>
      <c r="G10" s="124" t="s">
        <v>19</v>
      </c>
      <c r="H10" s="125"/>
    </row>
    <row r="11" spans="1:17" s="3" customFormat="1" ht="15.6" thickTop="1" thickBot="1">
      <c r="A11" s="120" t="s">
        <v>20</v>
      </c>
      <c r="B11" s="121">
        <v>130.85599999999999</v>
      </c>
      <c r="C11" s="122" t="s">
        <v>19</v>
      </c>
      <c r="D11" s="122"/>
      <c r="E11" s="123" t="s">
        <v>20</v>
      </c>
      <c r="F11" s="121">
        <v>205.95599999999999</v>
      </c>
      <c r="G11" s="124" t="s">
        <v>19</v>
      </c>
      <c r="H11" s="125"/>
      <c r="J11" s="126" t="s">
        <v>95</v>
      </c>
      <c r="K11" s="126" t="s">
        <v>96</v>
      </c>
      <c r="L11" s="126" t="s">
        <v>97</v>
      </c>
    </row>
    <row r="12" spans="1:17" s="3" customFormat="1" ht="15" thickTop="1">
      <c r="A12" s="127"/>
      <c r="B12" s="128"/>
      <c r="C12" s="128"/>
      <c r="D12" s="129"/>
      <c r="E12" s="130"/>
      <c r="F12" s="131"/>
      <c r="G12" s="131"/>
      <c r="H12" s="132"/>
      <c r="J12" s="111" t="s">
        <v>98</v>
      </c>
      <c r="K12" s="115">
        <v>416.6</v>
      </c>
      <c r="L12" s="115">
        <v>108</v>
      </c>
      <c r="N12" s="36"/>
    </row>
    <row r="13" spans="1:17" s="3" customFormat="1">
      <c r="A13" s="461" t="s">
        <v>99</v>
      </c>
      <c r="B13" s="462"/>
      <c r="C13" s="462"/>
      <c r="D13" s="463"/>
      <c r="E13" s="464" t="s">
        <v>100</v>
      </c>
      <c r="F13" s="465"/>
      <c r="G13" s="465"/>
      <c r="H13" s="466"/>
      <c r="J13" s="111" t="s">
        <v>80</v>
      </c>
      <c r="K13" s="115">
        <f>K12-N4</f>
        <v>405.55</v>
      </c>
      <c r="L13" s="115">
        <f>L12-N5</f>
        <v>107.66666666666667</v>
      </c>
      <c r="N13" s="36"/>
    </row>
    <row r="14" spans="1:17" s="3" customFormat="1" ht="15" thickBot="1">
      <c r="A14" s="119" t="s">
        <v>90</v>
      </c>
      <c r="B14" s="467" t="s">
        <v>101</v>
      </c>
      <c r="C14" s="467"/>
      <c r="D14" s="468"/>
      <c r="E14" s="119" t="s">
        <v>90</v>
      </c>
      <c r="F14" s="469" t="s">
        <v>102</v>
      </c>
      <c r="G14" s="469"/>
      <c r="H14" s="470"/>
      <c r="J14" s="111" t="s">
        <v>91</v>
      </c>
      <c r="K14" s="115">
        <f>K13-N8</f>
        <v>388.05</v>
      </c>
      <c r="L14" s="115">
        <f>L13-N9</f>
        <v>107.25</v>
      </c>
    </row>
    <row r="15" spans="1:17" s="3" customFormat="1" ht="15.6" thickTop="1" thickBot="1">
      <c r="A15" s="120" t="s">
        <v>92</v>
      </c>
      <c r="B15" s="134">
        <v>516.5</v>
      </c>
      <c r="C15" s="125" t="s">
        <v>19</v>
      </c>
      <c r="D15" s="125"/>
      <c r="E15" s="123" t="s">
        <v>92</v>
      </c>
      <c r="F15" s="135"/>
      <c r="G15" s="136" t="s">
        <v>19</v>
      </c>
      <c r="H15" s="137"/>
    </row>
    <row r="16" spans="1:17" s="3" customFormat="1" ht="15.6" thickTop="1" thickBot="1">
      <c r="A16" s="120" t="s">
        <v>93</v>
      </c>
      <c r="B16" s="121">
        <v>0</v>
      </c>
      <c r="C16" s="125" t="s">
        <v>19</v>
      </c>
      <c r="D16" s="125"/>
      <c r="E16" s="123" t="s">
        <v>93</v>
      </c>
      <c r="F16" s="138">
        <v>0</v>
      </c>
      <c r="G16" s="136" t="s">
        <v>19</v>
      </c>
      <c r="H16" s="137"/>
      <c r="J16" s="126" t="s">
        <v>95</v>
      </c>
      <c r="K16" s="126" t="s">
        <v>103</v>
      </c>
      <c r="L16" s="126" t="s">
        <v>104</v>
      </c>
    </row>
    <row r="17" spans="1:14" s="3" customFormat="1" ht="15.6" thickTop="1" thickBot="1">
      <c r="A17" s="120" t="s">
        <v>94</v>
      </c>
      <c r="B17" s="121">
        <v>0</v>
      </c>
      <c r="C17" s="125" t="s">
        <v>19</v>
      </c>
      <c r="D17" s="125"/>
      <c r="E17" s="123" t="s">
        <v>94</v>
      </c>
      <c r="F17" s="138">
        <v>0</v>
      </c>
      <c r="G17" s="136" t="s">
        <v>19</v>
      </c>
      <c r="H17" s="137"/>
      <c r="J17" s="139" t="s">
        <v>98</v>
      </c>
      <c r="K17" s="140">
        <f>K12</f>
        <v>416.6</v>
      </c>
      <c r="L17" s="141">
        <f>L12</f>
        <v>108</v>
      </c>
    </row>
    <row r="18" spans="1:14" s="3" customFormat="1" ht="15.6" thickTop="1" thickBot="1">
      <c r="A18" s="120" t="s">
        <v>20</v>
      </c>
      <c r="B18" s="134">
        <v>175.43</v>
      </c>
      <c r="C18" s="125" t="s">
        <v>19</v>
      </c>
      <c r="D18" s="125"/>
      <c r="E18" s="142" t="s">
        <v>20</v>
      </c>
      <c r="F18" s="135"/>
      <c r="G18" s="136" t="s">
        <v>19</v>
      </c>
      <c r="H18" s="137"/>
      <c r="J18" s="143" t="s">
        <v>80</v>
      </c>
      <c r="K18" s="144">
        <f>K12-N4</f>
        <v>405.55</v>
      </c>
      <c r="L18" s="145">
        <f>L12-N5</f>
        <v>107.66666666666667</v>
      </c>
    </row>
    <row r="19" spans="1:14" s="3" customFormat="1" ht="15.6" thickTop="1" thickBot="1">
      <c r="A19" s="117"/>
      <c r="B19" s="117"/>
      <c r="C19" s="117"/>
      <c r="D19" s="117"/>
      <c r="E19" s="117"/>
      <c r="F19" s="117"/>
      <c r="G19" s="117"/>
      <c r="H19" s="118"/>
      <c r="J19" s="143" t="s">
        <v>91</v>
      </c>
      <c r="K19" s="144">
        <f>K12-N4-N8</f>
        <v>388.05</v>
      </c>
      <c r="L19" s="145">
        <f>L12-N5-N9</f>
        <v>107.25</v>
      </c>
    </row>
    <row r="20" spans="1:14" s="3" customFormat="1" ht="15" thickBot="1">
      <c r="A20" s="146" t="s">
        <v>105</v>
      </c>
      <c r="B20" s="117"/>
      <c r="C20" s="117"/>
      <c r="D20" s="51"/>
      <c r="E20" s="51"/>
      <c r="F20" s="51"/>
      <c r="G20" s="51"/>
      <c r="H20" s="51"/>
    </row>
    <row r="21" spans="1:14" s="3" customFormat="1" ht="15" thickBot="1">
      <c r="A21" s="133" t="s">
        <v>106</v>
      </c>
      <c r="B21" s="117"/>
      <c r="C21" s="117"/>
      <c r="D21" s="51"/>
      <c r="E21" s="147">
        <f>N8</f>
        <v>17.5</v>
      </c>
      <c r="F21" s="148" t="s">
        <v>107</v>
      </c>
      <c r="G21" s="147">
        <f>N9</f>
        <v>0.41666666666666669</v>
      </c>
      <c r="H21" s="148" t="s">
        <v>108</v>
      </c>
      <c r="J21" s="149" t="s">
        <v>109</v>
      </c>
      <c r="K21" s="150">
        <v>390.2</v>
      </c>
      <c r="L21" s="151">
        <v>107.3</v>
      </c>
    </row>
    <row r="22" spans="1:14" s="3" customFormat="1" ht="15" thickBot="1">
      <c r="A22" s="133" t="s">
        <v>110</v>
      </c>
      <c r="B22" s="51"/>
      <c r="C22" s="51"/>
      <c r="D22" s="51"/>
      <c r="E22" s="152">
        <v>0.5</v>
      </c>
      <c r="F22" s="51"/>
      <c r="G22" s="51"/>
      <c r="H22" s="51"/>
    </row>
    <row r="23" spans="1:14" s="3" customFormat="1" ht="15" thickBot="1">
      <c r="A23" s="117"/>
      <c r="B23" s="117"/>
      <c r="C23" s="117"/>
      <c r="D23" s="51"/>
      <c r="E23" s="153"/>
      <c r="F23" s="117"/>
      <c r="G23" s="117"/>
      <c r="H23" s="117"/>
      <c r="J23" s="149" t="s">
        <v>111</v>
      </c>
      <c r="K23" s="154">
        <f>K19</f>
        <v>388.05</v>
      </c>
      <c r="L23" s="155">
        <f>L19</f>
        <v>107.25</v>
      </c>
    </row>
    <row r="24" spans="1:14" s="3" customFormat="1" ht="15" thickBot="1">
      <c r="A24" s="471" t="s">
        <v>112</v>
      </c>
      <c r="B24" s="471"/>
      <c r="C24" s="471"/>
      <c r="D24" s="471"/>
      <c r="E24" s="156" t="s">
        <v>92</v>
      </c>
      <c r="F24" s="157" t="s">
        <v>93</v>
      </c>
      <c r="G24" s="157" t="s">
        <v>94</v>
      </c>
      <c r="H24" s="158" t="s">
        <v>20</v>
      </c>
      <c r="K24" s="36"/>
      <c r="L24" s="36"/>
      <c r="N24" s="36"/>
    </row>
    <row r="25" spans="1:14" s="3" customFormat="1" ht="15" thickBot="1">
      <c r="A25" s="471"/>
      <c r="B25" s="471"/>
      <c r="C25" s="471"/>
      <c r="D25" s="471"/>
      <c r="E25" s="159">
        <v>70</v>
      </c>
      <c r="F25" s="160"/>
      <c r="G25" s="160"/>
      <c r="H25" s="161">
        <v>75.099999999999994</v>
      </c>
      <c r="J25" s="149" t="s">
        <v>113</v>
      </c>
      <c r="K25" s="162">
        <f>B39</f>
        <v>438.65</v>
      </c>
      <c r="L25" s="163">
        <f>E39</f>
        <v>92.129999999999981</v>
      </c>
      <c r="N25" s="36"/>
    </row>
    <row r="26" spans="1:14" s="3" customFormat="1">
      <c r="A26" s="51"/>
      <c r="B26" s="51"/>
      <c r="C26" s="51"/>
      <c r="D26" s="51"/>
      <c r="E26" s="51"/>
      <c r="F26" s="51"/>
      <c r="G26" s="51"/>
      <c r="H26" s="51"/>
    </row>
    <row r="27" spans="1:14" s="3" customFormat="1">
      <c r="A27" s="472" t="s">
        <v>114</v>
      </c>
      <c r="B27" s="472"/>
      <c r="C27" s="472"/>
      <c r="D27" s="472"/>
      <c r="E27" s="472"/>
      <c r="F27" s="472"/>
      <c r="G27" s="472"/>
      <c r="H27" s="472"/>
      <c r="J27" s="164"/>
      <c r="K27" s="165">
        <f>K23-K25</f>
        <v>-50.599999999999966</v>
      </c>
      <c r="L27" s="165"/>
    </row>
    <row r="28" spans="1:14" s="3" customFormat="1">
      <c r="A28" s="51"/>
      <c r="B28" s="51"/>
      <c r="C28" s="51"/>
      <c r="D28" s="51"/>
      <c r="E28" s="51"/>
      <c r="F28" s="51"/>
      <c r="G28" s="51"/>
      <c r="H28" s="51"/>
    </row>
    <row r="29" spans="1:14" s="3" customFormat="1">
      <c r="A29" s="117"/>
      <c r="B29" s="117"/>
      <c r="C29" s="117"/>
      <c r="D29" s="166" t="s">
        <v>92</v>
      </c>
      <c r="E29" s="166" t="s">
        <v>93</v>
      </c>
      <c r="F29" s="166" t="s">
        <v>94</v>
      </c>
      <c r="G29" s="166" t="s">
        <v>115</v>
      </c>
      <c r="H29" s="166" t="s">
        <v>116</v>
      </c>
      <c r="J29" s="164"/>
      <c r="K29" s="165"/>
      <c r="L29" s="165"/>
    </row>
    <row r="30" spans="1:14" s="3" customFormat="1">
      <c r="A30" s="167" t="s">
        <v>117</v>
      </c>
      <c r="B30" s="168"/>
      <c r="C30" s="168"/>
      <c r="D30" s="169">
        <v>0.75</v>
      </c>
      <c r="E30" s="170" t="s">
        <v>48</v>
      </c>
      <c r="F30" s="170" t="s">
        <v>48</v>
      </c>
      <c r="G30" s="169">
        <v>1.5</v>
      </c>
      <c r="H30" s="171"/>
    </row>
    <row r="31" spans="1:14" s="3" customFormat="1">
      <c r="A31" s="167" t="s">
        <v>118</v>
      </c>
      <c r="B31" s="168"/>
      <c r="C31" s="168"/>
      <c r="D31" s="169">
        <v>0.75</v>
      </c>
      <c r="E31" s="170" t="s">
        <v>48</v>
      </c>
      <c r="F31" s="170" t="s">
        <v>48</v>
      </c>
      <c r="G31" s="169">
        <v>3</v>
      </c>
      <c r="H31" s="171"/>
    </row>
    <row r="32" spans="1:14" s="3" customFormat="1">
      <c r="A32" s="167" t="s">
        <v>119</v>
      </c>
      <c r="B32" s="168"/>
      <c r="C32" s="168"/>
      <c r="D32" s="172">
        <v>25</v>
      </c>
      <c r="E32" s="170" t="s">
        <v>48</v>
      </c>
      <c r="F32" s="170" t="s">
        <v>48</v>
      </c>
      <c r="G32" s="169">
        <v>1.5</v>
      </c>
      <c r="H32" s="170">
        <v>14.5</v>
      </c>
    </row>
    <row r="33" spans="1:12" s="3" customFormat="1">
      <c r="A33" s="173" t="s">
        <v>120</v>
      </c>
      <c r="B33" s="174"/>
      <c r="C33" s="174"/>
      <c r="D33" s="172">
        <v>18</v>
      </c>
      <c r="E33" s="171" t="s">
        <v>48</v>
      </c>
      <c r="F33" s="175" t="s">
        <v>48</v>
      </c>
      <c r="G33" s="176">
        <v>1.5</v>
      </c>
      <c r="H33" s="170">
        <v>12.5</v>
      </c>
      <c r="J33" s="164"/>
      <c r="K33" s="164"/>
      <c r="L33" s="164"/>
    </row>
    <row r="34" spans="1:12" s="3" customFormat="1">
      <c r="A34" s="173" t="s">
        <v>121</v>
      </c>
      <c r="B34" s="174"/>
      <c r="C34" s="174"/>
      <c r="D34" s="172">
        <v>18</v>
      </c>
      <c r="E34" s="171" t="s">
        <v>48</v>
      </c>
      <c r="F34" s="171" t="s">
        <v>48</v>
      </c>
      <c r="G34" s="176">
        <v>1.5</v>
      </c>
      <c r="H34" s="170">
        <v>12.5</v>
      </c>
    </row>
    <row r="35" spans="1:12" s="3" customFormat="1" ht="15" thickBot="1">
      <c r="A35" s="51"/>
      <c r="B35" s="117"/>
      <c r="C35" s="177"/>
      <c r="D35" s="51"/>
      <c r="E35" s="51"/>
      <c r="F35" s="177"/>
      <c r="G35" s="177"/>
      <c r="H35" s="51"/>
      <c r="K35" s="36"/>
      <c r="L35" s="36"/>
    </row>
    <row r="36" spans="1:12" s="3" customFormat="1" ht="15" thickBot="1">
      <c r="A36" s="51"/>
      <c r="B36" s="178"/>
      <c r="C36" s="179" t="s">
        <v>122</v>
      </c>
      <c r="D36" s="180"/>
      <c r="E36" s="181"/>
      <c r="G36" s="177"/>
      <c r="H36" s="51"/>
      <c r="K36" s="36"/>
      <c r="L36" s="36"/>
    </row>
    <row r="37" spans="1:12" s="3" customFormat="1" ht="15" thickBot="1">
      <c r="A37" s="51"/>
      <c r="B37" s="182"/>
      <c r="C37" s="183"/>
      <c r="D37" s="183"/>
      <c r="E37" s="184"/>
      <c r="G37" s="177"/>
      <c r="H37" s="51"/>
    </row>
    <row r="38" spans="1:12" s="3" customFormat="1">
      <c r="A38" s="51"/>
      <c r="B38" s="185" t="s">
        <v>123</v>
      </c>
      <c r="C38" s="186" t="s">
        <v>124</v>
      </c>
      <c r="D38" s="186" t="s">
        <v>70</v>
      </c>
      <c r="E38" s="187" t="s">
        <v>125</v>
      </c>
      <c r="G38" s="177"/>
      <c r="H38" s="51"/>
      <c r="J38" s="164"/>
      <c r="K38" s="165"/>
      <c r="L38" s="165"/>
    </row>
    <row r="39" spans="1:12" s="3" customFormat="1">
      <c r="A39" s="188" t="s">
        <v>126</v>
      </c>
      <c r="B39" s="189">
        <v>438.65</v>
      </c>
      <c r="C39" s="190">
        <v>0</v>
      </c>
      <c r="D39" s="190">
        <v>0</v>
      </c>
      <c r="E39" s="191">
        <v>92.129999999999981</v>
      </c>
      <c r="G39" s="177"/>
      <c r="H39" s="51"/>
    </row>
    <row r="40" spans="1:12" s="3" customFormat="1">
      <c r="A40" s="188" t="s">
        <v>127</v>
      </c>
      <c r="B40" s="192">
        <v>513.66999999999996</v>
      </c>
      <c r="C40" s="193">
        <f>SUM(F16)</f>
        <v>0</v>
      </c>
      <c r="D40" s="193">
        <f>SUM(F17)</f>
        <v>0</v>
      </c>
      <c r="E40" s="194">
        <v>168.6</v>
      </c>
      <c r="G40" s="177"/>
      <c r="H40" s="51"/>
    </row>
    <row r="41" spans="1:12" s="3" customFormat="1" ht="15" thickBot="1">
      <c r="A41" s="195" t="s">
        <v>128</v>
      </c>
      <c r="B41" s="196">
        <f>SUM(B39-B40)</f>
        <v>-75.019999999999982</v>
      </c>
      <c r="C41" s="197">
        <f>SUM(C39-C40)</f>
        <v>0</v>
      </c>
      <c r="D41" s="197">
        <f>SUM(D39-D40)</f>
        <v>0</v>
      </c>
      <c r="E41" s="198">
        <f>SUM(E39-E40)</f>
        <v>-76.470000000000013</v>
      </c>
      <c r="G41" s="177"/>
      <c r="H41" s="51"/>
    </row>
    <row r="42" spans="1:12" s="3" customFormat="1">
      <c r="A42" s="51"/>
      <c r="B42" s="117"/>
      <c r="C42" s="117"/>
      <c r="D42" s="117"/>
      <c r="E42" s="117"/>
      <c r="F42" s="51"/>
      <c r="G42" s="51"/>
      <c r="H42" s="51"/>
    </row>
    <row r="43" spans="1:12" s="3" customFormat="1">
      <c r="A43" s="51"/>
      <c r="B43" s="117"/>
      <c r="C43" s="117"/>
      <c r="D43" s="117"/>
      <c r="E43" s="117"/>
      <c r="F43" s="452">
        <v>0</v>
      </c>
      <c r="G43" s="452"/>
      <c r="H43" s="452"/>
    </row>
    <row r="44" spans="1:12" s="3" customFormat="1">
      <c r="B44" s="199" t="s">
        <v>129</v>
      </c>
      <c r="C44" s="200" t="s">
        <v>130</v>
      </c>
      <c r="E44" s="199"/>
      <c r="F44" s="452" t="s">
        <v>131</v>
      </c>
      <c r="G44" s="452"/>
      <c r="H44" s="452"/>
    </row>
    <row r="45" spans="1:12" s="3" customFormat="1">
      <c r="D45" s="117"/>
      <c r="E45" s="117"/>
    </row>
    <row r="46" spans="1:12" s="3" customFormat="1">
      <c r="F46" s="51"/>
      <c r="G46" s="51"/>
      <c r="H46" s="51"/>
    </row>
  </sheetData>
  <mergeCells count="12">
    <mergeCell ref="F44:H44"/>
    <mergeCell ref="A6:D6"/>
    <mergeCell ref="E6:H6"/>
    <mergeCell ref="B7:D7"/>
    <mergeCell ref="F7:H7"/>
    <mergeCell ref="A13:D13"/>
    <mergeCell ref="E13:H13"/>
    <mergeCell ref="B14:D14"/>
    <mergeCell ref="F14:H14"/>
    <mergeCell ref="A24:D25"/>
    <mergeCell ref="A27:H27"/>
    <mergeCell ref="F43:H43"/>
  </mergeCells>
  <pageMargins left="0.7" right="0.2" top="0.75" bottom="0.75" header="0.3" footer="0.3"/>
  <pageSetup orientation="portrait" r:id="rId1"/>
  <headerFooter alignWithMargins="0">
    <oddFooter>&amp;LMV UBC SYDNEY LOG BOOK AND COMSUMPTION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CERTIFICATE</vt:lpstr>
      <vt:lpstr>CALCULATIONS</vt:lpstr>
      <vt:lpstr>LOG BOOK FIGURES</vt:lpstr>
      <vt:lpstr>Data from DB</vt:lpstr>
      <vt:lpstr>COMSUPTION</vt:lpstr>
      <vt:lpstr>LOG BOOK &amp; COMSUPTION</vt:lpstr>
      <vt:lpstr>CALCULATIONS!Print_Area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pabel Peña</dc:creator>
  <cp:lastModifiedBy>Aaron Avila</cp:lastModifiedBy>
  <cp:lastPrinted>2026-03-01T15:47:46Z</cp:lastPrinted>
  <dcterms:created xsi:type="dcterms:W3CDTF">2024-08-13T22:12:35Z</dcterms:created>
  <dcterms:modified xsi:type="dcterms:W3CDTF">2026-03-01T15:54:47Z</dcterms:modified>
</cp:coreProperties>
</file>