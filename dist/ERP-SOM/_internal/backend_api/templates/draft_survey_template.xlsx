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3" activeTab="4" autoFilterDateGrouping="1"/>
  </bookViews>
  <sheets>
    <sheet xmlns:r="http://schemas.openxmlformats.org/officeDocument/2006/relationships" name="A" sheetId="1" state="hidden" r:id="rId1"/>
    <sheet xmlns:r="http://schemas.openxmlformats.org/officeDocument/2006/relationships" name="B" sheetId="2" state="hidden" r:id="rId2"/>
    <sheet xmlns:r="http://schemas.openxmlformats.org/officeDocument/2006/relationships" name="C" sheetId="3" state="hidden" r:id="rId3"/>
    <sheet xmlns:r="http://schemas.openxmlformats.org/officeDocument/2006/relationships" name="General" sheetId="4" state="visible" r:id="rId4"/>
    <sheet xmlns:r="http://schemas.openxmlformats.org/officeDocument/2006/relationships" name="Draft" sheetId="5" state="visible" r:id="rId5"/>
    <sheet xmlns:r="http://schemas.openxmlformats.org/officeDocument/2006/relationships" name="Deductions" sheetId="6" state="visible" r:id="rId6"/>
    <sheet xmlns:r="http://schemas.openxmlformats.org/officeDocument/2006/relationships" name="ECE DRAUGHT SURVEY CODE" sheetId="7" state="visible" r:id="rId7"/>
    <sheet xmlns:r="http://schemas.openxmlformats.org/officeDocument/2006/relationships" name="Draught survey report" sheetId="8" state="visible" r:id="rId8"/>
    <sheet xmlns:r="http://schemas.openxmlformats.org/officeDocument/2006/relationships" name="ECE DRAUGHT SURVEY CODE D2" sheetId="9" state="visible" r:id="rId9"/>
    <sheet xmlns:r="http://schemas.openxmlformats.org/officeDocument/2006/relationships" name="D3" sheetId="10" state="hidden" r:id="rId10"/>
    <sheet xmlns:r="http://schemas.openxmlformats.org/officeDocument/2006/relationships" name="Note of Protest SHORE SCALE " sheetId="11" state="visible" r:id="rId11"/>
    <sheet xmlns:r="http://schemas.openxmlformats.org/officeDocument/2006/relationships" name="Note of Protest DRAFT" sheetId="12" state="visible" r:id="rId12"/>
  </sheets>
  <externalReferences>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s>
  <definedNames>
    <definedName name="AENTRADA">#REF!</definedName>
    <definedName name="AMOCO">#REF!</definedName>
    <definedName name="CERQUAN10">#REF!</definedName>
    <definedName name="CERQUAN4">#REF!</definedName>
    <definedName name="CERQUAN5">#REF!</definedName>
    <definedName name="CERQUAN6">#REF!</definedName>
    <definedName name="CERQUAN7">#REF!</definedName>
    <definedName name="cerquan8">#REF!</definedName>
    <definedName name="CERQUAN9">#REF!</definedName>
    <definedName name="COMPAR">[1]QVEF!$A$1:$W$41</definedName>
    <definedName name="CUAL">#REF!</definedName>
    <definedName name="EXXON">#REF!</definedName>
    <definedName name="EXXONMOBIL">#REF!</definedName>
    <definedName name="FOS_5299_01">#REF!</definedName>
    <definedName name="KOCH">#REF!</definedName>
    <definedName name="LOADSCALE">#REF!</definedName>
    <definedName name="LONG_MC_RAD">'[2]HYDROSTATIC TABLE'!#REF!</definedName>
    <definedName name="LYONDELL">#REF!</definedName>
    <definedName name="MARATHOS">#REF!</definedName>
    <definedName name="MOBIL">#REF!</definedName>
    <definedName name="OCENSA">#REF!</definedName>
    <definedName name="PARCELA1">#REF!</definedName>
    <definedName name="PARCELA2">#REF!</definedName>
    <definedName name="PARCELA3">#REF!</definedName>
    <definedName name="PARCELA4">#REF!</definedName>
    <definedName name="PARCELA5">#REF!</definedName>
    <definedName name="PARCELA6">#REF!</definedName>
    <definedName name="PARCELA9">#REF!</definedName>
    <definedName name="PROVER">#REF!</definedName>
    <definedName name="PROVERS">#REF!</definedName>
    <definedName name="QCKLST">#REF!</definedName>
    <definedName name="QCOMP">'[3]TELEX OCENSA'!$A$1:$J$259</definedName>
    <definedName name="QCOVER">#REF!</definedName>
    <definedName name="QDISCRP">#REF!</definedName>
    <definedName name="QSAPER">#REF!</definedName>
    <definedName name="QSHOMET">#REF!</definedName>
    <definedName name="SHICARGO">#REF!</definedName>
    <definedName name="SUMA">#REF!</definedName>
    <definedName name="TABLAS">Draft!$BA$2:$BD$20</definedName>
    <definedName name="TANULOD2">[4]TANULOD!$A$1:$L$36</definedName>
    <definedName name="TELEX">#REF!</definedName>
    <definedName name="TLXCOVE">#REF!</definedName>
    <definedName name="Vessel">[5]Data!$B$3</definedName>
    <definedName name="_xlnm.Print_Area" localSheetId="0">'A'!$A$1:$AO$58</definedName>
    <definedName name="_xlnm.Print_Area" localSheetId="1">'B'!$A$1:$AO$59</definedName>
    <definedName name="_xlnm.Print_Area" localSheetId="2">'C'!$A$1:$AO$58</definedName>
    <definedName name="_xlnm.Print_Area" localSheetId="3">'General'!$A$1:$AL$39</definedName>
    <definedName name="_xlnm.Print_Area" localSheetId="4">'Draft'!$A$1:$AW$38</definedName>
    <definedName name="_xlnm.Print_Area" localSheetId="5">'Deductions'!$A$1:$AK$54</definedName>
    <definedName name="_xlnm.Print_Area" localSheetId="6">'ECE DRAUGHT SURVEY CODE'!$A$1:$AO$58</definedName>
    <definedName name="_xlnm.Print_Area" localSheetId="7">'Draught survey report'!$A$1:$AO$58</definedName>
    <definedName name="_xlnm.Print_Area" localSheetId="8">'ECE DRAUGHT SURVEY CODE D2'!$A$1:$AO$58</definedName>
    <definedName name="_xlnm.Print_Area" localSheetId="9">'D3'!$A$1:$AO$58</definedName>
    <definedName name="AENTRADA" localSheetId="10">#REF!</definedName>
    <definedName name="AMOCO" localSheetId="10">#REF!</definedName>
    <definedName name="CERQUAN10" localSheetId="10">#REF!</definedName>
    <definedName name="CERQUAN4" localSheetId="10">#REF!</definedName>
    <definedName name="CERQUAN5" localSheetId="10">#REF!</definedName>
    <definedName name="CERQUAN6" localSheetId="10">#REF!</definedName>
    <definedName name="CERQUAN7" localSheetId="10">#REF!</definedName>
    <definedName name="cerquan8" localSheetId="10">#REF!</definedName>
    <definedName name="CERQUAN9" localSheetId="10">#REF!</definedName>
    <definedName name="CUAL" localSheetId="10">#REF!</definedName>
    <definedName name="EXXON" localSheetId="10">#REF!</definedName>
    <definedName name="EXXONMOBIL" localSheetId="10">#REF!</definedName>
    <definedName name="FOS_5299_01" localSheetId="10">#REF!</definedName>
    <definedName name="KOCH" localSheetId="10">#REF!</definedName>
    <definedName name="LOADSCALE" localSheetId="10">#REF!</definedName>
    <definedName name="LONG_MC_RAD" localSheetId="10">'[2]HYDROSTATIC TABLE'!#REF!</definedName>
    <definedName name="LYONDELL" localSheetId="10">#REF!</definedName>
    <definedName name="MARATHOS" localSheetId="10">#REF!</definedName>
    <definedName name="MOBIL" localSheetId="10">#REF!</definedName>
    <definedName name="OCENSA" localSheetId="10">#REF!</definedName>
    <definedName name="PARCELA1" localSheetId="10">#REF!</definedName>
    <definedName name="PARCELA2" localSheetId="10">#REF!</definedName>
    <definedName name="PARCELA3" localSheetId="10">#REF!</definedName>
    <definedName name="PARCELA4" localSheetId="10">#REF!</definedName>
    <definedName name="PARCELA5" localSheetId="10">#REF!</definedName>
    <definedName name="PARCELA6" localSheetId="10">#REF!</definedName>
    <definedName name="PARCELA9" localSheetId="10">#REF!</definedName>
    <definedName name="PROVER" localSheetId="10">#REF!</definedName>
    <definedName name="PROVERS" localSheetId="10">#REF!</definedName>
    <definedName name="QCKLST" localSheetId="10">#REF!</definedName>
    <definedName name="QCOVER" localSheetId="10">#REF!</definedName>
    <definedName name="QDISCRP" localSheetId="10">#REF!</definedName>
    <definedName name="QSAPER" localSheetId="10">#REF!</definedName>
    <definedName name="QSHOMET" localSheetId="10">#REF!</definedName>
    <definedName name="SHICARGO" localSheetId="10">#REF!</definedName>
    <definedName name="SUMA" localSheetId="10">#REF!</definedName>
    <definedName name="TELEX" localSheetId="10">#REF!</definedName>
    <definedName name="TLXCOVE" localSheetId="10">#REF!</definedName>
    <definedName name="_xlnm.Print_Area" localSheetId="10">'Note of Protest SHORE SCALE '!$A$1:$Z$40</definedName>
    <definedName name="AENTRADA" localSheetId="11">#REF!</definedName>
    <definedName name="AMOCO" localSheetId="11">#REF!</definedName>
    <definedName name="CERQUAN10" localSheetId="11">#REF!</definedName>
    <definedName name="CERQUAN4" localSheetId="11">#REF!</definedName>
    <definedName name="CERQUAN5" localSheetId="11">#REF!</definedName>
    <definedName name="CERQUAN6" localSheetId="11">#REF!</definedName>
    <definedName name="CERQUAN7" localSheetId="11">#REF!</definedName>
    <definedName name="cerquan8" localSheetId="11">#REF!</definedName>
    <definedName name="CERQUAN9" localSheetId="11">#REF!</definedName>
    <definedName name="CUAL" localSheetId="11">#REF!</definedName>
    <definedName name="EXXON" localSheetId="11">#REF!</definedName>
    <definedName name="EXXONMOBIL" localSheetId="11">#REF!</definedName>
    <definedName name="FOS_5299_01" localSheetId="11">#REF!</definedName>
    <definedName name="KOCH" localSheetId="11">#REF!</definedName>
    <definedName name="LOADSCALE" localSheetId="11">#REF!</definedName>
    <definedName name="LONG_MC_RAD" localSheetId="11">'[2]HYDROSTATIC TABLE'!#REF!</definedName>
    <definedName name="LYONDELL" localSheetId="11">#REF!</definedName>
    <definedName name="MARATHOS" localSheetId="11">#REF!</definedName>
    <definedName name="MOBIL" localSheetId="11">#REF!</definedName>
    <definedName name="OCENSA" localSheetId="11">#REF!</definedName>
    <definedName name="PARCELA1" localSheetId="11">#REF!</definedName>
    <definedName name="PARCELA2" localSheetId="11">#REF!</definedName>
    <definedName name="PARCELA3" localSheetId="11">#REF!</definedName>
    <definedName name="PARCELA4" localSheetId="11">#REF!</definedName>
    <definedName name="PARCELA5" localSheetId="11">#REF!</definedName>
    <definedName name="PARCELA6" localSheetId="11">#REF!</definedName>
    <definedName name="PARCELA9" localSheetId="11">#REF!</definedName>
    <definedName name="PROVER" localSheetId="11">#REF!</definedName>
    <definedName name="PROVERS" localSheetId="11">#REF!</definedName>
    <definedName name="QCKLST" localSheetId="11">#REF!</definedName>
    <definedName name="QCOVER" localSheetId="11">#REF!</definedName>
    <definedName name="QDISCRP" localSheetId="11">#REF!</definedName>
    <definedName name="QSAPER" localSheetId="11">#REF!</definedName>
    <definedName name="QSHOMET" localSheetId="11">#REF!</definedName>
    <definedName name="SHICARGO" localSheetId="11">#REF!</definedName>
    <definedName name="SUMA" localSheetId="11">#REF!</definedName>
    <definedName name="TELEX" localSheetId="11">#REF!</definedName>
    <definedName name="TLXCOVE" localSheetId="11">#REF!</definedName>
    <definedName name="_xlnm.Print_Area" localSheetId="11">'Note of Protest DRAFT'!$A$1:$Z$40</definedName>
  </definedNames>
  <calcPr calcId="191029" fullCalcOnLoad="1"/>
</workbook>
</file>

<file path=xl/styles.xml><?xml version="1.0" encoding="utf-8"?>
<styleSheet xmlns="http://schemas.openxmlformats.org/spreadsheetml/2006/main">
  <numFmts count="14">
    <numFmt numFmtId="164" formatCode="#,##0.000\ _$;\-#,##0.000\ _$"/>
    <numFmt numFmtId="165" formatCode="#,##0.0000\ _$;\-#,##0.0000\ _$"/>
    <numFmt numFmtId="166" formatCode="#,##0.000"/>
    <numFmt numFmtId="167" formatCode="0.0000000"/>
    <numFmt numFmtId="168" formatCode="0.000000"/>
    <numFmt numFmtId="169" formatCode="#,##0.000000"/>
    <numFmt numFmtId="170" formatCode="#,##0.0000"/>
    <numFmt numFmtId="171" formatCode="0.000"/>
    <numFmt numFmtId="172" formatCode="_ &quot;$&quot;\ * #,##0.00_ ;_ &quot;$&quot;\ * \-#,##0.00_ ;_ &quot;$&quot;\ * &quot;-&quot;??_ ;_ @_ "/>
    <numFmt numFmtId="173" formatCode="0.00000"/>
    <numFmt numFmtId="174" formatCode="0.0000"/>
    <numFmt numFmtId="175" formatCode="_(* #,##0.000_);_(* \(#,##0.000\);_(* &quot;-&quot;??_);_(@_)"/>
    <numFmt numFmtId="176" formatCode="_(* #,##0.0000_);_(* \(#,##0.0000\);_(* &quot;-&quot;??_);_(@_)"/>
    <numFmt numFmtId="177" formatCode="[$-409]dd\-mmm\-yy;@"/>
  </numFmts>
  <fonts count="64">
    <font>
      <name val="Arial"/>
      <sz val="10"/>
    </font>
    <font>
      <name val="Arial"/>
      <family val="2"/>
      <sz val="10"/>
    </font>
    <font>
      <name val="Arial"/>
      <family val="2"/>
      <b val="1"/>
      <sz val="11"/>
    </font>
    <font>
      <name val="Arial"/>
      <family val="2"/>
      <sz val="8"/>
    </font>
    <font>
      <name val="Arial"/>
      <family val="2"/>
      <sz val="12"/>
    </font>
    <font>
      <name val="Arial"/>
      <family val="2"/>
      <b val="1"/>
      <sz val="10"/>
    </font>
    <font>
      <name val="Arial"/>
      <family val="2"/>
      <b val="1"/>
      <sz val="9"/>
    </font>
    <font>
      <name val="Arial"/>
      <family val="2"/>
      <b val="1"/>
      <sz val="12"/>
    </font>
    <font>
      <name val="Arial"/>
      <family val="2"/>
      <sz val="9"/>
    </font>
    <font>
      <name val="Arial"/>
      <family val="2"/>
      <b val="1"/>
      <sz val="10"/>
    </font>
    <font>
      <name val="Arial"/>
      <family val="2"/>
      <sz val="10"/>
    </font>
    <font>
      <name val="Arial"/>
      <family val="2"/>
      <b val="1"/>
      <sz val="8"/>
    </font>
    <font>
      <name val="Arial"/>
      <family val="2"/>
      <b val="1"/>
      <color indexed="16"/>
      <sz val="8"/>
    </font>
    <font>
      <name val="Times New Roman"/>
      <family val="1"/>
      <sz val="9"/>
    </font>
    <font>
      <name val="Arial"/>
      <family val="2"/>
      <b val="1"/>
      <sz val="12"/>
    </font>
    <font>
      <name val="Arial"/>
      <family val="2"/>
      <b val="1"/>
      <color indexed="10"/>
      <sz val="12"/>
    </font>
    <font>
      <name val="Arial"/>
      <family val="2"/>
      <b val="1"/>
      <color indexed="10"/>
      <sz val="9"/>
    </font>
    <font>
      <name val="Arial"/>
      <family val="2"/>
      <sz val="9"/>
      <u val="single"/>
    </font>
    <font>
      <name val="Arial"/>
      <family val="2"/>
      <b val="1"/>
      <color indexed="56"/>
      <sz val="10"/>
    </font>
    <font>
      <name val="Arial"/>
      <family val="2"/>
      <b val="1"/>
      <color indexed="8"/>
      <sz val="9"/>
    </font>
    <font>
      <name val="Arial"/>
      <family val="2"/>
      <sz val="8"/>
    </font>
    <font>
      <name val="Arial"/>
      <family val="2"/>
      <b val="1"/>
      <color indexed="9"/>
      <sz val="10"/>
    </font>
    <font>
      <name val="Arial"/>
      <family val="2"/>
      <color indexed="8"/>
      <sz val="10"/>
    </font>
    <font>
      <name val="Arial"/>
      <family val="2"/>
      <color indexed="8"/>
      <sz val="9"/>
    </font>
    <font>
      <name val="Arial"/>
      <family val="2"/>
      <b val="1"/>
      <color indexed="8"/>
      <sz val="10"/>
    </font>
    <font>
      <name val="Times New Roman"/>
      <family val="1"/>
      <b val="1"/>
      <sz val="8"/>
    </font>
    <font>
      <name val="Arial"/>
      <family val="2"/>
      <b val="1"/>
      <color indexed="12"/>
      <sz val="8"/>
    </font>
    <font>
      <name val="Arial"/>
      <family val="2"/>
      <b val="1"/>
      <color theme="0"/>
      <sz val="8"/>
    </font>
    <font>
      <name val="Arial"/>
      <family val="2"/>
      <b val="1"/>
      <color theme="0"/>
      <sz val="10"/>
    </font>
    <font>
      <name val="Arial"/>
      <family val="2"/>
      <b val="1"/>
      <color indexed="60"/>
      <sz val="10"/>
    </font>
    <font>
      <name val="Umbra BT"/>
      <b val="1"/>
      <color indexed="10"/>
      <sz val="6"/>
    </font>
    <font>
      <name val="Tahoma"/>
      <family val="2"/>
      <color indexed="81"/>
      <sz val="8"/>
    </font>
    <font>
      <name val="Arial"/>
      <family val="2"/>
      <b val="1"/>
      <sz val="14"/>
    </font>
    <font>
      <name val="Arial"/>
      <family val="2"/>
      <b val="1"/>
      <color indexed="10"/>
      <sz val="6"/>
    </font>
    <font>
      <name val="Arial"/>
      <family val="2"/>
      <b val="1"/>
      <color indexed="9"/>
      <sz val="9"/>
    </font>
    <font>
      <name val="Arial"/>
      <family val="2"/>
      <b val="1"/>
      <sz val="7"/>
    </font>
    <font>
      <name val="Arial"/>
      <family val="2"/>
      <color theme="10"/>
      <sz val="10"/>
      <u val="single"/>
    </font>
    <font>
      <name val="Arial"/>
      <family val="2"/>
      <color indexed="18"/>
      <sz val="10"/>
    </font>
    <font>
      <name val="Arial"/>
      <family val="2"/>
      <b val="1"/>
      <color indexed="18"/>
      <sz val="10"/>
    </font>
    <font>
      <name val="Arial"/>
      <family val="2"/>
      <b val="1"/>
      <color indexed="18"/>
      <sz val="8"/>
    </font>
    <font>
      <name val="Arial"/>
      <family val="2"/>
      <color indexed="18"/>
      <sz val="10"/>
    </font>
    <font>
      <name val="Arial"/>
      <family val="2"/>
      <b val="1"/>
      <color indexed="18"/>
      <sz val="9"/>
    </font>
    <font>
      <name val="Arial"/>
      <family val="2"/>
      <b val="1"/>
      <sz val="14"/>
      <u val="single"/>
    </font>
    <font>
      <name val="Umbra BT"/>
      <b val="1"/>
      <sz val="6"/>
    </font>
    <font>
      <name val="Tahoma"/>
      <family val="2"/>
      <b val="1"/>
      <color indexed="81"/>
      <sz val="9"/>
    </font>
    <font>
      <name val="Tahoma"/>
      <family val="2"/>
      <color indexed="81"/>
      <sz val="9"/>
    </font>
    <font>
      <name val="Arial"/>
      <family val="2"/>
      <b val="1"/>
      <color indexed="12"/>
      <sz val="10"/>
    </font>
    <font>
      <name val="Arial"/>
      <charset val="204"/>
      <family val="2"/>
      <b val="1"/>
      <color indexed="62"/>
      <sz val="8"/>
    </font>
    <font>
      <name val="Arial"/>
      <charset val="204"/>
      <family val="2"/>
      <b val="1"/>
      <sz val="10"/>
    </font>
    <font>
      <name val="Palatino Linotype"/>
      <family val="1"/>
      <b val="1"/>
      <sz val="8"/>
    </font>
    <font>
      <name val="Arial Cyr"/>
      <charset val="204"/>
      <family val="2"/>
      <b val="1"/>
      <color indexed="60"/>
      <sz val="10"/>
    </font>
    <font>
      <name val="Palatino Linotype"/>
      <family val="1"/>
      <b val="1"/>
      <color indexed="36"/>
      <sz val="10"/>
    </font>
    <font>
      <name val="Arial"/>
      <charset val="204"/>
      <family val="2"/>
      <b val="1"/>
      <color indexed="60"/>
      <sz val="10"/>
    </font>
    <font>
      <name val="Arial Cyr"/>
      <charset val="204"/>
      <family val="2"/>
      <b val="1"/>
      <color indexed="62"/>
      <sz val="10"/>
    </font>
    <font>
      <name val="Palatino Linotype"/>
      <family val="1"/>
      <b val="1"/>
      <color indexed="10"/>
      <sz val="10"/>
    </font>
    <font>
      <name val="Arial"/>
      <family val="2"/>
      <b val="1"/>
      <color indexed="10"/>
      <sz val="10"/>
    </font>
    <font>
      <name val="Arial"/>
      <charset val="204"/>
      <family val="2"/>
      <b val="1"/>
      <color indexed="22"/>
      <sz val="10"/>
    </font>
    <font>
      <name val="Palatino Linotype"/>
      <family val="1"/>
      <b val="1"/>
      <color indexed="12"/>
      <sz val="10"/>
    </font>
    <font>
      <name val="Arial"/>
      <family val="2"/>
      <sz val="7"/>
    </font>
    <font>
      <name val="Arial"/>
      <family val="2"/>
      <color theme="0"/>
      <sz val="7"/>
    </font>
    <font>
      <name val="Arial"/>
      <family val="2"/>
      <color indexed="18"/>
      <sz val="8"/>
    </font>
    <font>
      <name val="Arial"/>
      <family val="2"/>
      <sz val="6.5"/>
    </font>
    <font>
      <name val="Arial"/>
      <family val="2"/>
      <color rgb="FFFF0000"/>
      <sz val="8"/>
    </font>
    <font>
      <name val="Century Gothic"/>
      <family val="2"/>
      <b val="1"/>
      <color rgb="FF0000FF"/>
      <sz val="8"/>
    </font>
  </fonts>
  <fills count="25">
    <fill>
      <patternFill/>
    </fill>
    <fill>
      <patternFill patternType="gray125"/>
    </fill>
    <fill>
      <patternFill patternType="solid">
        <fgColor indexed="9"/>
        <bgColor indexed="64"/>
      </patternFill>
    </fill>
    <fill>
      <patternFill patternType="solid">
        <fgColor theme="0" tint="-0.1499984740745262"/>
        <bgColor indexed="64"/>
      </patternFill>
    </fill>
    <fill>
      <patternFill patternType="solid">
        <fgColor theme="4" tint="0.5999938962981048"/>
        <bgColor indexed="64"/>
      </patternFill>
    </fill>
    <fill>
      <patternFill patternType="solid">
        <fgColor rgb="FF3333FF"/>
        <bgColor indexed="64"/>
      </patternFill>
    </fill>
    <fill>
      <patternFill patternType="solid">
        <fgColor theme="0" tint="-0.0499893185216834"/>
        <bgColor indexed="64"/>
      </patternFill>
    </fill>
    <fill>
      <patternFill patternType="solid">
        <fgColor indexed="15"/>
        <bgColor indexed="0"/>
      </patternFill>
    </fill>
    <fill>
      <patternFill patternType="solid">
        <fgColor indexed="22"/>
        <bgColor indexed="0"/>
      </patternFill>
    </fill>
    <fill>
      <patternFill patternType="solid">
        <fgColor theme="2" tint="-0.09997863704336681"/>
        <bgColor indexed="64"/>
      </patternFill>
    </fill>
    <fill>
      <patternFill patternType="solid">
        <fgColor indexed="44"/>
        <bgColor indexed="0"/>
      </patternFill>
    </fill>
    <fill>
      <patternFill patternType="solid">
        <fgColor indexed="22"/>
        <bgColor indexed="64"/>
      </patternFill>
    </fill>
    <fill>
      <patternFill patternType="solid">
        <fgColor indexed="45"/>
        <bgColor indexed="64"/>
      </patternFill>
    </fill>
    <fill>
      <patternFill patternType="solid">
        <fgColor indexed="42"/>
        <bgColor indexed="0"/>
      </patternFill>
    </fill>
    <fill>
      <patternFill patternType="solid">
        <fgColor indexed="43"/>
        <bgColor indexed="64"/>
      </patternFill>
    </fill>
    <fill>
      <patternFill patternType="solid">
        <fgColor indexed="8"/>
        <bgColor indexed="64"/>
      </patternFill>
    </fill>
    <fill>
      <patternFill patternType="solid">
        <fgColor theme="0" tint="-0.249977111117893"/>
        <bgColor indexed="64"/>
      </patternFill>
    </fill>
    <fill>
      <patternFill patternType="solid">
        <fgColor theme="0"/>
        <bgColor indexed="64"/>
      </patternFill>
    </fill>
    <fill>
      <patternFill patternType="solid">
        <fgColor theme="3" tint="0.749992370372631"/>
        <bgColor indexed="64"/>
      </patternFill>
    </fill>
    <fill>
      <patternFill patternType="solid">
        <fgColor theme="3" tint="0.8999908444471572"/>
        <bgColor indexed="64"/>
      </patternFill>
    </fill>
    <fill>
      <patternFill patternType="solid">
        <fgColor indexed="55"/>
        <bgColor indexed="64"/>
      </patternFill>
    </fill>
    <fill>
      <patternFill patternType="solid">
        <fgColor theme="2"/>
        <bgColor indexed="64"/>
      </patternFill>
    </fill>
    <fill>
      <patternFill patternType="solid">
        <fgColor rgb="FF0000FF"/>
        <bgColor indexed="64"/>
      </patternFill>
    </fill>
    <fill>
      <patternFill patternType="solid">
        <fgColor theme="0" tint="-0.0499893185216834"/>
        <bgColor indexed="0"/>
      </patternFill>
    </fill>
    <fill>
      <patternFill patternType="solid">
        <fgColor theme="0"/>
        <bgColor indexed="0"/>
      </patternFill>
    </fill>
  </fills>
  <borders count="9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dashed">
        <color indexed="64"/>
      </bottom>
      <diagonal/>
    </border>
    <border>
      <left style="thin">
        <color indexed="64"/>
      </left>
      <right style="thin">
        <color indexed="64"/>
      </right>
      <top style="thin">
        <color indexed="64"/>
      </top>
      <bottom/>
      <diagonal/>
    </border>
    <border>
      <left/>
      <right/>
      <top style="dashed">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medium">
        <color indexed="64"/>
      </top>
      <bottom style="dotted">
        <color indexed="64"/>
      </bottom>
      <diagonal/>
    </border>
    <border>
      <left style="medium">
        <color indexed="64"/>
      </left>
      <right/>
      <top/>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right/>
      <top/>
      <bottom style="dashed">
        <color indexed="64"/>
      </bottom>
      <diagonal/>
    </border>
    <border>
      <left/>
      <right style="medium">
        <color indexed="64"/>
      </right>
      <top/>
      <bottom style="dashed">
        <color indexed="64"/>
      </bottom>
      <diagonal/>
    </border>
    <border>
      <left/>
      <right style="dashed">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dashed">
        <color indexed="64"/>
      </left>
      <right style="dashed">
        <color indexed="64"/>
      </right>
      <top style="dashed">
        <color indexed="64"/>
      </top>
      <bottom/>
      <diagonal/>
    </border>
    <border>
      <left style="dashed">
        <color indexed="64"/>
      </left>
      <right style="medium">
        <color indexed="64"/>
      </right>
      <top style="dashed">
        <color indexed="64"/>
      </top>
      <bottom/>
      <diagonal/>
    </border>
    <border>
      <left/>
      <right/>
      <top style="dotted">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dotted">
        <color indexed="64"/>
      </top>
      <bottom/>
      <diagonal/>
    </border>
    <border>
      <left style="medium">
        <color indexed="64"/>
      </left>
      <right/>
      <top style="dotted">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bottom style="medium">
        <color indexed="64"/>
      </bottom>
      <diagonal/>
    </border>
    <border>
      <left style="medium">
        <color indexed="64"/>
      </left>
      <right style="dashed">
        <color indexed="64"/>
      </right>
      <top/>
      <bottom/>
      <diagonal/>
    </border>
    <border>
      <left/>
      <right style="medium">
        <color indexed="64"/>
      </right>
      <top style="medium">
        <color indexed="64"/>
      </top>
      <bottom style="dashed">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ashed">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s>
  <cellStyleXfs count="5">
    <xf numFmtId="0" fontId="0" fillId="0" borderId="0"/>
    <xf numFmtId="43" fontId="10" fillId="0" borderId="0"/>
    <xf numFmtId="0" fontId="36" fillId="0" borderId="0" applyAlignment="1" applyProtection="1">
      <alignment vertical="top"/>
      <protection locked="0" hidden="0"/>
    </xf>
    <xf numFmtId="172" fontId="10" fillId="0" borderId="0"/>
    <xf numFmtId="0" fontId="10" fillId="0" borderId="0"/>
  </cellStyleXfs>
  <cellXfs count="1291">
    <xf numFmtId="0" fontId="0" fillId="0" borderId="0" pivotButton="0" quotePrefix="0" xfId="0"/>
    <xf numFmtId="0" fontId="3" fillId="0" borderId="2" applyAlignment="1" pivotButton="0" quotePrefix="0" xfId="0">
      <alignment horizontal="center"/>
    </xf>
    <xf numFmtId="0" fontId="7" fillId="0" borderId="6" applyAlignment="1" pivotButton="0" quotePrefix="0" xfId="0">
      <alignment horizontal="center" vertical="center"/>
    </xf>
    <xf numFmtId="0" fontId="8" fillId="0" borderId="0" applyAlignment="1" pivotButton="0" quotePrefix="0" xfId="0">
      <alignment horizontal="left"/>
    </xf>
    <xf numFmtId="0" fontId="8" fillId="0" borderId="7" applyAlignment="1" pivotButton="0" quotePrefix="0" xfId="0">
      <alignment horizontal="center"/>
    </xf>
    <xf numFmtId="0" fontId="8" fillId="0" borderId="8" applyAlignment="1" pivotButton="0" quotePrefix="0" xfId="0">
      <alignment horizontal="left"/>
    </xf>
    <xf numFmtId="0" fontId="8" fillId="0" borderId="1" pivotButton="0" quotePrefix="0" xfId="0"/>
    <xf numFmtId="0" fontId="3" fillId="0" borderId="2" applyAlignment="1" pivotButton="0" quotePrefix="0" xfId="0">
      <alignment horizontal="left"/>
    </xf>
    <xf numFmtId="0" fontId="8" fillId="0" borderId="7" pivotButton="0" quotePrefix="0" xfId="0"/>
    <xf numFmtId="0" fontId="10" fillId="0" borderId="8" applyAlignment="1" pivotButton="0" quotePrefix="0" xfId="0">
      <alignment horizontal="left"/>
    </xf>
    <xf numFmtId="0" fontId="10" fillId="0" borderId="9" applyAlignment="1" pivotButton="0" quotePrefix="0" xfId="0">
      <alignment horizontal="left"/>
    </xf>
    <xf numFmtId="0" fontId="8" fillId="0" borderId="2" pivotButton="0" quotePrefix="0" xfId="0"/>
    <xf numFmtId="0" fontId="3" fillId="0" borderId="2" pivotButton="0" quotePrefix="0" xfId="0"/>
    <xf numFmtId="0" fontId="0" fillId="0" borderId="2" pivotButton="0" quotePrefix="0" xfId="0"/>
    <xf numFmtId="0" fontId="3" fillId="0" borderId="3" pivotButton="0" quotePrefix="0" xfId="0"/>
    <xf numFmtId="0" fontId="8" fillId="0" borderId="8" pivotButton="0" quotePrefix="0" xfId="0"/>
    <xf numFmtId="0" fontId="3" fillId="0" borderId="8" pivotButton="0" quotePrefix="0" xfId="0"/>
    <xf numFmtId="0" fontId="0" fillId="0" borderId="8" pivotButton="0" quotePrefix="0" xfId="0"/>
    <xf numFmtId="0" fontId="10" fillId="0" borderId="8" applyAlignment="1" pivotButton="0" quotePrefix="1" xfId="0">
      <alignment horizontal="left"/>
    </xf>
    <xf numFmtId="0" fontId="11" fillId="0" borderId="8" pivotButton="0" quotePrefix="0" xfId="0"/>
    <xf numFmtId="0" fontId="3" fillId="0" borderId="9" pivotButton="0" quotePrefix="0" xfId="0"/>
    <xf numFmtId="0" fontId="10" fillId="0" borderId="8" pivotButton="0" quotePrefix="0" xfId="0"/>
    <xf numFmtId="0" fontId="10" fillId="0" borderId="2" applyAlignment="1" pivotButton="0" quotePrefix="0" xfId="0">
      <alignment horizontal="left"/>
    </xf>
    <xf numFmtId="0" fontId="8" fillId="0" borderId="4" pivotButton="0" quotePrefix="0" xfId="0"/>
    <xf numFmtId="0" fontId="8" fillId="0" borderId="0" pivotButton="0" quotePrefix="0" xfId="0"/>
    <xf numFmtId="0" fontId="3" fillId="0" borderId="0" pivotButton="0" quotePrefix="0" xfId="0"/>
    <xf numFmtId="0" fontId="10" fillId="0" borderId="0" applyAlignment="1" pivotButton="0" quotePrefix="1" xfId="0">
      <alignment horizontal="left"/>
    </xf>
    <xf numFmtId="0" fontId="3" fillId="0" borderId="5" pivotButton="0" quotePrefix="0" xfId="0"/>
    <xf numFmtId="0" fontId="6" fillId="0" borderId="0" pivotButton="0" quotePrefix="0" xfId="0"/>
    <xf numFmtId="0" fontId="8" fillId="0" borderId="0" applyAlignment="1" pivotButton="0" quotePrefix="1" xfId="0">
      <alignment horizontal="left"/>
    </xf>
    <xf numFmtId="0" fontId="0" fillId="0" borderId="5" pivotButton="0" quotePrefix="0" xfId="0"/>
    <xf numFmtId="4" fontId="10" fillId="0" borderId="8" applyAlignment="1" pivotButton="0" quotePrefix="0" xfId="0">
      <alignment horizontal="centerContinuous"/>
    </xf>
    <xf numFmtId="0" fontId="3" fillId="0" borderId="8" applyAlignment="1" pivotButton="0" quotePrefix="0" xfId="0">
      <alignment horizontal="centerContinuous"/>
    </xf>
    <xf numFmtId="0" fontId="8" fillId="0" borderId="0" applyAlignment="1" pivotButton="0" quotePrefix="1" xfId="0">
      <alignment horizontal="right"/>
    </xf>
    <xf numFmtId="0" fontId="8" fillId="0" borderId="0" applyAlignment="1" pivotButton="0" quotePrefix="0" xfId="0">
      <alignment horizontal="right"/>
    </xf>
    <xf numFmtId="0" fontId="8" fillId="0" borderId="10" pivotButton="0" quotePrefix="0" xfId="0"/>
    <xf numFmtId="0" fontId="3" fillId="0" borderId="0" applyAlignment="1" pivotButton="0" quotePrefix="0" xfId="0">
      <alignment horizontal="right"/>
    </xf>
    <xf numFmtId="0" fontId="13" fillId="0" borderId="0" pivotButton="0" quotePrefix="0" xfId="0"/>
    <xf numFmtId="0" fontId="3" fillId="0" borderId="8" applyAlignment="1" pivotButton="0" quotePrefix="0" xfId="0">
      <alignment horizontal="right"/>
    </xf>
    <xf numFmtId="0" fontId="3" fillId="0" borderId="2" applyAlignment="1" pivotButton="0" quotePrefix="1" xfId="0">
      <alignment horizontal="left"/>
    </xf>
    <xf numFmtId="0" fontId="3" fillId="0" borderId="0" applyAlignment="1" pivotButton="0" quotePrefix="0" xfId="0">
      <alignment horizontal="center"/>
    </xf>
    <xf numFmtId="0" fontId="8" fillId="0" borderId="0" applyAlignment="1" pivotButton="0" quotePrefix="0" xfId="0">
      <alignment horizontal="center"/>
    </xf>
    <xf numFmtId="0" fontId="5" fillId="0" borderId="6" applyAlignment="1" pivotButton="0" quotePrefix="0" xfId="0">
      <alignment horizontal="center"/>
    </xf>
    <xf numFmtId="0" fontId="0" fillId="0" borderId="1" pivotButton="0" quotePrefix="0" xfId="0"/>
    <xf numFmtId="0" fontId="3" fillId="0" borderId="3" applyAlignment="1" pivotButton="0" quotePrefix="1" xfId="0">
      <alignment horizontal="left"/>
    </xf>
    <xf numFmtId="0" fontId="0" fillId="0" borderId="4" pivotButton="0" quotePrefix="0" xfId="0"/>
    <xf numFmtId="0" fontId="12" fillId="0" borderId="0" pivotButton="0" quotePrefix="0" xfId="0"/>
    <xf numFmtId="0" fontId="0" fillId="0" borderId="9" pivotButton="0" quotePrefix="0" xfId="0"/>
    <xf numFmtId="0" fontId="3" fillId="0" borderId="0" applyAlignment="1" pivotButton="0" quotePrefix="0" xfId="0">
      <alignment horizontal="left"/>
    </xf>
    <xf numFmtId="0" fontId="14" fillId="0" borderId="6" applyAlignment="1" pivotButton="0" quotePrefix="0" xfId="0">
      <alignment horizontal="center"/>
    </xf>
    <xf numFmtId="0" fontId="15" fillId="0" borderId="6" applyAlignment="1" pivotButton="0" quotePrefix="0" xfId="0">
      <alignment horizontal="center"/>
    </xf>
    <xf numFmtId="0" fontId="16" fillId="0" borderId="7" applyAlignment="1" pivotButton="0" quotePrefix="1" xfId="0">
      <alignment horizontal="left"/>
    </xf>
    <xf numFmtId="0" fontId="11" fillId="0" borderId="8" applyAlignment="1" pivotButton="0" quotePrefix="0" xfId="0">
      <alignment horizontal="left"/>
    </xf>
    <xf numFmtId="4" fontId="3" fillId="0" borderId="5" applyAlignment="1" pivotButton="0" quotePrefix="0" xfId="0">
      <alignment horizontal="centerContinuous"/>
    </xf>
    <xf numFmtId="0" fontId="0" fillId="0" borderId="0" applyAlignment="1" pivotButton="0" quotePrefix="0" xfId="0">
      <alignment horizontal="center"/>
    </xf>
    <xf numFmtId="4" fontId="3" fillId="0" borderId="9" applyAlignment="1" pivotButton="0" quotePrefix="0" xfId="0">
      <alignment horizontal="centerContinuous"/>
    </xf>
    <xf numFmtId="4" fontId="3" fillId="0" borderId="3" applyAlignment="1" pivotButton="0" quotePrefix="0" xfId="0">
      <alignment horizontal="centerContinuous"/>
    </xf>
    <xf numFmtId="0" fontId="8" fillId="0" borderId="8" applyAlignment="1" pivotButton="0" quotePrefix="0" xfId="0">
      <alignment horizontal="right"/>
    </xf>
    <xf numFmtId="4" fontId="3" fillId="0" borderId="7" applyAlignment="1" pivotButton="0" quotePrefix="0" xfId="0">
      <alignment horizontal="centerContinuous"/>
    </xf>
    <xf numFmtId="4" fontId="3" fillId="0" borderId="8" applyAlignment="1" pivotButton="0" quotePrefix="0" xfId="0">
      <alignment horizontal="centerContinuous"/>
    </xf>
    <xf numFmtId="0" fontId="0" fillId="0" borderId="8" applyAlignment="1" pivotButton="0" quotePrefix="0" xfId="0">
      <alignment horizontal="center"/>
    </xf>
    <xf numFmtId="0" fontId="3" fillId="0" borderId="0" applyAlignment="1" pivotButton="0" quotePrefix="0" xfId="0">
      <alignment horizontal="centerContinuous"/>
    </xf>
    <xf numFmtId="164" fontId="3" fillId="0" borderId="12" pivotButton="0" quotePrefix="0" xfId="0"/>
    <xf numFmtId="165" fontId="3" fillId="0" borderId="12" pivotButton="0" quotePrefix="0" xfId="0"/>
    <xf numFmtId="39" fontId="3" fillId="0" borderId="12" pivotButton="0" quotePrefix="0" xfId="0"/>
    <xf numFmtId="0" fontId="3" fillId="0" borderId="4" pivotButton="0" quotePrefix="0" xfId="0"/>
    <xf numFmtId="0" fontId="3" fillId="0" borderId="7" pivotButton="0" quotePrefix="0" xfId="0"/>
    <xf numFmtId="0" fontId="3" fillId="0" borderId="13" pivotButton="0" quotePrefix="0" xfId="0"/>
    <xf numFmtId="0" fontId="3" fillId="0" borderId="1" pivotButton="0" quotePrefix="0" xfId="0"/>
    <xf numFmtId="4" fontId="3" fillId="0" borderId="0" pivotButton="0" quotePrefix="0" xfId="0"/>
    <xf numFmtId="166" fontId="3" fillId="0" borderId="0" pivotButton="0" quotePrefix="0" xfId="0"/>
    <xf numFmtId="4" fontId="3" fillId="0" borderId="5" pivotButton="0" quotePrefix="0" xfId="0"/>
    <xf numFmtId="4" fontId="3" fillId="0" borderId="8" pivotButton="0" quotePrefix="0" xfId="0"/>
    <xf numFmtId="166" fontId="3" fillId="0" borderId="8" pivotButton="0" quotePrefix="0" xfId="0"/>
    <xf numFmtId="4" fontId="3" fillId="0" borderId="9" pivotButton="0" quotePrefix="0" xfId="0"/>
    <xf numFmtId="0" fontId="16" fillId="0" borderId="8" applyAlignment="1" pivotButton="0" quotePrefix="1" xfId="0">
      <alignment horizontal="left"/>
    </xf>
    <xf numFmtId="0" fontId="18" fillId="0" borderId="8" pivotButton="0" quotePrefix="0" xfId="0"/>
    <xf numFmtId="0" fontId="8" fillId="0" borderId="1" applyAlignment="1" pivotButton="0" quotePrefix="1" xfId="0">
      <alignment horizontal="centerContinuous" vertical="center"/>
    </xf>
    <xf numFmtId="0" fontId="8" fillId="0" borderId="2" applyAlignment="1" pivotButton="0" quotePrefix="0" xfId="0">
      <alignment horizontal="centerContinuous" vertical="center"/>
    </xf>
    <xf numFmtId="0" fontId="8" fillId="0" borderId="3" applyAlignment="1" pivotButton="0" quotePrefix="0" xfId="0">
      <alignment horizontal="centerContinuous" vertical="center"/>
    </xf>
    <xf numFmtId="2" fontId="0" fillId="0" borderId="0" applyAlignment="1" pivotButton="0" quotePrefix="0" xfId="0">
      <alignment horizontal="center"/>
    </xf>
    <xf numFmtId="0" fontId="0" fillId="0" borderId="11" applyAlignment="1" pivotButton="0" quotePrefix="0" xfId="0">
      <alignment horizontal="center"/>
    </xf>
    <xf numFmtId="0" fontId="3" fillId="0" borderId="12" pivotButton="0" quotePrefix="0" xfId="0"/>
    <xf numFmtId="0" fontId="3" fillId="0" borderId="9" applyAlignment="1" pivotButton="0" quotePrefix="0" xfId="0">
      <alignment horizontal="centerContinuous"/>
    </xf>
    <xf numFmtId="0" fontId="3" fillId="0" borderId="0" applyAlignment="1" pivotButton="0" quotePrefix="1" xfId="0">
      <alignment horizontal="right"/>
    </xf>
    <xf numFmtId="0" fontId="3" fillId="0" borderId="4" applyAlignment="1" pivotButton="0" quotePrefix="0" xfId="0">
      <alignment horizontal="centerContinuous"/>
    </xf>
    <xf numFmtId="0" fontId="11" fillId="0" borderId="0" applyAlignment="1" pivotButton="0" quotePrefix="0" xfId="0">
      <alignment horizontal="center"/>
    </xf>
    <xf numFmtId="0" fontId="20" fillId="0" borderId="0" pivotButton="0" quotePrefix="0" xfId="0"/>
    <xf numFmtId="0" fontId="11" fillId="0" borderId="0" applyAlignment="1" pivotButton="0" quotePrefix="0" xfId="0">
      <alignment horizontal="left"/>
    </xf>
    <xf numFmtId="0" fontId="20" fillId="0" borderId="1" pivotButton="0" quotePrefix="0" xfId="0"/>
    <xf numFmtId="0" fontId="20" fillId="0" borderId="2" pivotButton="0" quotePrefix="0" xfId="0"/>
    <xf numFmtId="0" fontId="20" fillId="0" borderId="3" pivotButton="0" quotePrefix="0" xfId="0"/>
    <xf numFmtId="0" fontId="20" fillId="0" borderId="18" pivotButton="0" quotePrefix="0" xfId="0"/>
    <xf numFmtId="0" fontId="20" fillId="0" borderId="4" applyProtection="1" pivotButton="0" quotePrefix="0" xfId="0">
      <protection locked="0" hidden="0"/>
    </xf>
    <xf numFmtId="4" fontId="20" fillId="3" borderId="0" applyProtection="1" pivotButton="0" quotePrefix="0" xfId="0">
      <protection locked="0" hidden="0"/>
    </xf>
    <xf numFmtId="4" fontId="20" fillId="3" borderId="5" applyProtection="1" pivotButton="0" quotePrefix="0" xfId="0">
      <protection locked="0" hidden="0"/>
    </xf>
    <xf numFmtId="4" fontId="20" fillId="3" borderId="14" applyProtection="1" pivotButton="0" quotePrefix="0" xfId="0">
      <protection locked="0" hidden="0"/>
    </xf>
    <xf numFmtId="0" fontId="20" fillId="0" borderId="4" pivotButton="0" quotePrefix="0" xfId="0"/>
    <xf numFmtId="2" fontId="20" fillId="0" borderId="0" pivotButton="0" quotePrefix="0" xfId="0"/>
    <xf numFmtId="167" fontId="20" fillId="0" borderId="0" pivotButton="0" quotePrefix="0" xfId="0"/>
    <xf numFmtId="4" fontId="20" fillId="4" borderId="0" applyProtection="1" pivotButton="0" quotePrefix="0" xfId="0">
      <protection locked="0" hidden="0"/>
    </xf>
    <xf numFmtId="4" fontId="20" fillId="4" borderId="5" applyProtection="1" pivotButton="0" quotePrefix="0" xfId="0">
      <protection locked="0" hidden="0"/>
    </xf>
    <xf numFmtId="4" fontId="20" fillId="4" borderId="14" applyProtection="1" pivotButton="0" quotePrefix="0" xfId="0">
      <protection locked="0" hidden="0"/>
    </xf>
    <xf numFmtId="0" fontId="20" fillId="0" borderId="7" pivotButton="0" quotePrefix="0" xfId="0"/>
    <xf numFmtId="0" fontId="20" fillId="0" borderId="8" pivotButton="0" quotePrefix="0" xfId="0"/>
    <xf numFmtId="2" fontId="20" fillId="0" borderId="8" pivotButton="0" quotePrefix="0" xfId="0"/>
    <xf numFmtId="0" fontId="11" fillId="0" borderId="16" pivotButton="0" quotePrefix="0" xfId="0"/>
    <xf numFmtId="0" fontId="11" fillId="7" borderId="6" applyAlignment="1" pivotButton="0" quotePrefix="0" xfId="0">
      <alignment horizontal="left"/>
    </xf>
    <xf numFmtId="0" fontId="11" fillId="8" borderId="11" applyAlignment="1" pivotButton="0" quotePrefix="0" xfId="0">
      <alignment horizontal="left"/>
    </xf>
    <xf numFmtId="0" fontId="11" fillId="7" borderId="11" applyAlignment="1" pivotButton="0" quotePrefix="0" xfId="0">
      <alignment horizontal="center"/>
    </xf>
    <xf numFmtId="0" fontId="11" fillId="8" borderId="11" applyAlignment="1" pivotButton="0" quotePrefix="1" xfId="0">
      <alignment horizontal="left"/>
    </xf>
    <xf numFmtId="0" fontId="11" fillId="7" borderId="12" applyAlignment="1" pivotButton="0" quotePrefix="1" xfId="0">
      <alignment horizontal="left"/>
    </xf>
    <xf numFmtId="2" fontId="22" fillId="0" borderId="0" applyAlignment="1" pivotButton="0" quotePrefix="0" xfId="0">
      <alignment horizontal="center"/>
    </xf>
    <xf numFmtId="0" fontId="22" fillId="0" borderId="0" pivotButton="0" quotePrefix="0" xfId="0"/>
    <xf numFmtId="168" fontId="20" fillId="7" borderId="14" pivotButton="0" quotePrefix="0" xfId="0"/>
    <xf numFmtId="168" fontId="20" fillId="8" borderId="0" pivotButton="0" quotePrefix="0" xfId="0"/>
    <xf numFmtId="168" fontId="20" fillId="7" borderId="0" pivotButton="0" quotePrefix="0" xfId="0"/>
    <xf numFmtId="0" fontId="20" fillId="7" borderId="14" pivotButton="0" quotePrefix="0" xfId="0"/>
    <xf numFmtId="0" fontId="20" fillId="8" borderId="0" pivotButton="0" quotePrefix="0" xfId="0"/>
    <xf numFmtId="0" fontId="20" fillId="7" borderId="0" pivotButton="0" quotePrefix="0" xfId="0"/>
    <xf numFmtId="4" fontId="25" fillId="8" borderId="0" applyAlignment="1" pivotButton="0" quotePrefix="1" xfId="0">
      <alignment horizontal="right"/>
    </xf>
    <xf numFmtId="4" fontId="25" fillId="7" borderId="14" applyAlignment="1" pivotButton="0" quotePrefix="1" xfId="0">
      <alignment horizontal="right"/>
    </xf>
    <xf numFmtId="4" fontId="11" fillId="8" borderId="0" pivotButton="0" quotePrefix="0" xfId="0"/>
    <xf numFmtId="4" fontId="25" fillId="7" borderId="0" applyAlignment="1" pivotButton="0" quotePrefix="1" xfId="0">
      <alignment horizontal="right"/>
    </xf>
    <xf numFmtId="0" fontId="0" fillId="0" borderId="42" pivotButton="0" quotePrefix="0" xfId="0"/>
    <xf numFmtId="0" fontId="3" fillId="0" borderId="44" applyAlignment="1" pivotButton="0" quotePrefix="0" xfId="0">
      <alignment horizontal="left"/>
    </xf>
    <xf numFmtId="0" fontId="0" fillId="0" borderId="46" pivotButton="0" quotePrefix="0" xfId="0"/>
    <xf numFmtId="0" fontId="26" fillId="0" borderId="48" applyAlignment="1" applyProtection="1" pivotButton="0" quotePrefix="0" xfId="0">
      <alignment horizontal="center"/>
      <protection locked="0" hidden="0"/>
    </xf>
    <xf numFmtId="0" fontId="20" fillId="0" borderId="7" applyProtection="1" pivotButton="0" quotePrefix="0" xfId="0">
      <protection locked="0" hidden="0"/>
    </xf>
    <xf numFmtId="4" fontId="20" fillId="3" borderId="8" applyProtection="1" pivotButton="0" quotePrefix="0" xfId="0">
      <protection locked="0" hidden="0"/>
    </xf>
    <xf numFmtId="4" fontId="20" fillId="3" borderId="9" applyProtection="1" pivotButton="0" quotePrefix="0" xfId="0">
      <protection locked="0" hidden="0"/>
    </xf>
    <xf numFmtId="4" fontId="20" fillId="3" borderId="15" applyProtection="1" pivotButton="0" quotePrefix="0" xfId="0">
      <protection locked="0" hidden="0"/>
    </xf>
    <xf numFmtId="4" fontId="3" fillId="0" borderId="6" pivotButton="0" quotePrefix="0" xfId="0"/>
    <xf numFmtId="0" fontId="3" fillId="0" borderId="10" applyAlignment="1" pivotButton="0" quotePrefix="0" xfId="0">
      <alignment horizontal="centerContinuous"/>
    </xf>
    <xf numFmtId="0" fontId="3" fillId="0" borderId="12" applyAlignment="1" pivotButton="0" quotePrefix="0" xfId="0">
      <alignment horizontal="centerContinuous"/>
    </xf>
    <xf numFmtId="4" fontId="25" fillId="7" borderId="15" applyAlignment="1" pivotButton="0" quotePrefix="1" xfId="0">
      <alignment horizontal="right"/>
    </xf>
    <xf numFmtId="0" fontId="9" fillId="0" borderId="46" pivotButton="0" quotePrefix="0" xfId="0"/>
    <xf numFmtId="0" fontId="11" fillId="10" borderId="6" applyAlignment="1" pivotButton="0" quotePrefix="0" xfId="0">
      <alignment horizontal="center"/>
    </xf>
    <xf numFmtId="0" fontId="3" fillId="0" borderId="20" pivotButton="0" quotePrefix="0" xfId="0"/>
    <xf numFmtId="0" fontId="3" fillId="0" borderId="21" pivotButton="0" quotePrefix="0" xfId="0"/>
    <xf numFmtId="0" fontId="3" fillId="0" borderId="22" pivotButton="0" quotePrefix="0" xfId="0"/>
    <xf numFmtId="166" fontId="3" fillId="0" borderId="6" pivotButton="0" quotePrefix="0" xfId="0"/>
    <xf numFmtId="0" fontId="3" fillId="0" borderId="44" pivotButton="0" quotePrefix="0" xfId="0"/>
    <xf numFmtId="0" fontId="3" fillId="0" borderId="49" pivotButton="0" quotePrefix="0" xfId="0"/>
    <xf numFmtId="169" fontId="3" fillId="8" borderId="6" pivotButton="0" quotePrefix="0" xfId="0"/>
    <xf numFmtId="4" fontId="11" fillId="8" borderId="6" pivotButton="0" quotePrefix="0" xfId="0"/>
    <xf numFmtId="170" fontId="11" fillId="8" borderId="6" pivotButton="0" quotePrefix="0" xfId="0"/>
    <xf numFmtId="166" fontId="11" fillId="8" borderId="6" pivotButton="0" quotePrefix="0" xfId="0"/>
    <xf numFmtId="0" fontId="3" fillId="0" borderId="54" applyAlignment="1" pivotButton="0" quotePrefix="0" xfId="0">
      <alignment horizontal="left"/>
    </xf>
    <xf numFmtId="0" fontId="9" fillId="0" borderId="55"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169" fontId="11" fillId="8" borderId="6" pivotButton="0" quotePrefix="0" xfId="0"/>
    <xf numFmtId="169" fontId="11" fillId="7" borderId="6" pivotButton="0" quotePrefix="0" xfId="0"/>
    <xf numFmtId="4" fontId="11" fillId="7" borderId="6" pivotButton="0" quotePrefix="0" xfId="0"/>
    <xf numFmtId="0" fontId="9" fillId="0" borderId="57"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0" fillId="0" borderId="59" pivotButton="0" quotePrefix="0" xfId="0"/>
    <xf numFmtId="0" fontId="9" fillId="0" borderId="0" applyAlignment="1" pivotButton="0" quotePrefix="0" xfId="0">
      <alignment horizontal="center"/>
    </xf>
    <xf numFmtId="0" fontId="0" fillId="0" borderId="63" pivotButton="0" quotePrefix="0" xfId="0"/>
    <xf numFmtId="171" fontId="3" fillId="0" borderId="65" pivotButton="0" quotePrefix="0" xfId="0"/>
    <xf numFmtId="2" fontId="3" fillId="11" borderId="29" pivotButton="0" quotePrefix="0" xfId="0"/>
    <xf numFmtId="171" fontId="11" fillId="12" borderId="66" pivotButton="0" quotePrefix="0" xfId="0"/>
    <xf numFmtId="0" fontId="11" fillId="13" borderId="6" applyAlignment="1" pivotButton="0" quotePrefix="0" xfId="0">
      <alignment horizontal="center"/>
    </xf>
    <xf numFmtId="0" fontId="3" fillId="0" borderId="44" pivotButton="0" quotePrefix="1" xfId="0"/>
    <xf numFmtId="171" fontId="3" fillId="0" borderId="48" pivotButton="0" quotePrefix="0" xfId="0"/>
    <xf numFmtId="2" fontId="3" fillId="11" borderId="6" pivotButton="0" quotePrefix="0" xfId="0"/>
    <xf numFmtId="171" fontId="11" fillId="0" borderId="67" pivotButton="0" quotePrefix="0" xfId="0"/>
    <xf numFmtId="171" fontId="3" fillId="0" borderId="68" pivotButton="0" quotePrefix="0" xfId="0"/>
    <xf numFmtId="2" fontId="3" fillId="11" borderId="36" pivotButton="0" quotePrefix="0" xfId="0"/>
    <xf numFmtId="0" fontId="9" fillId="0" borderId="62" pivotButton="0" quotePrefix="0" xfId="0"/>
    <xf numFmtId="0" fontId="9" fillId="0" borderId="60" pivotButton="0" quotePrefix="0" xfId="0"/>
    <xf numFmtId="0" fontId="9" fillId="0" borderId="61" pivotButton="0" quotePrefix="0" xfId="0"/>
    <xf numFmtId="171" fontId="11" fillId="14" borderId="66" pivotButton="0" quotePrefix="0" xfId="0"/>
    <xf numFmtId="14" fontId="3" fillId="0" borderId="0" applyAlignment="1" pivotButton="0" quotePrefix="0" xfId="0">
      <alignment horizontal="center"/>
    </xf>
    <xf numFmtId="14" fontId="11" fillId="0" borderId="0" applyAlignment="1" pivotButton="0" quotePrefix="0" xfId="0">
      <alignment horizontal="center"/>
    </xf>
    <xf numFmtId="0" fontId="11" fillId="0" borderId="0" pivotButton="0" quotePrefix="0" xfId="0"/>
    <xf numFmtId="0" fontId="8" fillId="0" borderId="6" applyAlignment="1" pivotButton="0" quotePrefix="0" xfId="0">
      <alignment horizontal="center"/>
    </xf>
    <xf numFmtId="0" fontId="33" fillId="0" borderId="0" applyAlignment="1" pivotButton="0" quotePrefix="0" xfId="0">
      <alignment horizontal="left"/>
    </xf>
    <xf numFmtId="0" fontId="11" fillId="0" borderId="0" applyAlignment="1" pivotButton="0" quotePrefix="1" xfId="0">
      <alignment horizontal="left"/>
    </xf>
    <xf numFmtId="0" fontId="8" fillId="0" borderId="32" pivotButton="0" quotePrefix="0" xfId="0"/>
    <xf numFmtId="43" fontId="35" fillId="0" borderId="0" applyAlignment="1" pivotButton="0" quotePrefix="0" xfId="1">
      <alignment horizontal="center"/>
    </xf>
    <xf numFmtId="43" fontId="35" fillId="0" borderId="0" applyAlignment="1" pivotButton="0" quotePrefix="0" xfId="1">
      <alignment horizontal="center"/>
    </xf>
    <xf numFmtId="0" fontId="0" fillId="0" borderId="0" applyAlignment="1" pivotButton="0" quotePrefix="0" xfId="0">
      <alignment horizontal="left"/>
    </xf>
    <xf numFmtId="0" fontId="0" fillId="0" borderId="0" applyAlignment="1" pivotButton="0" quotePrefix="1" xfId="0">
      <alignment horizontal="left"/>
    </xf>
    <xf numFmtId="0" fontId="0" fillId="0" borderId="3" pivotButton="0" quotePrefix="0" xfId="0"/>
    <xf numFmtId="0" fontId="10" fillId="0" borderId="6" applyAlignment="1" pivotButton="0" quotePrefix="0" xfId="0">
      <alignment horizontal="center"/>
    </xf>
    <xf numFmtId="0" fontId="19" fillId="0" borderId="8" applyAlignment="1" pivotButton="0" quotePrefix="0" xfId="0">
      <alignment horizontal="left"/>
    </xf>
    <xf numFmtId="0" fontId="0" fillId="0" borderId="0" applyProtection="1" pivotButton="0" quotePrefix="0" xfId="0">
      <protection locked="0" hidden="0"/>
    </xf>
    <xf numFmtId="0" fontId="41" fillId="18" borderId="8" applyAlignment="1" applyProtection="1" pivotButton="0" quotePrefix="0" xfId="0">
      <alignment horizontal="left"/>
      <protection locked="0" hidden="0"/>
    </xf>
    <xf numFmtId="0" fontId="0" fillId="18" borderId="8" applyAlignment="1" pivotButton="0" quotePrefix="0" xfId="0">
      <alignment horizontal="left"/>
    </xf>
    <xf numFmtId="0" fontId="37" fillId="18" borderId="6" applyProtection="1" pivotButton="0" quotePrefix="0" xfId="0">
      <protection locked="0" hidden="0"/>
    </xf>
    <xf numFmtId="0" fontId="40" fillId="18" borderId="6" applyProtection="1" pivotButton="0" quotePrefix="0" xfId="0">
      <protection locked="0" hidden="0"/>
    </xf>
    <xf numFmtId="0" fontId="41" fillId="18" borderId="6" applyAlignment="1" pivotButton="0" quotePrefix="0" xfId="0">
      <alignment horizontal="center"/>
    </xf>
    <xf numFmtId="0" fontId="8" fillId="0" borderId="10" applyAlignment="1" pivotButton="0" quotePrefix="1" xfId="0">
      <alignment horizontal="left"/>
    </xf>
    <xf numFmtId="0" fontId="0" fillId="0" borderId="16" applyAlignment="1" pivotButton="0" quotePrefix="0" xfId="0">
      <alignment horizontal="center"/>
    </xf>
    <xf numFmtId="0" fontId="9" fillId="0" borderId="0" pivotButton="0" quotePrefix="0" xfId="0"/>
    <xf numFmtId="49" fontId="9" fillId="0" borderId="0" pivotButton="0" quotePrefix="0" xfId="0"/>
    <xf numFmtId="0" fontId="0" fillId="0" borderId="16" pivotButton="0" quotePrefix="0" xfId="0"/>
    <xf numFmtId="0" fontId="0" fillId="0" borderId="60" pivotButton="0" quotePrefix="0" xfId="0"/>
    <xf numFmtId="0" fontId="10" fillId="0" borderId="0" pivotButton="0" quotePrefix="0" xfId="0"/>
    <xf numFmtId="49" fontId="10" fillId="0" borderId="0" pivotButton="0" quotePrefix="0" xfId="0"/>
    <xf numFmtId="172" fontId="9" fillId="0" borderId="0" applyAlignment="1" pivotButton="0" quotePrefix="0" xfId="3">
      <alignment vertical="center"/>
    </xf>
    <xf numFmtId="172" fontId="9" fillId="0" borderId="0" applyAlignment="1" pivotButton="0" quotePrefix="0" xfId="3">
      <alignment horizontal="left" vertical="center"/>
    </xf>
    <xf numFmtId="0" fontId="0" fillId="0" borderId="11" pivotButton="0" quotePrefix="0" xfId="0"/>
    <xf numFmtId="0" fontId="10" fillId="0" borderId="3" pivotButton="0" quotePrefix="0" xfId="0"/>
    <xf numFmtId="0" fontId="8" fillId="0" borderId="11" pivotButton="0" quotePrefix="0" xfId="0"/>
    <xf numFmtId="0" fontId="10" fillId="0" borderId="12" pivotButton="0" quotePrefix="0" xfId="0"/>
    <xf numFmtId="0" fontId="8" fillId="0" borderId="16" pivotButton="0" quotePrefix="0" xfId="0"/>
    <xf numFmtId="49" fontId="0" fillId="0" borderId="16" applyAlignment="1" pivotButton="0" quotePrefix="0" xfId="0">
      <alignment horizontal="center"/>
    </xf>
    <xf numFmtId="0" fontId="0" fillId="17" borderId="0" pivotButton="0" quotePrefix="0" xfId="0"/>
    <xf numFmtId="0" fontId="3" fillId="17" borderId="0" applyAlignment="1" applyProtection="1" pivotButton="0" quotePrefix="0" xfId="0">
      <alignment horizontal="left"/>
      <protection locked="0" hidden="0"/>
    </xf>
    <xf numFmtId="0" fontId="47" fillId="20" borderId="20" pivotButton="0" quotePrefix="0" xfId="0"/>
    <xf numFmtId="0" fontId="48" fillId="20" borderId="21" pivotButton="0" quotePrefix="0" xfId="0"/>
    <xf numFmtId="0" fontId="48" fillId="20" borderId="21" applyAlignment="1" pivotButton="0" quotePrefix="0" xfId="0">
      <alignment horizontal="center"/>
    </xf>
    <xf numFmtId="0" fontId="48" fillId="20" borderId="22" pivotButton="0" quotePrefix="0" xfId="0"/>
    <xf numFmtId="0" fontId="0" fillId="20" borderId="44" applyAlignment="1" pivotButton="0" quotePrefix="0" xfId="0">
      <alignment horizontal="center"/>
    </xf>
    <xf numFmtId="171" fontId="50" fillId="20" borderId="0" applyAlignment="1" pivotButton="0" quotePrefix="0" xfId="0">
      <alignment horizontal="center"/>
    </xf>
    <xf numFmtId="171" fontId="50" fillId="20" borderId="49" applyAlignment="1" pivotButton="0" quotePrefix="0" xfId="0">
      <alignment horizontal="center"/>
    </xf>
    <xf numFmtId="1" fontId="51" fillId="0" borderId="60" applyAlignment="1" pivotButton="0" quotePrefix="0" xfId="4">
      <alignment horizontal="center" vertical="center"/>
    </xf>
    <xf numFmtId="171" fontId="52" fillId="20" borderId="44" applyAlignment="1" pivotButton="0" quotePrefix="0" xfId="0">
      <alignment horizontal="center"/>
    </xf>
    <xf numFmtId="171" fontId="52" fillId="20" borderId="0" applyAlignment="1" pivotButton="0" quotePrefix="0" xfId="0">
      <alignment horizontal="center"/>
    </xf>
    <xf numFmtId="171" fontId="53" fillId="20" borderId="0" applyAlignment="1" pivotButton="0" quotePrefix="0" xfId="0">
      <alignment horizontal="center"/>
    </xf>
    <xf numFmtId="171" fontId="52" fillId="20" borderId="49" applyAlignment="1" pivotButton="0" quotePrefix="0" xfId="0">
      <alignment horizontal="center"/>
    </xf>
    <xf numFmtId="173" fontId="54" fillId="0" borderId="60" applyAlignment="1" pivotButton="0" quotePrefix="0" xfId="4">
      <alignment horizontal="center" vertical="center"/>
    </xf>
    <xf numFmtId="0" fontId="55" fillId="0" borderId="61" applyAlignment="1" pivotButton="0" quotePrefix="0" xfId="4">
      <alignment horizontal="center"/>
    </xf>
    <xf numFmtId="171" fontId="56" fillId="20" borderId="0" applyAlignment="1" pivotButton="0" quotePrefix="0" xfId="0">
      <alignment horizontal="center"/>
    </xf>
    <xf numFmtId="171" fontId="56" fillId="20" borderId="49" applyAlignment="1" pivotButton="0" quotePrefix="0" xfId="0">
      <alignment horizontal="center"/>
    </xf>
    <xf numFmtId="0" fontId="46" fillId="0" borderId="61" applyAlignment="1" pivotButton="0" quotePrefix="0" xfId="4">
      <alignment horizontal="center"/>
    </xf>
    <xf numFmtId="171" fontId="52" fillId="20" borderId="23" applyAlignment="1" pivotButton="0" quotePrefix="0" xfId="0">
      <alignment horizontal="center"/>
    </xf>
    <xf numFmtId="171" fontId="52" fillId="20" borderId="16" applyAlignment="1" pivotButton="0" quotePrefix="0" xfId="0">
      <alignment horizontal="center"/>
    </xf>
    <xf numFmtId="171" fontId="53" fillId="20" borderId="16" applyAlignment="1" pivotButton="0" quotePrefix="0" xfId="0">
      <alignment horizontal="center"/>
    </xf>
    <xf numFmtId="171" fontId="52" fillId="20" borderId="24" applyAlignment="1" pivotButton="0" quotePrefix="0" xfId="0">
      <alignment horizontal="center"/>
    </xf>
    <xf numFmtId="173" fontId="57" fillId="0" borderId="60" applyAlignment="1" pivotButton="0" quotePrefix="0" xfId="4">
      <alignment horizontal="center" vertical="center"/>
    </xf>
    <xf numFmtId="0" fontId="47" fillId="21" borderId="20" pivotButton="0" quotePrefix="0" xfId="0"/>
    <xf numFmtId="0" fontId="48" fillId="21" borderId="21" pivotButton="0" quotePrefix="0" xfId="0"/>
    <xf numFmtId="0" fontId="48" fillId="21" borderId="21" applyAlignment="1" pivotButton="0" quotePrefix="0" xfId="0">
      <alignment horizontal="center"/>
    </xf>
    <xf numFmtId="0" fontId="48" fillId="21" borderId="22" pivotButton="0" quotePrefix="0" xfId="0"/>
    <xf numFmtId="0" fontId="0" fillId="21" borderId="44" applyAlignment="1" pivotButton="0" quotePrefix="0" xfId="0">
      <alignment horizontal="center"/>
    </xf>
    <xf numFmtId="171" fontId="50" fillId="21" borderId="0" applyAlignment="1" pivotButton="0" quotePrefix="0" xfId="0">
      <alignment horizontal="center"/>
    </xf>
    <xf numFmtId="171" fontId="50" fillId="21" borderId="49" applyAlignment="1" pivotButton="0" quotePrefix="0" xfId="0">
      <alignment horizontal="center"/>
    </xf>
    <xf numFmtId="171" fontId="52" fillId="21" borderId="44" applyAlignment="1" pivotButton="0" quotePrefix="0" xfId="0">
      <alignment horizontal="center"/>
    </xf>
    <xf numFmtId="171" fontId="52" fillId="21" borderId="0" applyAlignment="1" pivotButton="0" quotePrefix="0" xfId="0">
      <alignment horizontal="center"/>
    </xf>
    <xf numFmtId="171" fontId="53" fillId="21" borderId="0" applyAlignment="1" pivotButton="0" quotePrefix="0" xfId="0">
      <alignment horizontal="center"/>
    </xf>
    <xf numFmtId="171" fontId="52" fillId="21" borderId="49" applyAlignment="1" pivotButton="0" quotePrefix="0" xfId="0">
      <alignment horizontal="center"/>
    </xf>
    <xf numFmtId="171" fontId="56" fillId="21" borderId="0" applyAlignment="1" pivotButton="0" quotePrefix="0" xfId="0">
      <alignment horizontal="center"/>
    </xf>
    <xf numFmtId="171" fontId="56" fillId="21" borderId="49" applyAlignment="1" pivotButton="0" quotePrefix="0" xfId="0">
      <alignment horizontal="center"/>
    </xf>
    <xf numFmtId="171" fontId="52" fillId="21" borderId="23" applyAlignment="1" pivotButton="0" quotePrefix="0" xfId="0">
      <alignment horizontal="center"/>
    </xf>
    <xf numFmtId="171" fontId="52" fillId="21" borderId="16" applyAlignment="1" pivotButton="0" quotePrefix="0" xfId="0">
      <alignment horizontal="center"/>
    </xf>
    <xf numFmtId="171" fontId="53" fillId="21" borderId="16" applyAlignment="1" pivotButton="0" quotePrefix="0" xfId="0">
      <alignment horizontal="center"/>
    </xf>
    <xf numFmtId="171" fontId="52" fillId="21" borderId="24" applyAlignment="1" pivotButton="0" quotePrefix="0" xfId="0">
      <alignment horizontal="center"/>
    </xf>
    <xf numFmtId="171" fontId="50" fillId="20" borderId="24" applyAlignment="1" pivotButton="0" quotePrefix="0" xfId="0">
      <alignment horizontal="center"/>
    </xf>
    <xf numFmtId="171" fontId="0" fillId="0" borderId="0" pivotButton="0" quotePrefix="0" xfId="0"/>
    <xf numFmtId="166" fontId="11" fillId="16" borderId="6" pivotButton="0" quotePrefix="0" xfId="0"/>
    <xf numFmtId="0" fontId="5" fillId="0" borderId="0" pivotButton="0" quotePrefix="0" xfId="0"/>
    <xf numFmtId="2" fontId="1" fillId="17" borderId="0" applyAlignment="1" pivotButton="0" quotePrefix="0" xfId="0">
      <alignment horizontal="center"/>
    </xf>
    <xf numFmtId="0" fontId="1" fillId="0" borderId="43" pivotButton="0" quotePrefix="0" xfId="0"/>
    <xf numFmtId="0" fontId="1" fillId="0" borderId="47" pivotButton="0" quotePrefix="0" xfId="0"/>
    <xf numFmtId="0" fontId="5" fillId="0" borderId="47" pivotButton="0" quotePrefix="0" xfId="0"/>
    <xf numFmtId="0" fontId="1" fillId="0" borderId="64" pivotButton="0" quotePrefix="0" xfId="0"/>
    <xf numFmtId="0" fontId="5" fillId="0" borderId="60" applyAlignment="1" pivotButton="0" quotePrefix="0" xfId="0">
      <alignment horizontal="left"/>
    </xf>
    <xf numFmtId="0" fontId="1" fillId="0" borderId="59" pivotButton="0" quotePrefix="0" xfId="0"/>
    <xf numFmtId="0" fontId="9" fillId="17" borderId="0" applyAlignment="1" applyProtection="1" pivotButton="0" quotePrefix="0" xfId="0">
      <alignment horizontal="center" vertical="center"/>
      <protection locked="0" hidden="0"/>
    </xf>
    <xf numFmtId="0" fontId="11" fillId="23" borderId="6" applyAlignment="1" pivotButton="0" quotePrefix="0" xfId="0">
      <alignment horizontal="center"/>
    </xf>
    <xf numFmtId="0" fontId="3" fillId="6" borderId="0" pivotButton="0" quotePrefix="0" xfId="0"/>
    <xf numFmtId="4" fontId="3" fillId="23" borderId="6" pivotButton="0" quotePrefix="0" xfId="0"/>
    <xf numFmtId="174" fontId="22" fillId="17" borderId="26" applyProtection="1" pivotButton="0" quotePrefix="0" xfId="0">
      <protection locked="0" hidden="0"/>
    </xf>
    <xf numFmtId="174" fontId="22" fillId="17" borderId="11" applyProtection="1" pivotButton="0" quotePrefix="0" xfId="0">
      <protection locked="0" hidden="0"/>
    </xf>
    <xf numFmtId="174" fontId="22" fillId="17" borderId="33" applyProtection="1" pivotButton="0" quotePrefix="0" xfId="0">
      <protection locked="0" hidden="0"/>
    </xf>
    <xf numFmtId="4" fontId="3" fillId="0" borderId="18" pivotButton="0" quotePrefix="0" xfId="0"/>
    <xf numFmtId="170" fontId="3" fillId="0" borderId="18" pivotButton="0" quotePrefix="0" xfId="0"/>
    <xf numFmtId="166" fontId="3" fillId="0" borderId="18" pivotButton="0" quotePrefix="0" xfId="0"/>
    <xf numFmtId="4" fontId="62" fillId="17" borderId="6" pivotButton="0" quotePrefix="0" xfId="0"/>
    <xf numFmtId="4" fontId="3" fillId="17" borderId="6" pivotButton="0" quotePrefix="0" xfId="0"/>
    <xf numFmtId="170" fontId="3" fillId="17" borderId="6" pivotButton="0" quotePrefix="0" xfId="0"/>
    <xf numFmtId="166" fontId="3" fillId="17" borderId="6" pivotButton="0" quotePrefix="0" xfId="0"/>
    <xf numFmtId="4" fontId="3" fillId="17" borderId="18" pivotButton="0" quotePrefix="0" xfId="0"/>
    <xf numFmtId="170" fontId="3" fillId="17" borderId="18" pivotButton="0" quotePrefix="0" xfId="0"/>
    <xf numFmtId="166" fontId="3" fillId="17" borderId="18" pivotButton="0" quotePrefix="0" xfId="0"/>
    <xf numFmtId="4" fontId="3" fillId="24" borderId="6" pivotButton="0" quotePrefix="0" xfId="0"/>
    <xf numFmtId="14" fontId="1" fillId="0" borderId="8" applyAlignment="1" applyProtection="1" pivotButton="0" quotePrefix="0" xfId="0">
      <alignment horizontal="center"/>
      <protection locked="0" hidden="0"/>
    </xf>
    <xf numFmtId="0" fontId="11" fillId="0" borderId="16" applyAlignment="1" pivotButton="0" quotePrefix="0" xfId="0">
      <alignment horizontal="center"/>
    </xf>
    <xf numFmtId="0" fontId="11" fillId="0" borderId="24" applyAlignment="1" pivotButton="0" quotePrefix="0" xfId="0">
      <alignment horizontal="center"/>
    </xf>
    <xf numFmtId="0" fontId="11" fillId="0" borderId="0" applyAlignment="1" pivotButton="0" quotePrefix="0" xfId="0">
      <alignment horizontal="left"/>
    </xf>
    <xf numFmtId="20" fontId="0" fillId="17" borderId="11" applyAlignment="1" applyProtection="1" pivotButton="0" quotePrefix="0" xfId="0">
      <alignment horizontal="center"/>
      <protection locked="0" hidden="0"/>
    </xf>
    <xf numFmtId="0" fontId="0" fillId="17" borderId="11" applyAlignment="1" applyProtection="1" pivotButton="0" quotePrefix="0" xfId="0">
      <alignment horizontal="center"/>
      <protection locked="0" hidden="0"/>
    </xf>
    <xf numFmtId="0" fontId="61" fillId="17" borderId="11" applyAlignment="1" applyProtection="1" pivotButton="0" quotePrefix="0" xfId="0">
      <alignment horizontal="center"/>
      <protection locked="0" hidden="0"/>
    </xf>
    <xf numFmtId="0" fontId="3" fillId="17" borderId="0" applyAlignment="1" pivotButton="0" quotePrefix="0" xfId="0">
      <alignment horizontal="left"/>
    </xf>
    <xf numFmtId="0" fontId="0" fillId="0" borderId="0" applyAlignment="1" pivotButton="0" quotePrefix="0" xfId="0">
      <alignment horizontal="center"/>
    </xf>
    <xf numFmtId="0" fontId="0" fillId="0" borderId="16" applyAlignment="1" pivotButton="0" quotePrefix="0" xfId="0">
      <alignment horizontal="center"/>
    </xf>
    <xf numFmtId="0" fontId="11" fillId="0" borderId="0" applyAlignment="1" pivotButton="0" quotePrefix="1" xfId="0">
      <alignment horizontal="center"/>
    </xf>
    <xf numFmtId="0" fontId="5" fillId="17" borderId="16" applyAlignment="1" applyProtection="1" pivotButton="0" quotePrefix="0" xfId="0">
      <alignment horizontal="center"/>
      <protection locked="0" hidden="0"/>
    </xf>
    <xf numFmtId="0" fontId="9" fillId="17" borderId="16" applyAlignment="1" applyProtection="1" pivotButton="0" quotePrefix="0" xfId="0">
      <alignment horizontal="center"/>
      <protection locked="0" hidden="0"/>
    </xf>
    <xf numFmtId="0" fontId="0" fillId="17" borderId="0" applyAlignment="1" pivotButton="0" quotePrefix="0" xfId="0">
      <alignment horizontal="center"/>
    </xf>
    <xf numFmtId="14" fontId="0" fillId="17" borderId="8" applyAlignment="1" applyProtection="1" pivotButton="0" quotePrefix="0" xfId="0">
      <alignment horizontal="center"/>
      <protection locked="0" hidden="0"/>
    </xf>
    <xf numFmtId="0" fontId="0" fillId="17" borderId="8" applyAlignment="1" applyProtection="1" pivotButton="0" quotePrefix="0" xfId="0">
      <alignment horizontal="center"/>
      <protection locked="0" hidden="0"/>
    </xf>
    <xf numFmtId="0" fontId="58" fillId="17" borderId="17" applyAlignment="1" applyProtection="1" pivotButton="0" quotePrefix="0" xfId="0">
      <alignment horizontal="center"/>
      <protection locked="0" hidden="0"/>
    </xf>
    <xf numFmtId="174" fontId="22" fillId="17" borderId="25" applyAlignment="1" applyProtection="1" pivotButton="0" quotePrefix="0" xfId="0">
      <alignment horizontal="center"/>
      <protection locked="0" hidden="0"/>
    </xf>
    <xf numFmtId="174" fontId="22" fillId="17" borderId="26" applyAlignment="1" applyProtection="1" pivotButton="0" quotePrefix="0" xfId="0">
      <alignment horizontal="center"/>
      <protection locked="0" hidden="0"/>
    </xf>
    <xf numFmtId="174" fontId="22" fillId="17" borderId="27" applyAlignment="1" applyProtection="1" pivotButton="0" quotePrefix="0" xfId="0">
      <alignment horizontal="center"/>
      <protection locked="0" hidden="0"/>
    </xf>
    <xf numFmtId="174" fontId="23" fillId="19" borderId="29" applyAlignment="1" pivotButton="0" quotePrefix="0" xfId="0">
      <alignment horizontal="center"/>
    </xf>
    <xf numFmtId="174" fontId="23" fillId="19" borderId="26" applyAlignment="1" pivotButton="0" quotePrefix="0" xfId="0">
      <alignment horizontal="center"/>
    </xf>
    <xf numFmtId="174" fontId="23" fillId="19" borderId="28" applyAlignment="1" pivotButton="0" quotePrefix="0" xfId="0">
      <alignment horizontal="center"/>
    </xf>
    <xf numFmtId="174" fontId="24" fillId="6" borderId="29" applyAlignment="1" pivotButton="0" quotePrefix="0" xfId="0">
      <alignment horizontal="right"/>
    </xf>
    <xf numFmtId="174" fontId="24" fillId="6" borderId="26" applyAlignment="1" pivotButton="0" quotePrefix="0" xfId="0">
      <alignment horizontal="right"/>
    </xf>
    <xf numFmtId="174" fontId="24" fillId="6" borderId="27" applyAlignment="1" pivotButton="0" quotePrefix="0" xfId="0">
      <alignment horizontal="right"/>
    </xf>
    <xf numFmtId="0" fontId="58" fillId="17" borderId="19" applyAlignment="1" applyProtection="1" pivotButton="0" quotePrefix="0" xfId="0">
      <alignment horizontal="center"/>
      <protection locked="0" hidden="0"/>
    </xf>
    <xf numFmtId="0" fontId="59" fillId="17" borderId="19" applyAlignment="1" applyProtection="1" pivotButton="0" quotePrefix="0" xfId="0">
      <alignment horizontal="center"/>
      <protection locked="0" hidden="0"/>
    </xf>
    <xf numFmtId="20" fontId="1" fillId="0" borderId="11" applyAlignment="1" applyProtection="1" pivotButton="0" quotePrefix="0" xfId="0">
      <alignment horizontal="center"/>
      <protection locked="0" hidden="0"/>
    </xf>
    <xf numFmtId="0" fontId="11" fillId="0" borderId="23" applyAlignment="1" pivotButton="0" quotePrefix="1" xfId="0">
      <alignment horizontal="center"/>
    </xf>
    <xf numFmtId="2" fontId="1" fillId="0" borderId="25" applyAlignment="1" applyProtection="1" pivotButton="0" quotePrefix="0" xfId="0">
      <alignment horizontal="right"/>
      <protection locked="0" hidden="0"/>
    </xf>
    <xf numFmtId="2" fontId="1" fillId="0" borderId="26" applyAlignment="1" applyProtection="1" pivotButton="0" quotePrefix="0" xfId="0">
      <alignment horizontal="right"/>
      <protection locked="0" hidden="0"/>
    </xf>
    <xf numFmtId="2" fontId="1" fillId="0" borderId="27" applyAlignment="1" applyProtection="1" pivotButton="0" quotePrefix="0" xfId="0">
      <alignment horizontal="right"/>
      <protection locked="0" hidden="0"/>
    </xf>
    <xf numFmtId="0" fontId="1" fillId="0" borderId="11" applyAlignment="1" applyProtection="1" pivotButton="0" quotePrefix="0" xfId="0">
      <alignment horizontal="center"/>
      <protection locked="0" hidden="0"/>
    </xf>
    <xf numFmtId="0" fontId="21" fillId="5" borderId="20" applyAlignment="1" pivotButton="0" quotePrefix="1" xfId="0">
      <alignment horizontal="center"/>
    </xf>
    <xf numFmtId="0" fontId="21" fillId="5" borderId="21" applyAlignment="1" pivotButton="0" quotePrefix="1" xfId="0">
      <alignment horizontal="center"/>
    </xf>
    <xf numFmtId="0" fontId="21" fillId="5" borderId="22" applyAlignment="1" pivotButton="0" quotePrefix="1" xfId="0">
      <alignment horizontal="center"/>
    </xf>
    <xf numFmtId="174" fontId="1" fillId="0" borderId="25" applyAlignment="1" pivotButton="0" quotePrefix="0" xfId="0">
      <alignment horizontal="right"/>
    </xf>
    <xf numFmtId="174" fontId="1" fillId="0" borderId="26" applyAlignment="1" pivotButton="0" quotePrefix="0" xfId="0">
      <alignment horizontal="right"/>
    </xf>
    <xf numFmtId="174" fontId="1" fillId="0" borderId="28" applyAlignment="1" pivotButton="0" quotePrefix="0" xfId="0">
      <alignment horizontal="right"/>
    </xf>
    <xf numFmtId="2" fontId="22" fillId="17" borderId="25" applyAlignment="1" applyProtection="1" pivotButton="0" quotePrefix="0" xfId="0">
      <alignment horizontal="right"/>
      <protection locked="0" hidden="0"/>
    </xf>
    <xf numFmtId="2" fontId="22" fillId="17" borderId="26" applyAlignment="1" applyProtection="1" pivotButton="0" quotePrefix="0" xfId="0">
      <alignment horizontal="right"/>
      <protection locked="0" hidden="0"/>
    </xf>
    <xf numFmtId="2" fontId="22" fillId="17" borderId="27" applyAlignment="1" applyProtection="1" pivotButton="0" quotePrefix="0" xfId="0">
      <alignment horizontal="right"/>
      <protection locked="0" hidden="0"/>
    </xf>
    <xf numFmtId="174" fontId="1" fillId="17" borderId="30" applyAlignment="1" applyProtection="1" pivotButton="0" quotePrefix="0" xfId="0">
      <alignment horizontal="right"/>
      <protection locked="0" hidden="0"/>
    </xf>
    <xf numFmtId="174" fontId="1" fillId="17" borderId="11" applyAlignment="1" applyProtection="1" pivotButton="0" quotePrefix="0" xfId="0">
      <alignment horizontal="right"/>
      <protection locked="0" hidden="0"/>
    </xf>
    <xf numFmtId="174" fontId="1" fillId="17" borderId="31" applyAlignment="1" applyProtection="1" pivotButton="0" quotePrefix="0" xfId="0">
      <alignment horizontal="right"/>
      <protection locked="0" hidden="0"/>
    </xf>
    <xf numFmtId="174" fontId="1" fillId="0" borderId="30" applyAlignment="1" pivotButton="0" quotePrefix="0" xfId="0">
      <alignment horizontal="right"/>
    </xf>
    <xf numFmtId="174" fontId="1" fillId="0" borderId="11" applyAlignment="1" pivotButton="0" quotePrefix="0" xfId="0">
      <alignment horizontal="right"/>
    </xf>
    <xf numFmtId="174" fontId="1" fillId="0" borderId="12" applyAlignment="1" pivotButton="0" quotePrefix="0" xfId="0">
      <alignment horizontal="right"/>
    </xf>
    <xf numFmtId="174" fontId="1" fillId="17" borderId="25" applyAlignment="1" applyProtection="1" pivotButton="0" quotePrefix="0" xfId="0">
      <alignment horizontal="right"/>
      <protection locked="0" hidden="0"/>
    </xf>
    <xf numFmtId="174" fontId="1" fillId="17" borderId="26" applyAlignment="1" applyProtection="1" pivotButton="0" quotePrefix="0" xfId="0">
      <alignment horizontal="right"/>
      <protection locked="0" hidden="0"/>
    </xf>
    <xf numFmtId="174" fontId="1" fillId="17" borderId="27" applyAlignment="1" applyProtection="1" pivotButton="0" quotePrefix="0" xfId="0">
      <alignment horizontal="right"/>
      <protection locked="0" hidden="0"/>
    </xf>
    <xf numFmtId="174" fontId="22" fillId="17" borderId="33" applyAlignment="1" applyProtection="1" pivotButton="0" quotePrefix="0" xfId="0">
      <alignment horizontal="center"/>
      <protection locked="0" hidden="0"/>
    </xf>
    <xf numFmtId="174" fontId="22" fillId="17" borderId="34" applyAlignment="1" applyProtection="1" pivotButton="0" quotePrefix="0" xfId="0">
      <alignment horizontal="center"/>
      <protection locked="0" hidden="0"/>
    </xf>
    <xf numFmtId="174" fontId="22" fillId="17" borderId="32" applyAlignment="1" applyProtection="1" pivotButton="0" quotePrefix="0" xfId="0">
      <alignment horizontal="center"/>
      <protection locked="0" hidden="0"/>
    </xf>
    <xf numFmtId="174" fontId="23" fillId="19" borderId="10" applyAlignment="1" pivotButton="0" quotePrefix="0" xfId="0">
      <alignment horizontal="center"/>
    </xf>
    <xf numFmtId="174" fontId="23" fillId="19" borderId="11" applyAlignment="1" pivotButton="0" quotePrefix="0" xfId="0">
      <alignment horizontal="center"/>
    </xf>
    <xf numFmtId="174" fontId="23" fillId="19" borderId="12" applyAlignment="1" pivotButton="0" quotePrefix="0" xfId="0">
      <alignment horizontal="center"/>
    </xf>
    <xf numFmtId="174" fontId="24" fillId="6" borderId="10" applyAlignment="1" pivotButton="0" quotePrefix="0" xfId="0">
      <alignment horizontal="right"/>
    </xf>
    <xf numFmtId="174" fontId="24" fillId="6" borderId="11" applyAlignment="1" pivotButton="0" quotePrefix="0" xfId="0">
      <alignment horizontal="right"/>
    </xf>
    <xf numFmtId="174" fontId="24" fillId="6" borderId="31" applyAlignment="1" pivotButton="0" quotePrefix="0" xfId="0">
      <alignment horizontal="right"/>
    </xf>
    <xf numFmtId="2" fontId="1" fillId="0" borderId="30" applyAlignment="1" applyProtection="1" pivotButton="0" quotePrefix="0" xfId="0">
      <alignment horizontal="right"/>
      <protection locked="0" hidden="0"/>
    </xf>
    <xf numFmtId="2" fontId="1" fillId="0" borderId="11" applyAlignment="1" applyProtection="1" pivotButton="0" quotePrefix="0" xfId="0">
      <alignment horizontal="right"/>
      <protection locked="0" hidden="0"/>
    </xf>
    <xf numFmtId="2" fontId="1" fillId="0" borderId="31" applyAlignment="1" applyProtection="1" pivotButton="0" quotePrefix="0" xfId="0">
      <alignment horizontal="right"/>
      <protection locked="0" hidden="0"/>
    </xf>
    <xf numFmtId="2" fontId="22" fillId="17" borderId="30" applyAlignment="1" applyProtection="1" pivotButton="0" quotePrefix="0" xfId="0">
      <alignment horizontal="right"/>
      <protection locked="0" hidden="0"/>
    </xf>
    <xf numFmtId="2" fontId="22" fillId="17" borderId="11" applyAlignment="1" applyProtection="1" pivotButton="0" quotePrefix="0" xfId="0">
      <alignment horizontal="right"/>
      <protection locked="0" hidden="0"/>
    </xf>
    <xf numFmtId="2" fontId="22" fillId="17" borderId="31" applyAlignment="1" applyProtection="1" pivotButton="0" quotePrefix="0" xfId="0">
      <alignment horizontal="right"/>
      <protection locked="0" hidden="0"/>
    </xf>
    <xf numFmtId="174" fontId="22" fillId="17" borderId="11" applyAlignment="1" applyProtection="1" pivotButton="0" quotePrefix="0" xfId="0">
      <alignment horizontal="center"/>
      <protection locked="0" hidden="0"/>
    </xf>
    <xf numFmtId="174" fontId="22" fillId="17" borderId="31" applyAlignment="1" applyProtection="1" pivotButton="0" quotePrefix="0" xfId="0">
      <alignment horizontal="center"/>
      <protection locked="0" hidden="0"/>
    </xf>
    <xf numFmtId="174" fontId="22" fillId="17" borderId="30" applyAlignment="1" applyProtection="1" pivotButton="0" quotePrefix="0" xfId="0">
      <alignment horizontal="center"/>
      <protection locked="0" hidden="0"/>
    </xf>
    <xf numFmtId="174" fontId="1" fillId="17" borderId="32" applyAlignment="1" applyProtection="1" pivotButton="0" quotePrefix="0" xfId="0">
      <alignment horizontal="right"/>
      <protection locked="0" hidden="0"/>
    </xf>
    <xf numFmtId="174" fontId="1" fillId="17" borderId="33" applyAlignment="1" applyProtection="1" pivotButton="0" quotePrefix="0" xfId="0">
      <alignment horizontal="right"/>
      <protection locked="0" hidden="0"/>
    </xf>
    <xf numFmtId="174" fontId="1" fillId="17" borderId="34" applyAlignment="1" applyProtection="1" pivotButton="0" quotePrefix="0" xfId="0">
      <alignment horizontal="right"/>
      <protection locked="0" hidden="0"/>
    </xf>
    <xf numFmtId="174" fontId="1" fillId="0" borderId="32" applyAlignment="1" pivotButton="0" quotePrefix="0" xfId="0">
      <alignment horizontal="right"/>
    </xf>
    <xf numFmtId="174" fontId="1" fillId="0" borderId="33" applyAlignment="1" pivotButton="0" quotePrefix="0" xfId="0">
      <alignment horizontal="right"/>
    </xf>
    <xf numFmtId="174" fontId="1" fillId="0" borderId="35" applyAlignment="1" pivotButton="0" quotePrefix="0" xfId="0">
      <alignment horizontal="right"/>
    </xf>
    <xf numFmtId="174" fontId="23" fillId="19" borderId="36" applyAlignment="1" pivotButton="0" quotePrefix="0" xfId="0">
      <alignment horizontal="center"/>
    </xf>
    <xf numFmtId="174" fontId="23" fillId="19" borderId="33" applyAlignment="1" pivotButton="0" quotePrefix="0" xfId="0">
      <alignment horizontal="center"/>
    </xf>
    <xf numFmtId="174" fontId="23" fillId="19" borderId="35" applyAlignment="1" pivotButton="0" quotePrefix="0" xfId="0">
      <alignment horizontal="center"/>
    </xf>
    <xf numFmtId="174" fontId="24" fillId="6" borderId="36" applyAlignment="1" pivotButton="0" quotePrefix="0" xfId="0">
      <alignment horizontal="right"/>
    </xf>
    <xf numFmtId="174" fontId="24" fillId="6" borderId="33" applyAlignment="1" pivotButton="0" quotePrefix="0" xfId="0">
      <alignment horizontal="right"/>
    </xf>
    <xf numFmtId="174" fontId="24" fillId="6" borderId="34" applyAlignment="1" pivotButton="0" quotePrefix="0" xfId="0">
      <alignment horizontal="right"/>
    </xf>
    <xf numFmtId="2" fontId="22" fillId="17" borderId="32" applyAlignment="1" applyProtection="1" pivotButton="0" quotePrefix="0" xfId="0">
      <alignment horizontal="right"/>
      <protection locked="0" hidden="0"/>
    </xf>
    <xf numFmtId="2" fontId="22" fillId="17" borderId="33" applyAlignment="1" applyProtection="1" pivotButton="0" quotePrefix="0" xfId="0">
      <alignment horizontal="right"/>
      <protection locked="0" hidden="0"/>
    </xf>
    <xf numFmtId="2" fontId="22" fillId="17" borderId="34" applyAlignment="1" applyProtection="1" pivotButton="0" quotePrefix="0" xfId="0">
      <alignment horizontal="right"/>
      <protection locked="0" hidden="0"/>
    </xf>
    <xf numFmtId="174" fontId="0" fillId="0" borderId="0" applyAlignment="1" pivotButton="0" quotePrefix="0" xfId="0">
      <alignment horizontal="center"/>
    </xf>
    <xf numFmtId="174" fontId="3" fillId="0" borderId="20" applyAlignment="1" pivotButton="0" quotePrefix="1" xfId="0">
      <alignment horizontal="center"/>
    </xf>
    <xf numFmtId="174" fontId="3" fillId="0" borderId="21" applyAlignment="1" pivotButton="0" quotePrefix="1" xfId="0">
      <alignment horizontal="center"/>
    </xf>
    <xf numFmtId="174" fontId="3" fillId="0" borderId="22" applyAlignment="1" pivotButton="0" quotePrefix="1" xfId="0">
      <alignment horizontal="center"/>
    </xf>
    <xf numFmtId="0" fontId="3" fillId="0" borderId="20" applyAlignment="1" pivotButton="0" quotePrefix="0" xfId="0">
      <alignment horizontal="center"/>
    </xf>
    <xf numFmtId="0" fontId="3" fillId="0" borderId="21" applyAlignment="1" pivotButton="0" quotePrefix="0" xfId="0">
      <alignment horizontal="center"/>
    </xf>
    <xf numFmtId="0" fontId="3" fillId="0" borderId="22" applyAlignment="1" pivotButton="0" quotePrefix="0" xfId="0">
      <alignment horizontal="center"/>
    </xf>
    <xf numFmtId="167" fontId="24" fillId="9" borderId="23" applyAlignment="1" pivotButton="0" quotePrefix="0" xfId="0">
      <alignment horizontal="center"/>
    </xf>
    <xf numFmtId="167" fontId="24" fillId="9" borderId="16" applyAlignment="1" pivotButton="0" quotePrefix="0" xfId="0">
      <alignment horizontal="center"/>
    </xf>
    <xf numFmtId="167" fontId="24" fillId="9" borderId="24" applyAlignment="1" pivotButton="0" quotePrefix="0" xfId="0">
      <alignment horizontal="center"/>
    </xf>
    <xf numFmtId="0" fontId="3" fillId="0" borderId="37" applyAlignment="1" pivotButton="0" quotePrefix="0" xfId="0">
      <alignment horizontal="center"/>
    </xf>
    <xf numFmtId="0" fontId="3" fillId="0" borderId="38" applyAlignment="1" pivotButton="0" quotePrefix="0" xfId="0">
      <alignment horizontal="center"/>
    </xf>
    <xf numFmtId="174" fontId="22" fillId="19" borderId="23" applyAlignment="1" pivotButton="0" quotePrefix="0" xfId="0">
      <alignment horizontal="center"/>
    </xf>
    <xf numFmtId="174" fontId="22" fillId="19" borderId="16" applyAlignment="1" pivotButton="0" quotePrefix="0" xfId="0">
      <alignment horizontal="center"/>
    </xf>
    <xf numFmtId="174" fontId="22" fillId="19" borderId="24" applyAlignment="1" pivotButton="0" quotePrefix="0" xfId="0">
      <alignment horizontal="center"/>
    </xf>
    <xf numFmtId="174" fontId="22" fillId="3" borderId="23" applyAlignment="1" pivotButton="0" quotePrefix="0" xfId="0">
      <alignment horizontal="center"/>
    </xf>
    <xf numFmtId="174" fontId="22" fillId="3" borderId="16" applyAlignment="1" pivotButton="0" quotePrefix="0" xfId="0">
      <alignment horizontal="center"/>
    </xf>
    <xf numFmtId="174" fontId="22" fillId="3" borderId="24" applyAlignment="1" pivotButton="0" quotePrefix="0" xfId="0">
      <alignment horizontal="center"/>
    </xf>
    <xf numFmtId="174" fontId="22" fillId="17" borderId="23" applyAlignment="1" applyProtection="1" pivotButton="0" quotePrefix="0" xfId="0">
      <alignment horizontal="center"/>
      <protection locked="0" hidden="0"/>
    </xf>
    <xf numFmtId="174" fontId="22" fillId="17" borderId="16" applyAlignment="1" applyProtection="1" pivotButton="0" quotePrefix="0" xfId="0">
      <alignment horizontal="center"/>
      <protection locked="0" hidden="0"/>
    </xf>
    <xf numFmtId="174" fontId="22" fillId="17" borderId="24" applyAlignment="1" applyProtection="1" pivotButton="0" quotePrefix="0" xfId="0">
      <alignment horizontal="center"/>
      <protection locked="0" hidden="0"/>
    </xf>
    <xf numFmtId="2" fontId="22" fillId="17" borderId="23" applyAlignment="1" applyProtection="1" pivotButton="0" quotePrefix="0" xfId="0">
      <alignment horizontal="center"/>
      <protection locked="0" hidden="0"/>
    </xf>
    <xf numFmtId="2" fontId="22" fillId="17" borderId="16" applyAlignment="1" applyProtection="1" pivotButton="0" quotePrefix="0" xfId="0">
      <alignment horizontal="center"/>
      <protection locked="0" hidden="0"/>
    </xf>
    <xf numFmtId="2" fontId="22" fillId="17" borderId="24" applyAlignment="1" applyProtection="1" pivotButton="0" quotePrefix="0" xfId="0">
      <alignment horizontal="center"/>
      <protection locked="0" hidden="0"/>
    </xf>
    <xf numFmtId="2" fontId="22" fillId="3" borderId="23" applyAlignment="1" applyProtection="1" pivotButton="0" quotePrefix="0" xfId="0">
      <alignment horizontal="center"/>
      <protection locked="0" hidden="0"/>
    </xf>
    <xf numFmtId="2" fontId="22" fillId="3" borderId="16" applyAlignment="1" applyProtection="1" pivotButton="0" quotePrefix="0" xfId="0">
      <alignment horizontal="center"/>
      <protection locked="0" hidden="0"/>
    </xf>
    <xf numFmtId="2" fontId="22" fillId="3" borderId="24" applyAlignment="1" applyProtection="1" pivotButton="0" quotePrefix="0" xfId="0">
      <alignment horizontal="center"/>
      <protection locked="0" hidden="0"/>
    </xf>
    <xf numFmtId="2" fontId="0" fillId="0" borderId="23" applyAlignment="1" applyProtection="1" pivotButton="0" quotePrefix="0" xfId="0">
      <alignment horizontal="right"/>
      <protection locked="0" hidden="0"/>
    </xf>
    <xf numFmtId="2" fontId="0" fillId="0" borderId="16" applyAlignment="1" applyProtection="1" pivotButton="0" quotePrefix="0" xfId="0">
      <alignment horizontal="right"/>
      <protection locked="0" hidden="0"/>
    </xf>
    <xf numFmtId="2" fontId="0" fillId="0" borderId="39" applyAlignment="1" applyProtection="1" pivotButton="0" quotePrefix="0" xfId="0">
      <alignment horizontal="right"/>
      <protection locked="0" hidden="0"/>
    </xf>
    <xf numFmtId="2" fontId="0" fillId="0" borderId="40" applyAlignment="1" applyProtection="1" pivotButton="0" quotePrefix="0" xfId="0">
      <alignment horizontal="right"/>
      <protection locked="0" hidden="0"/>
    </xf>
    <xf numFmtId="2" fontId="0" fillId="6" borderId="40" applyAlignment="1" applyProtection="1" pivotButton="0" quotePrefix="0" xfId="0">
      <alignment horizontal="right"/>
      <protection locked="0" hidden="0"/>
    </xf>
    <xf numFmtId="2" fontId="0" fillId="6" borderId="16" applyAlignment="1" applyProtection="1" pivotButton="0" quotePrefix="0" xfId="0">
      <alignment horizontal="right"/>
      <protection locked="0" hidden="0"/>
    </xf>
    <xf numFmtId="2" fontId="0" fillId="6" borderId="39" applyAlignment="1" applyProtection="1" pivotButton="0" quotePrefix="0" xfId="0">
      <alignment horizontal="right"/>
      <protection locked="0" hidden="0"/>
    </xf>
    <xf numFmtId="2" fontId="0" fillId="6" borderId="24" applyAlignment="1" applyProtection="1" pivotButton="0" quotePrefix="0" xfId="0">
      <alignment horizontal="right"/>
      <protection locked="0" hidden="0"/>
    </xf>
    <xf numFmtId="0" fontId="3" fillId="0" borderId="20" applyAlignment="1" pivotButton="0" quotePrefix="1" xfId="0">
      <alignment horizontal="left"/>
    </xf>
    <xf numFmtId="0" fontId="3" fillId="0" borderId="21" applyAlignment="1" pivotButton="0" quotePrefix="1" xfId="0">
      <alignment horizontal="left"/>
    </xf>
    <xf numFmtId="4" fontId="1" fillId="0" borderId="41" applyAlignment="1" pivotButton="0" quotePrefix="0" xfId="1">
      <alignment horizontal="right"/>
    </xf>
    <xf numFmtId="4" fontId="1" fillId="0" borderId="42" applyAlignment="1" pivotButton="0" quotePrefix="0" xfId="1">
      <alignment horizontal="right"/>
    </xf>
    <xf numFmtId="4" fontId="1" fillId="0" borderId="43" applyAlignment="1" applyProtection="1" pivotButton="0" quotePrefix="0" xfId="1">
      <alignment horizontal="right"/>
      <protection locked="0" hidden="0"/>
    </xf>
    <xf numFmtId="4" fontId="1" fillId="0" borderId="41" applyAlignment="1" applyProtection="1" pivotButton="0" quotePrefix="0" xfId="1">
      <alignment horizontal="right"/>
      <protection locked="0" hidden="0"/>
    </xf>
    <xf numFmtId="4" fontId="1" fillId="0" borderId="41" applyAlignment="1" applyProtection="1" pivotButton="0" quotePrefix="0" xfId="1">
      <alignment horizontal="right"/>
      <protection locked="0" hidden="0"/>
    </xf>
    <xf numFmtId="4" fontId="1" fillId="0" borderId="42" applyAlignment="1" applyProtection="1" pivotButton="0" quotePrefix="0" xfId="1">
      <alignment horizontal="right"/>
      <protection locked="0" hidden="0"/>
    </xf>
    <xf numFmtId="4" fontId="1" fillId="0" borderId="41" applyAlignment="1" pivotButton="0" quotePrefix="0" xfId="1">
      <alignment horizontal="right"/>
    </xf>
    <xf numFmtId="4" fontId="1" fillId="0" borderId="42" applyAlignment="1" pivotButton="0" quotePrefix="0" xfId="1">
      <alignment horizontal="right"/>
    </xf>
    <xf numFmtId="4" fontId="1" fillId="0" borderId="45" applyAlignment="1" pivotButton="0" quotePrefix="0" xfId="1">
      <alignment horizontal="right"/>
    </xf>
    <xf numFmtId="4" fontId="1" fillId="0" borderId="46" applyAlignment="1" pivotButton="0" quotePrefix="0" xfId="1">
      <alignment horizontal="right"/>
    </xf>
    <xf numFmtId="0" fontId="3" fillId="0" borderId="44" applyAlignment="1" pivotButton="0" quotePrefix="0" xfId="0">
      <alignment horizontal="left"/>
    </xf>
    <xf numFmtId="0" fontId="3" fillId="0" borderId="0" applyAlignment="1" pivotButton="0" quotePrefix="0" xfId="0">
      <alignment horizontal="left"/>
    </xf>
    <xf numFmtId="43" fontId="1" fillId="17" borderId="45" applyAlignment="1" applyProtection="1" pivotButton="0" quotePrefix="0" xfId="1">
      <alignment horizontal="center"/>
      <protection locked="0" hidden="0"/>
    </xf>
    <xf numFmtId="43" fontId="1" fillId="17" borderId="46" applyAlignment="1" applyProtection="1" pivotButton="0" quotePrefix="0" xfId="1">
      <alignment horizontal="center"/>
      <protection locked="0" hidden="0"/>
    </xf>
    <xf numFmtId="4" fontId="1" fillId="0" borderId="47" applyAlignment="1" pivotButton="0" quotePrefix="0" xfId="1">
      <alignment horizontal="right"/>
    </xf>
    <xf numFmtId="4" fontId="1" fillId="0" borderId="45" applyAlignment="1" pivotButton="0" quotePrefix="0" xfId="1">
      <alignment horizontal="right"/>
    </xf>
    <xf numFmtId="0" fontId="3" fillId="0" borderId="44" applyAlignment="1" pivotButton="0" quotePrefix="1" xfId="0">
      <alignment horizontal="center"/>
    </xf>
    <xf numFmtId="0" fontId="3" fillId="0" borderId="0" applyAlignment="1" pivotButton="0" quotePrefix="1" xfId="0">
      <alignment horizontal="center"/>
    </xf>
    <xf numFmtId="0" fontId="3" fillId="0" borderId="49" applyAlignment="1" pivotButton="0" quotePrefix="1" xfId="0">
      <alignment horizontal="center"/>
    </xf>
    <xf numFmtId="43" fontId="1" fillId="0" borderId="45" applyAlignment="1" applyProtection="1" pivotButton="0" quotePrefix="0" xfId="1">
      <alignment horizontal="center"/>
      <protection locked="0" hidden="0"/>
    </xf>
    <xf numFmtId="43" fontId="1" fillId="0" borderId="46" applyAlignment="1" applyProtection="1" pivotButton="0" quotePrefix="0" xfId="1">
      <alignment horizontal="center"/>
      <protection locked="0" hidden="0"/>
    </xf>
    <xf numFmtId="4" fontId="1" fillId="17" borderId="45" applyAlignment="1" pivotButton="0" quotePrefix="0" xfId="1">
      <alignment horizontal="right"/>
    </xf>
    <xf numFmtId="4" fontId="1" fillId="17" borderId="46" applyAlignment="1" pivotButton="0" quotePrefix="0" xfId="1">
      <alignment horizontal="right"/>
    </xf>
    <xf numFmtId="0" fontId="3" fillId="0" borderId="4" applyAlignment="1" pivotButton="0" quotePrefix="0" xfId="0">
      <alignment horizontal="center"/>
    </xf>
    <xf numFmtId="0" fontId="3" fillId="0" borderId="0" applyAlignment="1" pivotButton="0" quotePrefix="0" xfId="0">
      <alignment horizontal="center"/>
    </xf>
    <xf numFmtId="0" fontId="3" fillId="0" borderId="49" applyAlignment="1" pivotButton="0" quotePrefix="0" xfId="0">
      <alignment horizontal="center"/>
    </xf>
    <xf numFmtId="0" fontId="27" fillId="5" borderId="23" applyAlignment="1" pivotButton="0" quotePrefix="0" xfId="0">
      <alignment horizontal="left"/>
    </xf>
    <xf numFmtId="0" fontId="27" fillId="5" borderId="16" applyAlignment="1" pivotButton="0" quotePrefix="0" xfId="0">
      <alignment horizontal="left"/>
    </xf>
    <xf numFmtId="4" fontId="28" fillId="5" borderId="50" applyAlignment="1" pivotButton="0" quotePrefix="0" xfId="1">
      <alignment horizontal="center"/>
    </xf>
    <xf numFmtId="4" fontId="28" fillId="5" borderId="51" applyAlignment="1" pivotButton="0" quotePrefix="0" xfId="1">
      <alignment horizontal="center"/>
    </xf>
    <xf numFmtId="4" fontId="9" fillId="0" borderId="47" applyAlignment="1" pivotButton="0" quotePrefix="0" xfId="1">
      <alignment horizontal="right"/>
    </xf>
    <xf numFmtId="4" fontId="9" fillId="0" borderId="45" applyAlignment="1" pivotButton="0" quotePrefix="0" xfId="1">
      <alignment horizontal="right"/>
    </xf>
    <xf numFmtId="0" fontId="11" fillId="0" borderId="44" applyAlignment="1" pivotButton="0" quotePrefix="1" xfId="0">
      <alignment horizontal="center"/>
    </xf>
    <xf numFmtId="0" fontId="11" fillId="0" borderId="49" applyAlignment="1" pivotButton="0" quotePrefix="1" xfId="0">
      <alignment horizontal="center"/>
    </xf>
    <xf numFmtId="4" fontId="5" fillId="0" borderId="45" applyAlignment="1" pivotButton="0" quotePrefix="0" xfId="1">
      <alignment horizontal="right"/>
    </xf>
    <xf numFmtId="4" fontId="5" fillId="0" borderId="46" applyAlignment="1" pivotButton="0" quotePrefix="0" xfId="1">
      <alignment horizontal="right"/>
    </xf>
    <xf numFmtId="0" fontId="27" fillId="22" borderId="23" applyAlignment="1" pivotButton="0" quotePrefix="0" xfId="0">
      <alignment horizontal="left"/>
    </xf>
    <xf numFmtId="0" fontId="27" fillId="22" borderId="16" applyAlignment="1" pivotButton="0" quotePrefix="0" xfId="0">
      <alignment horizontal="left"/>
    </xf>
    <xf numFmtId="4" fontId="28" fillId="22" borderId="50" applyAlignment="1" pivotButton="0" quotePrefix="0" xfId="1">
      <alignment horizontal="center"/>
    </xf>
    <xf numFmtId="4" fontId="28" fillId="22" borderId="51" applyAlignment="1" pivotButton="0" quotePrefix="0" xfId="1">
      <alignment horizontal="center"/>
    </xf>
    <xf numFmtId="4" fontId="29" fillId="0" borderId="47" applyAlignment="1" applyProtection="1" pivotButton="0" quotePrefix="0" xfId="1">
      <alignment horizontal="right"/>
      <protection locked="0" hidden="0"/>
    </xf>
    <xf numFmtId="4" fontId="29" fillId="0" borderId="45" applyAlignment="1" applyProtection="1" pivotButton="0" quotePrefix="0" xfId="1">
      <alignment horizontal="right"/>
      <protection locked="0" hidden="0"/>
    </xf>
    <xf numFmtId="4" fontId="5" fillId="0" borderId="45" applyAlignment="1" pivotButton="0" quotePrefix="0" xfId="1">
      <alignment horizontal="right"/>
    </xf>
    <xf numFmtId="4" fontId="5" fillId="0" borderId="46" applyAlignment="1" pivotButton="0" quotePrefix="0" xfId="1">
      <alignment horizontal="right"/>
    </xf>
    <xf numFmtId="0" fontId="9" fillId="0" borderId="20" applyAlignment="1" pivotButton="0" quotePrefix="0" xfId="0">
      <alignment horizontal="center" vertical="center"/>
    </xf>
    <xf numFmtId="0" fontId="9" fillId="0" borderId="21" applyAlignment="1" pivotButton="0" quotePrefix="0" xfId="0">
      <alignment horizontal="center" vertical="center"/>
    </xf>
    <xf numFmtId="0" fontId="9" fillId="0" borderId="44" applyAlignment="1" pivotButton="0" quotePrefix="0" xfId="0">
      <alignment horizontal="center" vertical="center"/>
    </xf>
    <xf numFmtId="0" fontId="9" fillId="0" borderId="0" applyAlignment="1" pivotButton="0" quotePrefix="0" xfId="0">
      <alignment horizontal="center" vertical="center"/>
    </xf>
    <xf numFmtId="0" fontId="11" fillId="0" borderId="21" applyAlignment="1" pivotButton="0" quotePrefix="0" xfId="0">
      <alignment horizontal="center" vertical="center" textRotation="90"/>
    </xf>
    <xf numFmtId="0" fontId="11" fillId="0" borderId="0" applyAlignment="1" pivotButton="0" quotePrefix="0" xfId="0">
      <alignment horizontal="center" vertical="center" textRotation="90"/>
    </xf>
    <xf numFmtId="0" fontId="11" fillId="0" borderId="52" applyAlignment="1" pivotButton="0" quotePrefix="0" xfId="0">
      <alignment horizontal="center" vertical="center" textRotation="90"/>
    </xf>
    <xf numFmtId="0" fontId="11" fillId="0" borderId="22" applyAlignment="1" pivotButton="0" quotePrefix="0" xfId="0">
      <alignment horizontal="center" vertical="center" textRotation="90"/>
    </xf>
    <xf numFmtId="0" fontId="11" fillId="0" borderId="49" applyAlignment="1" pivotButton="0" quotePrefix="0" xfId="0">
      <alignment horizontal="center" vertical="center" textRotation="90"/>
    </xf>
    <xf numFmtId="0" fontId="11" fillId="0" borderId="53" applyAlignment="1" pivotButton="0" quotePrefix="0" xfId="0">
      <alignment horizontal="center" vertical="center" textRotation="90"/>
    </xf>
    <xf numFmtId="0" fontId="30" fillId="19" borderId="0" applyAlignment="1" pivotButton="0" quotePrefix="1" xfId="0">
      <alignment horizontal="center" vertical="center" wrapText="1"/>
    </xf>
    <xf numFmtId="0" fontId="30" fillId="19" borderId="0" applyAlignment="1" pivotButton="0" quotePrefix="0" xfId="0">
      <alignment horizontal="center" wrapText="1"/>
    </xf>
    <xf numFmtId="4" fontId="1" fillId="3" borderId="47" applyAlignment="1" pivotButton="0" quotePrefix="0" xfId="1">
      <alignment horizontal="center"/>
    </xf>
    <xf numFmtId="4" fontId="1" fillId="3" borderId="45" applyAlignment="1" pivotButton="0" quotePrefix="0" xfId="1">
      <alignment horizontal="center"/>
    </xf>
    <xf numFmtId="4" fontId="1" fillId="3" borderId="46" applyAlignment="1" pivotButton="0" quotePrefix="0" xfId="1">
      <alignment horizontal="center"/>
    </xf>
    <xf numFmtId="0" fontId="3" fillId="0" borderId="23" applyAlignment="1" pivotButton="0" quotePrefix="1" xfId="0">
      <alignment horizontal="center"/>
    </xf>
    <xf numFmtId="0" fontId="3" fillId="0" borderId="16" applyAlignment="1" pivotButton="0" quotePrefix="1" xfId="0">
      <alignment horizontal="center"/>
    </xf>
    <xf numFmtId="0" fontId="3" fillId="0" borderId="24" applyAlignment="1" pivotButton="0" quotePrefix="1" xfId="0">
      <alignment horizontal="center"/>
    </xf>
    <xf numFmtId="0" fontId="3" fillId="0" borderId="54" applyAlignment="1" pivotButton="0" quotePrefix="0" xfId="0">
      <alignment horizontal="left"/>
    </xf>
    <xf numFmtId="0" fontId="3" fillId="0" borderId="44" applyAlignment="1" pivotButton="0" quotePrefix="0" xfId="0">
      <alignment horizontal="center"/>
    </xf>
    <xf numFmtId="4" fontId="1" fillId="3" borderId="47" applyAlignment="1" pivotButton="0" quotePrefix="0" xfId="1">
      <alignment horizontal="center"/>
    </xf>
    <xf numFmtId="4" fontId="1" fillId="3" borderId="45" applyAlignment="1" pivotButton="0" quotePrefix="0" xfId="1">
      <alignment horizontal="center"/>
    </xf>
    <xf numFmtId="4" fontId="1" fillId="3" borderId="46" applyAlignment="1" pivotButton="0" quotePrefix="0" xfId="1">
      <alignment horizontal="center"/>
    </xf>
    <xf numFmtId="4" fontId="1" fillId="0" borderId="64" applyAlignment="1" pivotButton="0" quotePrefix="0" xfId="1">
      <alignment horizontal="right"/>
    </xf>
    <xf numFmtId="4" fontId="1" fillId="0" borderId="59" applyAlignment="1" pivotButton="0" quotePrefix="0" xfId="1">
      <alignment horizontal="right"/>
    </xf>
    <xf numFmtId="0" fontId="3" fillId="0" borderId="23" applyAlignment="1" pivotButton="0" quotePrefix="0" xfId="0">
      <alignment horizontal="center"/>
    </xf>
    <xf numFmtId="0" fontId="3" fillId="0" borderId="16" applyAlignment="1" pivotButton="0" quotePrefix="0" xfId="0">
      <alignment horizontal="center"/>
    </xf>
    <xf numFmtId="0" fontId="3" fillId="0" borderId="24" applyAlignment="1" pivotButton="0" quotePrefix="0" xfId="0">
      <alignment horizontal="center"/>
    </xf>
    <xf numFmtId="4" fontId="1" fillId="0" borderId="59" applyAlignment="1" pivotButton="0" quotePrefix="0" xfId="1">
      <alignment horizontal="right"/>
    </xf>
    <xf numFmtId="4" fontId="1" fillId="0" borderId="63" applyAlignment="1" pivotButton="0" quotePrefix="0" xfId="1">
      <alignment horizontal="right"/>
    </xf>
    <xf numFmtId="4" fontId="1" fillId="0" borderId="47" applyAlignment="1" pivotButton="0" quotePrefix="0" xfId="1">
      <alignment horizontal="right"/>
    </xf>
    <xf numFmtId="4" fontId="1" fillId="0" borderId="45" applyAlignment="1" pivotButton="0" quotePrefix="0" xfId="1">
      <alignment horizontal="right"/>
    </xf>
    <xf numFmtId="0" fontId="11" fillId="0" borderId="60" applyAlignment="1" pivotButton="0" quotePrefix="0" xfId="0">
      <alignment horizontal="center"/>
    </xf>
    <xf numFmtId="0" fontId="11" fillId="0" borderId="61" applyAlignment="1" pivotButton="0" quotePrefix="0" xfId="0">
      <alignment horizontal="center"/>
    </xf>
    <xf numFmtId="0" fontId="11" fillId="19" borderId="62" applyAlignment="1" pivotButton="0" quotePrefix="0" xfId="0">
      <alignment horizontal="center"/>
    </xf>
    <xf numFmtId="0" fontId="11" fillId="19" borderId="60" applyAlignment="1" pivotButton="0" quotePrefix="0" xfId="0">
      <alignment horizontal="center"/>
    </xf>
    <xf numFmtId="4" fontId="5" fillId="17" borderId="45" applyAlignment="1" pivotButton="0" quotePrefix="0" xfId="1">
      <alignment horizontal="right"/>
    </xf>
    <xf numFmtId="4" fontId="5" fillId="17" borderId="46" applyAlignment="1" pivotButton="0" quotePrefix="0" xfId="1">
      <alignment horizontal="right"/>
    </xf>
    <xf numFmtId="4" fontId="1" fillId="6" borderId="47" applyAlignment="1" applyProtection="1" pivotButton="0" quotePrefix="0" xfId="1">
      <alignment horizontal="right"/>
      <protection locked="0" hidden="0"/>
    </xf>
    <xf numFmtId="4" fontId="1" fillId="6" borderId="45" applyAlignment="1" applyProtection="1" pivotButton="0" quotePrefix="0" xfId="1">
      <alignment horizontal="right"/>
      <protection locked="0" hidden="0"/>
    </xf>
    <xf numFmtId="0" fontId="11" fillId="0" borderId="20" applyAlignment="1" pivotButton="0" quotePrefix="0" xfId="0">
      <alignment horizontal="center"/>
    </xf>
    <xf numFmtId="0" fontId="11" fillId="0" borderId="21" applyAlignment="1" pivotButton="0" quotePrefix="0" xfId="0">
      <alignment horizontal="center"/>
    </xf>
    <xf numFmtId="0" fontId="11" fillId="0" borderId="22" applyAlignment="1" pivotButton="0" quotePrefix="0" xfId="0">
      <alignment horizontal="center"/>
    </xf>
    <xf numFmtId="4" fontId="1" fillId="6" borderId="45" applyAlignment="1" applyProtection="1" pivotButton="0" quotePrefix="0" xfId="1">
      <alignment horizontal="right"/>
      <protection locked="0" hidden="0"/>
    </xf>
    <xf numFmtId="4" fontId="1" fillId="6" borderId="46" applyAlignment="1" applyProtection="1" pivotButton="0" quotePrefix="0" xfId="1">
      <alignment horizontal="right"/>
      <protection locked="0" hidden="0"/>
    </xf>
    <xf numFmtId="0" fontId="12" fillId="0" borderId="0" applyAlignment="1" pivotButton="0" quotePrefix="1" xfId="0">
      <alignment vertical="top" wrapText="1"/>
    </xf>
    <xf numFmtId="0" fontId="12" fillId="0" borderId="5" applyAlignment="1" pivotButton="0" quotePrefix="1" xfId="0">
      <alignment vertical="top" wrapText="1"/>
    </xf>
    <xf numFmtId="0" fontId="12" fillId="0" borderId="8" applyAlignment="1" pivotButton="0" quotePrefix="1" xfId="0">
      <alignment vertical="top" wrapText="1"/>
    </xf>
    <xf numFmtId="0" fontId="12" fillId="0" borderId="9" applyAlignment="1" pivotButton="0" quotePrefix="1" xfId="0">
      <alignment vertical="top" wrapText="1"/>
    </xf>
    <xf numFmtId="0" fontId="2" fillId="0" borderId="0" applyAlignment="1" pivotButton="0" quotePrefix="0" xfId="0">
      <alignment horizontal="center"/>
    </xf>
    <xf numFmtId="0" fontId="3" fillId="0" borderId="1" applyAlignment="1" pivotButton="0" quotePrefix="1" xfId="0">
      <alignment horizontal="center"/>
    </xf>
    <xf numFmtId="0" fontId="3" fillId="0" borderId="2" applyAlignment="1" pivotButton="0" quotePrefix="0" xfId="0">
      <alignment horizontal="center"/>
    </xf>
    <xf numFmtId="0" fontId="4" fillId="0" borderId="2" applyAlignment="1" pivotButton="0" quotePrefix="0" xfId="0">
      <alignment horizontal="center"/>
    </xf>
    <xf numFmtId="0" fontId="4" fillId="0" borderId="3" applyAlignment="1" pivotButton="0" quotePrefix="0" xfId="0">
      <alignment horizontal="center"/>
    </xf>
    <xf numFmtId="0" fontId="5" fillId="0" borderId="1" applyAlignment="1" pivotButton="0" quotePrefix="0" xfId="0">
      <alignment horizontal="center" vertical="center"/>
    </xf>
    <xf numFmtId="0" fontId="5" fillId="0" borderId="2" applyAlignment="1" pivotButton="0" quotePrefix="0" xfId="0">
      <alignment horizontal="center" vertical="center"/>
    </xf>
    <xf numFmtId="0" fontId="5" fillId="0" borderId="3" applyAlignment="1" pivotButton="0" quotePrefix="0" xfId="0">
      <alignment horizontal="center" vertical="center"/>
    </xf>
    <xf numFmtId="0" fontId="5" fillId="0" borderId="4" applyAlignment="1" pivotButton="0" quotePrefix="0" xfId="0">
      <alignment horizontal="center" vertical="center"/>
    </xf>
    <xf numFmtId="0" fontId="5" fillId="0" borderId="0" applyAlignment="1" pivotButton="0" quotePrefix="0" xfId="0">
      <alignment horizontal="center" vertical="center"/>
    </xf>
    <xf numFmtId="0" fontId="5" fillId="0" borderId="5" applyAlignment="1" pivotButton="0" quotePrefix="0" xfId="0">
      <alignment horizontal="center" vertical="center"/>
    </xf>
    <xf numFmtId="0" fontId="5" fillId="0" borderId="7" applyAlignment="1" pivotButton="0" quotePrefix="0" xfId="0">
      <alignment horizontal="center" vertical="center"/>
    </xf>
    <xf numFmtId="0" fontId="5" fillId="0" borderId="8" applyAlignment="1" pivotButton="0" quotePrefix="0" xfId="0">
      <alignment horizontal="center" vertical="center"/>
    </xf>
    <xf numFmtId="0" fontId="5" fillId="0" borderId="9" applyAlignment="1" pivotButton="0" quotePrefix="0" xfId="0">
      <alignment horizontal="center" vertical="center"/>
    </xf>
    <xf numFmtId="0" fontId="6" fillId="0" borderId="4" applyAlignment="1" pivotButton="0" quotePrefix="0" xfId="0">
      <alignment horizontal="center"/>
    </xf>
    <xf numFmtId="0" fontId="6" fillId="0" borderId="0" applyAlignment="1" pivotButton="0" quotePrefix="0" xfId="0">
      <alignment horizontal="center"/>
    </xf>
    <xf numFmtId="0" fontId="6" fillId="0" borderId="5" applyAlignment="1" pivotButton="0" quotePrefix="0" xfId="0">
      <alignment horizontal="center"/>
    </xf>
    <xf numFmtId="0" fontId="8" fillId="0" borderId="4" applyAlignment="1" pivotButton="0" quotePrefix="0" xfId="0">
      <alignment horizontal="left"/>
    </xf>
    <xf numFmtId="0" fontId="8" fillId="0" borderId="0" applyAlignment="1" pivotButton="0" quotePrefix="0" xfId="0">
      <alignment horizontal="left"/>
    </xf>
    <xf numFmtId="0" fontId="8" fillId="0" borderId="5" applyAlignment="1" pivotButton="0" quotePrefix="0" xfId="0">
      <alignment horizontal="left"/>
    </xf>
    <xf numFmtId="0" fontId="8" fillId="0" borderId="7" applyAlignment="1" pivotButton="0" quotePrefix="0" xfId="0">
      <alignment horizontal="center"/>
    </xf>
    <xf numFmtId="0" fontId="8" fillId="0" borderId="8" applyAlignment="1" pivotButton="0" quotePrefix="0" xfId="0">
      <alignment horizontal="center"/>
    </xf>
    <xf numFmtId="0" fontId="8" fillId="0" borderId="9" applyAlignment="1" pivotButton="0" quotePrefix="0" xfId="0">
      <alignment horizontal="center"/>
    </xf>
    <xf numFmtId="0" fontId="8" fillId="0" borderId="7" applyAlignment="1" pivotButton="0" quotePrefix="0" xfId="0">
      <alignment horizontal="left"/>
    </xf>
    <xf numFmtId="0" fontId="8" fillId="0" borderId="8" applyAlignment="1" pivotButton="0" quotePrefix="0" xfId="0">
      <alignment horizontal="left"/>
    </xf>
    <xf numFmtId="0" fontId="8" fillId="0" borderId="9" applyAlignment="1" pivotButton="0" quotePrefix="0" xfId="0">
      <alignment horizontal="left"/>
    </xf>
    <xf numFmtId="0" fontId="3" fillId="0" borderId="2" applyAlignment="1" pivotButton="0" quotePrefix="0" xfId="0">
      <alignment horizontal="left"/>
    </xf>
    <xf numFmtId="0" fontId="3" fillId="0" borderId="3" applyAlignment="1" pivotButton="0" quotePrefix="0" xfId="0">
      <alignment horizontal="left"/>
    </xf>
    <xf numFmtId="0" fontId="9" fillId="0" borderId="8" applyAlignment="1" pivotButton="0" quotePrefix="0" xfId="0">
      <alignment horizontal="center"/>
    </xf>
    <xf numFmtId="0" fontId="9" fillId="0" borderId="9" applyAlignment="1" pivotButton="0" quotePrefix="0" xfId="0">
      <alignment horizontal="center"/>
    </xf>
    <xf numFmtId="0" fontId="10" fillId="0" borderId="8" applyAlignment="1" pivotButton="0" quotePrefix="0" xfId="0">
      <alignment horizontal="left"/>
    </xf>
    <xf numFmtId="0" fontId="10" fillId="0" borderId="9" applyAlignment="1" pivotButton="0" quotePrefix="0" xfId="0">
      <alignment horizontal="left"/>
    </xf>
    <xf numFmtId="0" fontId="10" fillId="0" borderId="8" applyAlignment="1" pivotButton="0" quotePrefix="1" xfId="0">
      <alignment horizontal="center"/>
    </xf>
    <xf numFmtId="0" fontId="8" fillId="0" borderId="1" applyAlignment="1" pivotButton="0" quotePrefix="0" xfId="0">
      <alignment horizontal="center"/>
    </xf>
    <xf numFmtId="0" fontId="8" fillId="0" borderId="2" applyAlignment="1" pivotButton="0" quotePrefix="0" xfId="0">
      <alignment horizontal="center"/>
    </xf>
    <xf numFmtId="0" fontId="8" fillId="0" borderId="3" applyAlignment="1" pivotButton="0" quotePrefix="0" xfId="0">
      <alignment horizontal="center"/>
    </xf>
    <xf numFmtId="0" fontId="8" fillId="0" borderId="7" applyAlignment="1" pivotButton="0" quotePrefix="1" xfId="0">
      <alignment horizontal="left"/>
    </xf>
    <xf numFmtId="0" fontId="8" fillId="0" borderId="8" applyAlignment="1" pivotButton="0" quotePrefix="1" xfId="0">
      <alignment horizontal="left"/>
    </xf>
    <xf numFmtId="14" fontId="10" fillId="0" borderId="8" applyAlignment="1" pivotButton="0" quotePrefix="0" xfId="0">
      <alignment horizontal="center"/>
    </xf>
    <xf numFmtId="14" fontId="10" fillId="0" borderId="9" applyAlignment="1" pivotButton="0" quotePrefix="0" xfId="0">
      <alignment horizontal="center"/>
    </xf>
    <xf numFmtId="0" fontId="8" fillId="0" borderId="11" applyAlignment="1" pivotButton="0" quotePrefix="0" xfId="0">
      <alignment horizontal="left"/>
    </xf>
    <xf numFmtId="20" fontId="3" fillId="0" borderId="11" applyAlignment="1" pivotButton="0" quotePrefix="0" xfId="0">
      <alignment horizontal="center"/>
    </xf>
    <xf numFmtId="0" fontId="3" fillId="0" borderId="11" applyAlignment="1" pivotButton="0" quotePrefix="0" xfId="0">
      <alignment horizontal="center"/>
    </xf>
    <xf numFmtId="0" fontId="3" fillId="0" borderId="12" applyAlignment="1" pivotButton="0" quotePrefix="0" xfId="0">
      <alignment horizontal="center"/>
    </xf>
    <xf numFmtId="0" fontId="3" fillId="2" borderId="11" applyAlignment="1" pivotButton="0" quotePrefix="0" xfId="0">
      <alignment horizontal="left"/>
    </xf>
    <xf numFmtId="0" fontId="3" fillId="2" borderId="12" applyAlignment="1" pivotButton="0" quotePrefix="0" xfId="0">
      <alignment horizontal="left"/>
    </xf>
    <xf numFmtId="0" fontId="8" fillId="0" borderId="10" applyAlignment="1" pivotButton="0" quotePrefix="1" xfId="0">
      <alignment horizontal="left"/>
    </xf>
    <xf numFmtId="0" fontId="10" fillId="0" borderId="8" applyAlignment="1" pivotButton="0" quotePrefix="0" xfId="0">
      <alignment horizontal="center"/>
    </xf>
    <xf numFmtId="0" fontId="5" fillId="0" borderId="1" applyAlignment="1" pivotButton="0" quotePrefix="1" xfId="0">
      <alignment horizontal="center" vertical="center"/>
    </xf>
    <xf numFmtId="0" fontId="8" fillId="0" borderId="4" applyAlignment="1" pivotButton="0" quotePrefix="0" xfId="0">
      <alignment horizontal="center"/>
    </xf>
    <xf numFmtId="0" fontId="8" fillId="0" borderId="0" applyAlignment="1" pivotButton="0" quotePrefix="0" xfId="0">
      <alignment horizontal="center"/>
    </xf>
    <xf numFmtId="0" fontId="8" fillId="0" borderId="5" applyAlignment="1" pivotButton="0" quotePrefix="0" xfId="0">
      <alignment horizontal="center"/>
    </xf>
    <xf numFmtId="0" fontId="3" fillId="0" borderId="2" applyAlignment="1" pivotButton="0" quotePrefix="1" xfId="0">
      <alignment horizontal="left"/>
    </xf>
    <xf numFmtId="0" fontId="3" fillId="0" borderId="3" applyAlignment="1" pivotButton="0" quotePrefix="1" xfId="0">
      <alignment horizontal="left"/>
    </xf>
    <xf numFmtId="0" fontId="8" fillId="0" borderId="1" applyAlignment="1" pivotButton="0" quotePrefix="0" xfId="0">
      <alignment horizontal="left"/>
    </xf>
    <xf numFmtId="0" fontId="8" fillId="0" borderId="2" applyAlignment="1" pivotButton="0" quotePrefix="0" xfId="0">
      <alignment horizontal="left"/>
    </xf>
    <xf numFmtId="0" fontId="8" fillId="0" borderId="3" applyAlignment="1" pivotButton="0" quotePrefix="0" xfId="0">
      <alignment horizontal="left"/>
    </xf>
    <xf numFmtId="0" fontId="3" fillId="0" borderId="5" applyAlignment="1" pivotButton="0" quotePrefix="0" xfId="0">
      <alignment horizontal="left"/>
    </xf>
    <xf numFmtId="15" fontId="10" fillId="0" borderId="8" applyAlignment="1" pivotButton="0" quotePrefix="0" xfId="0">
      <alignment horizontal="left"/>
    </xf>
    <xf numFmtId="15" fontId="10" fillId="0" borderId="9" applyAlignment="1" pivotButton="0" quotePrefix="0" xfId="0">
      <alignment horizontal="left"/>
    </xf>
    <xf numFmtId="0" fontId="8" fillId="0" borderId="0" applyAlignment="1" pivotButton="0" quotePrefix="1" xfId="0">
      <alignment horizontal="left"/>
    </xf>
    <xf numFmtId="0" fontId="8" fillId="0" borderId="5" applyAlignment="1" pivotButton="0" quotePrefix="1" xfId="0">
      <alignment horizontal="left"/>
    </xf>
    <xf numFmtId="4" fontId="8" fillId="0" borderId="1" applyAlignment="1" pivotButton="0" quotePrefix="0" xfId="0">
      <alignment horizontal="center"/>
    </xf>
    <xf numFmtId="4" fontId="8" fillId="0" borderId="2" applyAlignment="1" pivotButton="0" quotePrefix="0" xfId="0">
      <alignment horizontal="center"/>
    </xf>
    <xf numFmtId="4" fontId="8" fillId="0" borderId="3" applyAlignment="1" pivotButton="0" quotePrefix="0" xfId="0">
      <alignment horizontal="center"/>
    </xf>
    <xf numFmtId="0" fontId="0" fillId="0" borderId="1" applyAlignment="1" pivotButton="0" quotePrefix="0" xfId="0">
      <alignment horizontal="center"/>
    </xf>
    <xf numFmtId="0" fontId="0" fillId="0" borderId="2" applyAlignment="1" pivotButton="0" quotePrefix="0" xfId="0">
      <alignment horizontal="center"/>
    </xf>
    <xf numFmtId="0" fontId="0" fillId="0" borderId="3" applyAlignment="1" pivotButton="0" quotePrefix="0" xfId="0">
      <alignment horizontal="center"/>
    </xf>
    <xf numFmtId="0" fontId="8" fillId="0" borderId="4" applyAlignment="1" pivotButton="0" quotePrefix="0" xfId="0">
      <alignment horizontal="right"/>
    </xf>
    <xf numFmtId="0" fontId="8" fillId="0" borderId="0" applyAlignment="1" pivotButton="0" quotePrefix="0" xfId="0">
      <alignment horizontal="right"/>
    </xf>
    <xf numFmtId="166" fontId="3" fillId="0" borderId="4" applyAlignment="1" pivotButton="0" quotePrefix="0" xfId="0">
      <alignment horizontal="right"/>
    </xf>
    <xf numFmtId="166" fontId="3" fillId="0" borderId="0" applyAlignment="1" pivotButton="0" quotePrefix="0" xfId="0">
      <alignment horizontal="right"/>
    </xf>
    <xf numFmtId="4" fontId="3" fillId="0" borderId="4" applyAlignment="1" pivotButton="0" quotePrefix="0" xfId="0">
      <alignment horizontal="right"/>
    </xf>
    <xf numFmtId="4" fontId="3" fillId="0" borderId="0" applyAlignment="1" pivotButton="0" quotePrefix="0" xfId="0">
      <alignment horizontal="right"/>
    </xf>
    <xf numFmtId="0" fontId="0" fillId="0" borderId="4" applyAlignment="1" pivotButton="0" quotePrefix="0" xfId="0">
      <alignment horizontal="center"/>
    </xf>
    <xf numFmtId="0" fontId="0" fillId="0" borderId="5" applyAlignment="1" pivotButton="0" quotePrefix="0" xfId="0">
      <alignment horizontal="center"/>
    </xf>
    <xf numFmtId="0" fontId="8" fillId="0" borderId="4" applyAlignment="1" pivotButton="0" quotePrefix="1" xfId="0">
      <alignment horizontal="right"/>
    </xf>
    <xf numFmtId="0" fontId="8" fillId="0" borderId="0" applyAlignment="1" pivotButton="0" quotePrefix="1" xfId="0">
      <alignment horizontal="right"/>
    </xf>
    <xf numFmtId="4" fontId="3" fillId="0" borderId="7" applyAlignment="1" pivotButton="0" quotePrefix="0" xfId="0">
      <alignment horizontal="center"/>
    </xf>
    <xf numFmtId="4" fontId="3" fillId="0" borderId="8" applyAlignment="1" pivotButton="0" quotePrefix="0" xfId="0">
      <alignment horizontal="center"/>
    </xf>
    <xf numFmtId="4" fontId="3" fillId="0" borderId="9" applyAlignment="1" pivotButton="0" quotePrefix="0" xfId="0">
      <alignment horizontal="center"/>
    </xf>
    <xf numFmtId="0" fontId="0" fillId="0" borderId="7" applyAlignment="1" pivotButton="0" quotePrefix="0" xfId="0">
      <alignment horizontal="center"/>
    </xf>
    <xf numFmtId="0" fontId="0" fillId="0" borderId="8" applyAlignment="1" pivotButton="0" quotePrefix="0" xfId="0">
      <alignment horizontal="center"/>
    </xf>
    <xf numFmtId="0" fontId="0" fillId="0" borderId="9" applyAlignment="1" pivotButton="0" quotePrefix="0" xfId="0">
      <alignment horizontal="center"/>
    </xf>
    <xf numFmtId="4" fontId="3" fillId="0" borderId="7" applyAlignment="1" pivotButton="0" quotePrefix="0" xfId="0">
      <alignment horizontal="right"/>
    </xf>
    <xf numFmtId="4" fontId="3" fillId="0" borderId="8" applyAlignment="1" pivotButton="0" quotePrefix="0" xfId="0">
      <alignment horizontal="right"/>
    </xf>
    <xf numFmtId="4" fontId="3" fillId="0" borderId="1" applyAlignment="1" pivotButton="0" quotePrefix="0" xfId="0">
      <alignment horizontal="right"/>
    </xf>
    <xf numFmtId="4" fontId="3" fillId="0" borderId="2" applyAlignment="1" pivotButton="0" quotePrefix="0" xfId="0">
      <alignment horizontal="right"/>
    </xf>
    <xf numFmtId="2" fontId="0" fillId="0" borderId="8" applyAlignment="1" pivotButton="0" quotePrefix="0" xfId="0">
      <alignment horizontal="right"/>
    </xf>
    <xf numFmtId="0" fontId="0" fillId="0" borderId="8" applyAlignment="1" pivotButton="0" quotePrefix="0" xfId="0">
      <alignment horizontal="right"/>
    </xf>
    <xf numFmtId="0" fontId="8" fillId="0" borderId="2" applyAlignment="1" pivotButton="0" quotePrefix="1" xfId="0">
      <alignment horizontal="left"/>
    </xf>
    <xf numFmtId="0" fontId="8" fillId="0" borderId="3" applyAlignment="1" pivotButton="0" quotePrefix="1" xfId="0">
      <alignment horizontal="left"/>
    </xf>
    <xf numFmtId="0" fontId="8" fillId="0" borderId="9" applyAlignment="1" pivotButton="0" quotePrefix="1" xfId="0">
      <alignment horizontal="left"/>
    </xf>
    <xf numFmtId="0" fontId="8" fillId="0" borderId="4" applyAlignment="1" pivotButton="0" quotePrefix="1" xfId="0">
      <alignment horizontal="center"/>
    </xf>
    <xf numFmtId="0" fontId="8" fillId="0" borderId="0" applyAlignment="1" pivotButton="0" quotePrefix="1" xfId="0">
      <alignment horizontal="center"/>
    </xf>
    <xf numFmtId="20" fontId="3" fillId="0" borderId="0" applyAlignment="1" pivotButton="0" quotePrefix="0" xfId="0">
      <alignment horizontal="left"/>
    </xf>
    <xf numFmtId="20" fontId="3" fillId="0" borderId="0" applyAlignment="1" pivotButton="0" quotePrefix="0" xfId="0">
      <alignment horizontal="center"/>
    </xf>
    <xf numFmtId="174" fontId="3" fillId="0" borderId="10" applyAlignment="1" pivotButton="0" quotePrefix="0" xfId="0">
      <alignment horizontal="right"/>
    </xf>
    <xf numFmtId="174" fontId="3" fillId="0" borderId="11" applyAlignment="1" pivotButton="0" quotePrefix="0" xfId="0">
      <alignment horizontal="right"/>
    </xf>
    <xf numFmtId="168" fontId="3" fillId="0" borderId="10" applyAlignment="1" pivotButton="0" quotePrefix="0" xfId="0">
      <alignment horizontal="right"/>
    </xf>
    <xf numFmtId="168" fontId="3" fillId="0" borderId="11" applyAlignment="1" pivotButton="0" quotePrefix="0" xfId="0">
      <alignment horizontal="right"/>
    </xf>
    <xf numFmtId="164" fontId="3" fillId="0" borderId="10" applyAlignment="1" pivotButton="0" quotePrefix="0" xfId="0">
      <alignment horizontal="right"/>
    </xf>
    <xf numFmtId="0" fontId="3" fillId="0" borderId="11" applyAlignment="1" pivotButton="0" quotePrefix="0" xfId="0">
      <alignment horizontal="right"/>
    </xf>
    <xf numFmtId="0" fontId="10" fillId="0" borderId="2" applyAlignment="1" pivotButton="0" quotePrefix="0" xfId="0">
      <alignment horizontal="center"/>
    </xf>
    <xf numFmtId="0" fontId="10" fillId="0" borderId="11" applyAlignment="1" pivotButton="0" quotePrefix="0" xfId="0">
      <alignment horizontal="center"/>
    </xf>
    <xf numFmtId="0" fontId="3" fillId="0" borderId="10" applyAlignment="1" pivotButton="0" quotePrefix="0" xfId="0">
      <alignment horizontal="right"/>
    </xf>
    <xf numFmtId="4" fontId="3" fillId="0" borderId="10" applyAlignment="1" pivotButton="0" quotePrefix="0" xfId="0">
      <alignment horizontal="right"/>
    </xf>
    <xf numFmtId="0" fontId="17" fillId="0" borderId="0" applyAlignment="1" pivotButton="0" quotePrefix="0" xfId="0">
      <alignment horizontal="right"/>
    </xf>
    <xf numFmtId="0" fontId="8" fillId="0" borderId="8" applyAlignment="1" pivotButton="0" quotePrefix="1" xfId="0">
      <alignment horizontal="center"/>
    </xf>
    <xf numFmtId="0" fontId="8" fillId="0" borderId="9" applyAlignment="1" pivotButton="0" quotePrefix="1" xfId="0">
      <alignment horizontal="center"/>
    </xf>
    <xf numFmtId="43" fontId="3" fillId="0" borderId="10" applyAlignment="1" pivotButton="0" quotePrefix="0" xfId="0">
      <alignment horizontal="right"/>
    </xf>
    <xf numFmtId="0" fontId="37" fillId="17" borderId="10" applyAlignment="1" applyProtection="1" pivotButton="0" quotePrefix="0" xfId="0">
      <alignment horizontal="center"/>
      <protection locked="0" hidden="0"/>
    </xf>
    <xf numFmtId="0" fontId="37" fillId="17" borderId="11" applyAlignment="1" applyProtection="1" pivotButton="0" quotePrefix="0" xfId="0">
      <alignment horizontal="center"/>
      <protection locked="0" hidden="0"/>
    </xf>
    <xf numFmtId="0" fontId="37" fillId="17" borderId="12" applyAlignment="1" applyProtection="1" pivotButton="0" quotePrefix="0" xfId="0">
      <alignment horizontal="center"/>
      <protection locked="0" hidden="0"/>
    </xf>
    <xf numFmtId="0" fontId="5" fillId="17" borderId="8" applyAlignment="1" pivotButton="0" quotePrefix="0" xfId="0">
      <alignment horizontal="center"/>
    </xf>
    <xf numFmtId="0" fontId="9" fillId="17" borderId="8" applyAlignment="1" pivotButton="0" quotePrefix="0" xfId="0">
      <alignment horizontal="center"/>
    </xf>
    <xf numFmtId="0" fontId="0" fillId="0" borderId="0" applyAlignment="1" pivotButton="0" quotePrefix="0" xfId="0">
      <alignment horizontal="left"/>
    </xf>
    <xf numFmtId="0" fontId="0" fillId="0" borderId="5" applyAlignment="1" pivotButton="0" quotePrefix="0" xfId="0">
      <alignment horizontal="left"/>
    </xf>
    <xf numFmtId="0" fontId="37" fillId="18" borderId="10" applyAlignment="1" applyProtection="1" pivotButton="0" quotePrefix="0" xfId="0">
      <alignment horizontal="center"/>
      <protection locked="0" hidden="0"/>
    </xf>
    <xf numFmtId="0" fontId="37" fillId="18" borderId="11" applyAlignment="1" applyProtection="1" pivotButton="0" quotePrefix="0" xfId="0">
      <alignment horizontal="center"/>
      <protection locked="0" hidden="0"/>
    </xf>
    <xf numFmtId="0" fontId="37" fillId="18" borderId="12" applyAlignment="1" applyProtection="1" pivotButton="0" quotePrefix="0" xfId="0">
      <alignment horizontal="center"/>
      <protection locked="0" hidden="0"/>
    </xf>
    <xf numFmtId="0" fontId="37" fillId="18" borderId="10" applyAlignment="1" applyProtection="1" pivotButton="0" quotePrefix="0" xfId="0">
      <alignment horizontal="left"/>
      <protection locked="0" hidden="0"/>
    </xf>
    <xf numFmtId="0" fontId="37" fillId="18" borderId="11" applyAlignment="1" applyProtection="1" pivotButton="0" quotePrefix="0" xfId="0">
      <alignment horizontal="left"/>
      <protection locked="0" hidden="0"/>
    </xf>
    <xf numFmtId="0" fontId="37" fillId="18" borderId="12" applyAlignment="1" applyProtection="1" pivotButton="0" quotePrefix="0" xfId="0">
      <alignment horizontal="left"/>
      <protection locked="0" hidden="0"/>
    </xf>
    <xf numFmtId="0" fontId="37" fillId="17" borderId="10" applyAlignment="1" applyProtection="1" pivotButton="0" quotePrefix="0" xfId="0">
      <alignment horizontal="left"/>
      <protection locked="0" hidden="0"/>
    </xf>
    <xf numFmtId="0" fontId="37" fillId="17" borderId="11" applyAlignment="1" applyProtection="1" pivotButton="0" quotePrefix="0" xfId="0">
      <alignment horizontal="left"/>
      <protection locked="0" hidden="0"/>
    </xf>
    <xf numFmtId="0" fontId="37" fillId="17" borderId="12" applyAlignment="1" applyProtection="1" pivotButton="0" quotePrefix="0" xfId="0">
      <alignment horizontal="left"/>
      <protection locked="0" hidden="0"/>
    </xf>
    <xf numFmtId="0" fontId="38" fillId="17" borderId="10" applyAlignment="1" applyProtection="1" pivotButton="0" quotePrefix="0" xfId="0">
      <alignment horizontal="center"/>
      <protection locked="0" hidden="0"/>
    </xf>
    <xf numFmtId="0" fontId="38" fillId="17" borderId="11" applyAlignment="1" applyProtection="1" pivotButton="0" quotePrefix="0" xfId="0">
      <alignment horizontal="center"/>
      <protection locked="0" hidden="0"/>
    </xf>
    <xf numFmtId="0" fontId="38" fillId="17" borderId="12" applyAlignment="1" applyProtection="1" pivotButton="0" quotePrefix="0" xfId="0">
      <alignment horizontal="center"/>
      <protection locked="0" hidden="0"/>
    </xf>
    <xf numFmtId="0" fontId="38" fillId="17" borderId="7" applyAlignment="1" applyProtection="1" pivotButton="0" quotePrefix="0" xfId="0">
      <alignment horizontal="center"/>
      <protection locked="0" hidden="0"/>
    </xf>
    <xf numFmtId="0" fontId="38" fillId="17" borderId="8" applyAlignment="1" applyProtection="1" pivotButton="0" quotePrefix="0" xfId="0">
      <alignment horizontal="center"/>
      <protection locked="0" hidden="0"/>
    </xf>
    <xf numFmtId="0" fontId="38" fillId="17" borderId="9" applyAlignment="1" applyProtection="1" pivotButton="0" quotePrefix="0" xfId="0">
      <alignment horizontal="center"/>
      <protection locked="0" hidden="0"/>
    </xf>
    <xf numFmtId="0" fontId="39" fillId="18" borderId="7" applyAlignment="1" applyProtection="1" pivotButton="0" quotePrefix="0" xfId="0">
      <alignment horizontal="center"/>
      <protection locked="0" hidden="0"/>
    </xf>
    <xf numFmtId="0" fontId="39" fillId="18" borderId="9" applyAlignment="1" applyProtection="1" pivotButton="0" quotePrefix="0" xfId="0">
      <alignment horizontal="center"/>
      <protection locked="0" hidden="0"/>
    </xf>
    <xf numFmtId="0" fontId="60" fillId="18" borderId="10" applyAlignment="1" applyProtection="1" pivotButton="0" quotePrefix="0" xfId="0">
      <alignment horizontal="center"/>
      <protection locked="0" hidden="0"/>
    </xf>
    <xf numFmtId="0" fontId="60" fillId="18" borderId="11" applyAlignment="1" applyProtection="1" pivotButton="0" quotePrefix="0" xfId="0">
      <alignment horizontal="center"/>
      <protection locked="0" hidden="0"/>
    </xf>
    <xf numFmtId="0" fontId="60" fillId="18" borderId="12" applyAlignment="1" applyProtection="1" pivotButton="0" quotePrefix="0" xfId="0">
      <alignment horizontal="center"/>
      <protection locked="0" hidden="0"/>
    </xf>
    <xf numFmtId="0" fontId="37" fillId="0" borderId="10" applyAlignment="1" applyProtection="1" pivotButton="0" quotePrefix="0" xfId="0">
      <alignment horizontal="left"/>
      <protection locked="0" hidden="0"/>
    </xf>
    <xf numFmtId="0" fontId="37" fillId="0" borderId="11" applyAlignment="1" applyProtection="1" pivotButton="0" quotePrefix="0" xfId="0">
      <alignment horizontal="left"/>
      <protection locked="0" hidden="0"/>
    </xf>
    <xf numFmtId="0" fontId="37" fillId="0" borderId="12" applyAlignment="1" applyProtection="1" pivotButton="0" quotePrefix="0" xfId="0">
      <alignment horizontal="left"/>
      <protection locked="0" hidden="0"/>
    </xf>
    <xf numFmtId="0" fontId="40" fillId="18" borderId="10" applyAlignment="1" applyProtection="1" pivotButton="0" quotePrefix="0" xfId="0">
      <alignment horizontal="left"/>
      <protection locked="0" hidden="0"/>
    </xf>
    <xf numFmtId="43" fontId="37" fillId="17" borderId="10" applyAlignment="1" applyProtection="1" pivotButton="0" quotePrefix="0" xfId="1">
      <alignment horizontal="center"/>
      <protection locked="0" hidden="0"/>
    </xf>
    <xf numFmtId="43" fontId="37" fillId="17" borderId="11" applyAlignment="1" applyProtection="1" pivotButton="0" quotePrefix="0" xfId="1">
      <alignment horizontal="center"/>
      <protection locked="0" hidden="0"/>
    </xf>
    <xf numFmtId="43" fontId="37" fillId="17" borderId="12" applyAlignment="1" applyProtection="1" pivotButton="0" quotePrefix="0" xfId="1">
      <alignment horizontal="center"/>
      <protection locked="0" hidden="0"/>
    </xf>
    <xf numFmtId="43" fontId="37" fillId="0" borderId="10" applyAlignment="1" applyProtection="1" pivotButton="0" quotePrefix="0" xfId="1">
      <alignment horizontal="center"/>
      <protection locked="0" hidden="0"/>
    </xf>
    <xf numFmtId="43" fontId="37" fillId="0" borderId="11" applyAlignment="1" applyProtection="1" pivotButton="0" quotePrefix="0" xfId="1">
      <alignment horizontal="center"/>
      <protection locked="0" hidden="0"/>
    </xf>
    <xf numFmtId="43" fontId="37" fillId="0" borderId="12" applyAlignment="1" applyProtection="1" pivotButton="0" quotePrefix="0" xfId="1">
      <alignment horizontal="center"/>
      <protection locked="0" hidden="0"/>
    </xf>
    <xf numFmtId="0" fontId="6" fillId="0" borderId="0" applyAlignment="1" pivotButton="0" quotePrefix="1" xfId="0">
      <alignment horizontal="left"/>
    </xf>
    <xf numFmtId="0" fontId="37" fillId="18" borderId="0" applyAlignment="1" applyProtection="1" pivotButton="0" quotePrefix="0" xfId="0">
      <alignment horizontal="center"/>
      <protection locked="0" hidden="0"/>
    </xf>
    <xf numFmtId="175" fontId="37" fillId="17" borderId="10" applyAlignment="1" applyProtection="1" pivotButton="0" quotePrefix="0" xfId="1">
      <alignment horizontal="center"/>
      <protection locked="0" hidden="0"/>
    </xf>
    <xf numFmtId="175" fontId="37" fillId="17" borderId="11" applyAlignment="1" applyProtection="1" pivotButton="0" quotePrefix="0" xfId="1">
      <alignment horizontal="center"/>
      <protection locked="0" hidden="0"/>
    </xf>
    <xf numFmtId="175" fontId="37" fillId="17" borderId="12" applyAlignment="1" applyProtection="1" pivotButton="0" quotePrefix="0" xfId="1">
      <alignment horizontal="center"/>
      <protection locked="0" hidden="0"/>
    </xf>
    <xf numFmtId="0" fontId="40" fillId="18" borderId="4" applyAlignment="1" pivotButton="0" quotePrefix="0" xfId="0">
      <alignment horizontal="left"/>
    </xf>
    <xf numFmtId="0" fontId="37" fillId="18" borderId="0" applyAlignment="1" pivotButton="0" quotePrefix="0" xfId="0">
      <alignment horizontal="left"/>
    </xf>
    <xf numFmtId="0" fontId="37" fillId="18" borderId="5" applyAlignment="1" pivotButton="0" quotePrefix="0" xfId="0">
      <alignment horizontal="left"/>
    </xf>
    <xf numFmtId="0" fontId="40" fillId="18" borderId="4" applyAlignment="1" pivotButton="0" quotePrefix="1" xfId="0">
      <alignment horizontal="left" vertical="top" wrapText="1"/>
    </xf>
    <xf numFmtId="0" fontId="40" fillId="18" borderId="0" applyAlignment="1" pivotButton="0" quotePrefix="0" xfId="0">
      <alignment vertical="top" wrapText="1"/>
    </xf>
    <xf numFmtId="0" fontId="40" fillId="18" borderId="5" applyAlignment="1" pivotButton="0" quotePrefix="0" xfId="0">
      <alignment vertical="top" wrapText="1"/>
    </xf>
    <xf numFmtId="0" fontId="40" fillId="18" borderId="4" applyAlignment="1" pivotButton="0" quotePrefix="0" xfId="0">
      <alignment vertical="top" wrapText="1"/>
    </xf>
    <xf numFmtId="0" fontId="40" fillId="18" borderId="7" applyAlignment="1" pivotButton="0" quotePrefix="0" xfId="0">
      <alignment vertical="top" wrapText="1"/>
    </xf>
    <xf numFmtId="0" fontId="40" fillId="18" borderId="8" applyAlignment="1" pivotButton="0" quotePrefix="0" xfId="0">
      <alignment vertical="top" wrapText="1"/>
    </xf>
    <xf numFmtId="0" fontId="40" fillId="18" borderId="9" applyAlignment="1" pivotButton="0" quotePrefix="0" xfId="0">
      <alignment vertical="top" wrapText="1"/>
    </xf>
    <xf numFmtId="0" fontId="40" fillId="18" borderId="8" applyAlignment="1" applyProtection="1" pivotButton="0" quotePrefix="0" xfId="0">
      <alignment horizontal="left"/>
      <protection locked="0" hidden="0"/>
    </xf>
    <xf numFmtId="0" fontId="40" fillId="18" borderId="9" applyAlignment="1" applyProtection="1" pivotButton="0" quotePrefix="0" xfId="0">
      <alignment horizontal="left"/>
      <protection locked="0" hidden="0"/>
    </xf>
    <xf numFmtId="0" fontId="39" fillId="18" borderId="0" applyAlignment="1" applyProtection="1" pivotButton="0" quotePrefix="0" xfId="0">
      <alignment horizontal="left"/>
      <protection locked="0" hidden="0"/>
    </xf>
    <xf numFmtId="49" fontId="36" fillId="18" borderId="8" applyAlignment="1" applyProtection="1" pivotButton="0" quotePrefix="0" xfId="2">
      <alignment horizontal="left"/>
      <protection locked="0" hidden="0"/>
    </xf>
    <xf numFmtId="49" fontId="39" fillId="18" borderId="8" applyAlignment="1" applyProtection="1" pivotButton="0" quotePrefix="0" xfId="0">
      <alignment horizontal="left"/>
      <protection locked="0" hidden="0"/>
    </xf>
    <xf numFmtId="0" fontId="46" fillId="0" borderId="0" applyAlignment="1" pivotButton="0" quotePrefix="0" xfId="4">
      <alignment horizontal="center"/>
    </xf>
    <xf numFmtId="171" fontId="49" fillId="0" borderId="60" applyAlignment="1" pivotButton="0" quotePrefix="0" xfId="4">
      <alignment horizontal="center" vertical="center"/>
    </xf>
    <xf numFmtId="171" fontId="49" fillId="0" borderId="61" applyAlignment="1" pivotButton="0" quotePrefix="0" xfId="4">
      <alignment horizontal="center" vertical="center"/>
    </xf>
    <xf numFmtId="1" fontId="51" fillId="0" borderId="60" applyAlignment="1" pivotButton="0" quotePrefix="0" xfId="4">
      <alignment horizontal="center" vertical="center"/>
    </xf>
    <xf numFmtId="0" fontId="32" fillId="0" borderId="0" applyAlignment="1" pivotButton="0" quotePrefix="0" xfId="0">
      <alignment horizontal="center"/>
    </xf>
    <xf numFmtId="14" fontId="3" fillId="0" borderId="8" applyAlignment="1" pivotButton="0" quotePrefix="0" xfId="0">
      <alignment horizontal="center"/>
    </xf>
    <xf numFmtId="20" fontId="3" fillId="0" borderId="8" applyAlignment="1" pivotButton="0" quotePrefix="0" xfId="0">
      <alignment horizontal="center"/>
    </xf>
    <xf numFmtId="0" fontId="3" fillId="0" borderId="8" applyAlignment="1" pivotButton="0" quotePrefix="0" xfId="0">
      <alignment horizontal="center"/>
    </xf>
    <xf numFmtId="0" fontId="0" fillId="0" borderId="38" applyAlignment="1" pivotButton="0" quotePrefix="0" xfId="0">
      <alignment horizontal="center" vertical="center"/>
    </xf>
    <xf numFmtId="0" fontId="0" fillId="0" borderId="21" applyAlignment="1" pivotButton="0" quotePrefix="0" xfId="0">
      <alignment horizontal="center" vertical="center"/>
    </xf>
    <xf numFmtId="0" fontId="0" fillId="0" borderId="37" applyAlignment="1" pivotButton="0" quotePrefix="0" xfId="0">
      <alignment horizontal="center" vertical="center"/>
    </xf>
    <xf numFmtId="0" fontId="0" fillId="0" borderId="7"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3" fillId="0" borderId="38" applyAlignment="1" pivotButton="0" quotePrefix="1" xfId="0">
      <alignment horizontal="center" vertical="center"/>
    </xf>
    <xf numFmtId="0" fontId="3" fillId="0" borderId="21" applyAlignment="1" pivotButton="0" quotePrefix="0" xfId="0">
      <alignment horizontal="center" vertical="center"/>
    </xf>
    <xf numFmtId="0" fontId="3" fillId="0" borderId="37" applyAlignment="1" pivotButton="0" quotePrefix="0" xfId="0">
      <alignment horizontal="center" vertical="center"/>
    </xf>
    <xf numFmtId="0" fontId="3" fillId="0" borderId="7" applyAlignment="1" pivotButton="0" quotePrefix="0" xfId="0">
      <alignment horizontal="center" vertical="center"/>
    </xf>
    <xf numFmtId="0" fontId="3" fillId="0" borderId="8" applyAlignment="1" pivotButton="0" quotePrefix="0" xfId="0">
      <alignment horizontal="center" vertical="center"/>
    </xf>
    <xf numFmtId="0" fontId="3" fillId="0" borderId="9" applyAlignment="1" pivotButton="0" quotePrefix="0" xfId="0">
      <alignment horizontal="center" vertical="center"/>
    </xf>
    <xf numFmtId="0" fontId="0" fillId="0" borderId="22" applyAlignment="1" pivotButton="0" quotePrefix="0" xfId="0">
      <alignment horizontal="center" vertical="center"/>
    </xf>
    <xf numFmtId="0" fontId="0" fillId="0" borderId="70" applyAlignment="1" pivotButton="0" quotePrefix="0" xfId="0">
      <alignment horizontal="center" vertical="center"/>
    </xf>
    <xf numFmtId="0" fontId="34" fillId="15" borderId="30" applyAlignment="1" pivotButton="0" quotePrefix="0" xfId="0">
      <alignment horizontal="center"/>
    </xf>
    <xf numFmtId="0" fontId="34" fillId="15" borderId="11" applyAlignment="1" pivotButton="0" quotePrefix="0" xfId="0">
      <alignment horizontal="center"/>
    </xf>
    <xf numFmtId="0" fontId="34" fillId="15" borderId="31" applyAlignment="1" pivotButton="0" quotePrefix="0" xfId="0">
      <alignment horizont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4" fillId="0" borderId="37" applyAlignment="1" pivotButton="0" quotePrefix="0" xfId="0">
      <alignment horizontal="center" vertical="center"/>
    </xf>
    <xf numFmtId="0" fontId="4" fillId="0" borderId="69"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3" fillId="11" borderId="44" applyAlignment="1" applyProtection="1" pivotButton="0" quotePrefix="0" xfId="0">
      <alignment horizontal="left"/>
      <protection locked="0" hidden="0"/>
    </xf>
    <xf numFmtId="0" fontId="3" fillId="11" borderId="0" applyAlignment="1" applyProtection="1" pivotButton="0" quotePrefix="0" xfId="0">
      <alignment horizontal="left"/>
      <protection locked="0" hidden="0"/>
    </xf>
    <xf numFmtId="0" fontId="3" fillId="11" borderId="5" applyAlignment="1" applyProtection="1" pivotButton="0" quotePrefix="0" xfId="0">
      <alignment horizontal="left"/>
      <protection locked="0" hidden="0"/>
    </xf>
    <xf numFmtId="43" fontId="3" fillId="11" borderId="4" applyAlignment="1" applyProtection="1" pivotButton="0" quotePrefix="0" xfId="1">
      <alignment horizontal="center"/>
      <protection locked="0" hidden="0"/>
    </xf>
    <xf numFmtId="43" fontId="3" fillId="11" borderId="0" applyAlignment="1" applyProtection="1" pivotButton="0" quotePrefix="0" xfId="1">
      <alignment horizontal="center"/>
      <protection locked="0" hidden="0"/>
    </xf>
    <xf numFmtId="43" fontId="3" fillId="11" borderId="5" applyAlignment="1" applyProtection="1" pivotButton="0" quotePrefix="0" xfId="1">
      <alignment horizontal="center"/>
      <protection locked="0" hidden="0"/>
    </xf>
    <xf numFmtId="43" fontId="3" fillId="6" borderId="4" applyAlignment="1" applyProtection="1" pivotButton="0" quotePrefix="0" xfId="1">
      <alignment horizontal="center"/>
      <protection locked="0" hidden="0"/>
    </xf>
    <xf numFmtId="43" fontId="3" fillId="6" borderId="0" applyAlignment="1" applyProtection="1" pivotButton="0" quotePrefix="0" xfId="1">
      <alignment horizontal="center"/>
      <protection locked="0" hidden="0"/>
    </xf>
    <xf numFmtId="43" fontId="3" fillId="6" borderId="5" applyAlignment="1" applyProtection="1" pivotButton="0" quotePrefix="0" xfId="1">
      <alignment horizontal="center"/>
      <protection locked="0" hidden="0"/>
    </xf>
    <xf numFmtId="43" fontId="3" fillId="6" borderId="4" applyAlignment="1" applyProtection="1" pivotButton="0" quotePrefix="0" xfId="1">
      <alignment horizontal="right"/>
      <protection locked="0" hidden="0"/>
    </xf>
    <xf numFmtId="43" fontId="3" fillId="6" borderId="0" applyAlignment="1" applyProtection="1" pivotButton="0" quotePrefix="0" xfId="1">
      <alignment horizontal="right"/>
      <protection locked="0" hidden="0"/>
    </xf>
    <xf numFmtId="176" fontId="3" fillId="6" borderId="1" applyAlignment="1" applyProtection="1" pivotButton="0" quotePrefix="0" xfId="1">
      <alignment horizontal="right"/>
      <protection locked="0" hidden="0"/>
    </xf>
    <xf numFmtId="176" fontId="3" fillId="6" borderId="2" applyAlignment="1" applyProtection="1" pivotButton="0" quotePrefix="0" xfId="1">
      <alignment horizontal="right"/>
      <protection locked="0" hidden="0"/>
    </xf>
    <xf numFmtId="176" fontId="3" fillId="6" borderId="3" applyAlignment="1" applyProtection="1" pivotButton="0" quotePrefix="0" xfId="1">
      <alignment horizontal="right"/>
      <protection locked="0" hidden="0"/>
    </xf>
    <xf numFmtId="43" fontId="3" fillId="11" borderId="4" applyAlignment="1" pivotButton="0" quotePrefix="0" xfId="1">
      <alignment horizontal="right"/>
    </xf>
    <xf numFmtId="43" fontId="3" fillId="11" borderId="0" applyAlignment="1" pivotButton="0" quotePrefix="0" xfId="1">
      <alignment horizontal="right"/>
    </xf>
    <xf numFmtId="43" fontId="3" fillId="11" borderId="49" applyAlignment="1" pivotButton="0" quotePrefix="0" xfId="1">
      <alignment horizontal="right"/>
    </xf>
    <xf numFmtId="0" fontId="3" fillId="11" borderId="44" applyAlignment="1" pivotButton="0" quotePrefix="0" xfId="0">
      <alignment horizontal="left"/>
    </xf>
    <xf numFmtId="0" fontId="3" fillId="11" borderId="0" applyAlignment="1" pivotButton="0" quotePrefix="0" xfId="0">
      <alignment horizontal="left"/>
    </xf>
    <xf numFmtId="0" fontId="3" fillId="11" borderId="5" applyAlignment="1" pivotButton="0" quotePrefix="0" xfId="0">
      <alignment horizontal="left"/>
    </xf>
    <xf numFmtId="0" fontId="3" fillId="0" borderId="71" applyAlignment="1" applyProtection="1" pivotButton="0" quotePrefix="0" xfId="0">
      <alignment horizontal="left"/>
      <protection locked="0" hidden="0"/>
    </xf>
    <xf numFmtId="0" fontId="3" fillId="0" borderId="2" applyAlignment="1" applyProtection="1" pivotButton="0" quotePrefix="0" xfId="0">
      <alignment horizontal="left"/>
      <protection locked="0" hidden="0"/>
    </xf>
    <xf numFmtId="0" fontId="3" fillId="0" borderId="3" applyAlignment="1" applyProtection="1" pivotButton="0" quotePrefix="0" xfId="0">
      <alignment horizontal="left"/>
      <protection locked="0" hidden="0"/>
    </xf>
    <xf numFmtId="43" fontId="3" fillId="0" borderId="1" applyAlignment="1" applyProtection="1" pivotButton="0" quotePrefix="0" xfId="1">
      <alignment horizontal="center"/>
      <protection locked="0" hidden="0"/>
    </xf>
    <xf numFmtId="43" fontId="3" fillId="0" borderId="2" applyAlignment="1" applyProtection="1" pivotButton="0" quotePrefix="0" xfId="1">
      <alignment horizontal="center"/>
      <protection locked="0" hidden="0"/>
    </xf>
    <xf numFmtId="43" fontId="3" fillId="0" borderId="3" applyAlignment="1" applyProtection="1" pivotButton="0" quotePrefix="0" xfId="1">
      <alignment horizontal="center"/>
      <protection locked="0" hidden="0"/>
    </xf>
    <xf numFmtId="43" fontId="3" fillId="6" borderId="1" applyAlignment="1" applyProtection="1" pivotButton="0" quotePrefix="0" xfId="1">
      <alignment horizontal="center"/>
      <protection locked="0" hidden="0"/>
    </xf>
    <xf numFmtId="43" fontId="3" fillId="6" borderId="2" applyAlignment="1" applyProtection="1" pivotButton="0" quotePrefix="0" xfId="1">
      <alignment horizontal="center"/>
      <protection locked="0" hidden="0"/>
    </xf>
    <xf numFmtId="43" fontId="3" fillId="6" borderId="3" applyAlignment="1" applyProtection="1" pivotButton="0" quotePrefix="0" xfId="1">
      <alignment horizontal="center"/>
      <protection locked="0" hidden="0"/>
    </xf>
    <xf numFmtId="43" fontId="3" fillId="6" borderId="1" applyAlignment="1" applyProtection="1" pivotButton="0" quotePrefix="0" xfId="1">
      <alignment horizontal="right"/>
      <protection locked="0" hidden="0"/>
    </xf>
    <xf numFmtId="43" fontId="3" fillId="6" borderId="2" applyAlignment="1" applyProtection="1" pivotButton="0" quotePrefix="0" xfId="1">
      <alignment horizontal="right"/>
      <protection locked="0" hidden="0"/>
    </xf>
    <xf numFmtId="43" fontId="3" fillId="6" borderId="3" applyAlignment="1" applyProtection="1" pivotButton="0" quotePrefix="0" xfId="1">
      <alignment horizontal="right"/>
      <protection locked="0" hidden="0"/>
    </xf>
    <xf numFmtId="43" fontId="3" fillId="0" borderId="1" applyAlignment="1" pivotButton="0" quotePrefix="0" xfId="1">
      <alignment horizontal="right"/>
    </xf>
    <xf numFmtId="43" fontId="3" fillId="0" borderId="2" applyAlignment="1" pivotButton="0" quotePrefix="0" xfId="1">
      <alignment horizontal="right"/>
    </xf>
    <xf numFmtId="43" fontId="3" fillId="0" borderId="72" applyAlignment="1" pivotButton="0" quotePrefix="0" xfId="1">
      <alignment horizontal="right"/>
    </xf>
    <xf numFmtId="43" fontId="3" fillId="0" borderId="1" applyAlignment="1" pivotButton="0" quotePrefix="0" xfId="1">
      <alignment horizontal="right"/>
    </xf>
    <xf numFmtId="43" fontId="3" fillId="0" borderId="2" applyAlignment="1" pivotButton="0" quotePrefix="0" xfId="1">
      <alignment horizontal="right"/>
    </xf>
    <xf numFmtId="43" fontId="3" fillId="0" borderId="72" applyAlignment="1" pivotButton="0" quotePrefix="0" xfId="1">
      <alignment horizontal="right"/>
    </xf>
    <xf numFmtId="43" fontId="3" fillId="6" borderId="5" applyAlignment="1" applyProtection="1" pivotButton="0" quotePrefix="0" xfId="1">
      <alignment horizontal="right"/>
      <protection locked="0" hidden="0"/>
    </xf>
    <xf numFmtId="43" fontId="3" fillId="0" borderId="4" applyAlignment="1" pivotButton="0" quotePrefix="0" xfId="1">
      <alignment horizontal="right"/>
    </xf>
    <xf numFmtId="43" fontId="3" fillId="0" borderId="0" applyAlignment="1" pivotButton="0" quotePrefix="0" xfId="1">
      <alignment horizontal="right"/>
    </xf>
    <xf numFmtId="43" fontId="3" fillId="0" borderId="49" applyAlignment="1" pivotButton="0" quotePrefix="0" xfId="1">
      <alignment horizontal="right"/>
    </xf>
    <xf numFmtId="43" fontId="3" fillId="11" borderId="4" applyAlignment="1" pivotButton="0" quotePrefix="0" xfId="1">
      <alignment horizontal="right"/>
    </xf>
    <xf numFmtId="43" fontId="3" fillId="11" borderId="0" applyAlignment="1" pivotButton="0" quotePrefix="0" xfId="1">
      <alignment horizontal="right"/>
    </xf>
    <xf numFmtId="43" fontId="3" fillId="11" borderId="49" applyAlignment="1" pivotButton="0" quotePrefix="0" xfId="1">
      <alignment horizontal="right"/>
    </xf>
    <xf numFmtId="43" fontId="3" fillId="0" borderId="4" applyAlignment="1" applyProtection="1" pivotButton="0" quotePrefix="0" xfId="1">
      <alignment horizontal="center"/>
      <protection locked="0" hidden="0"/>
    </xf>
    <xf numFmtId="43" fontId="3" fillId="0" borderId="0" applyAlignment="1" applyProtection="1" pivotButton="0" quotePrefix="0" xfId="1">
      <alignment horizontal="center"/>
      <protection locked="0" hidden="0"/>
    </xf>
    <xf numFmtId="43" fontId="3" fillId="0" borderId="5" applyAlignment="1" applyProtection="1" pivotButton="0" quotePrefix="0" xfId="1">
      <alignment horizontal="center"/>
      <protection locked="0" hidden="0"/>
    </xf>
    <xf numFmtId="43" fontId="3" fillId="0" borderId="4" applyAlignment="1" pivotButton="0" quotePrefix="0" xfId="1">
      <alignment horizontal="right"/>
    </xf>
    <xf numFmtId="43" fontId="3" fillId="0" borderId="0" applyAlignment="1" pivotButton="0" quotePrefix="0" xfId="1">
      <alignment horizontal="right"/>
    </xf>
    <xf numFmtId="43" fontId="3" fillId="0" borderId="49" applyAlignment="1" pivotButton="0" quotePrefix="0" xfId="1">
      <alignment horizontal="right"/>
    </xf>
    <xf numFmtId="0" fontId="3" fillId="0" borderId="71" applyAlignment="1" pivotButton="0" quotePrefix="0" xfId="0">
      <alignment horizontal="left"/>
    </xf>
    <xf numFmtId="0" fontId="3" fillId="0" borderId="44" applyAlignment="1" applyProtection="1" pivotButton="0" quotePrefix="0" xfId="0">
      <alignment horizontal="left"/>
      <protection locked="0" hidden="0"/>
    </xf>
    <xf numFmtId="0" fontId="3" fillId="0" borderId="0" applyAlignment="1" applyProtection="1" pivotButton="0" quotePrefix="0" xfId="0">
      <alignment horizontal="left"/>
      <protection locked="0" hidden="0"/>
    </xf>
    <xf numFmtId="0" fontId="3" fillId="0" borderId="5" applyAlignment="1" applyProtection="1" pivotButton="0" quotePrefix="0" xfId="0">
      <alignment horizontal="left"/>
      <protection locked="0" hidden="0"/>
    </xf>
    <xf numFmtId="43" fontId="3" fillId="11" borderId="4" applyAlignment="1" applyProtection="1" pivotButton="0" quotePrefix="0" xfId="1">
      <alignment horizontal="right"/>
      <protection locked="0" hidden="0"/>
    </xf>
    <xf numFmtId="43" fontId="3" fillId="11" borderId="0" applyAlignment="1" applyProtection="1" pivotButton="0" quotePrefix="0" xfId="1">
      <alignment horizontal="right"/>
      <protection locked="0" hidden="0"/>
    </xf>
    <xf numFmtId="43" fontId="3" fillId="11" borderId="5" applyAlignment="1" applyProtection="1" pivotButton="0" quotePrefix="0" xfId="1">
      <alignment horizontal="right"/>
      <protection locked="0" hidden="0"/>
    </xf>
    <xf numFmtId="176" fontId="3" fillId="11" borderId="4" applyAlignment="1" applyProtection="1" pivotButton="0" quotePrefix="0" xfId="1">
      <alignment horizontal="right"/>
      <protection locked="0" hidden="0"/>
    </xf>
    <xf numFmtId="176" fontId="3" fillId="11" borderId="0" applyAlignment="1" applyProtection="1" pivotButton="0" quotePrefix="0" xfId="1">
      <alignment horizontal="right"/>
      <protection locked="0" hidden="0"/>
    </xf>
    <xf numFmtId="176" fontId="3" fillId="11" borderId="5" applyAlignment="1" applyProtection="1" pivotButton="0" quotePrefix="0" xfId="1">
      <alignment horizontal="right"/>
      <protection locked="0" hidden="0"/>
    </xf>
    <xf numFmtId="43" fontId="3" fillId="0" borderId="4" applyAlignment="1" applyProtection="1" pivotButton="0" quotePrefix="0" xfId="1">
      <alignment horizontal="right"/>
      <protection locked="0" hidden="0"/>
    </xf>
    <xf numFmtId="43" fontId="3" fillId="0" borderId="0" applyAlignment="1" applyProtection="1" pivotButton="0" quotePrefix="0" xfId="1">
      <alignment horizontal="right"/>
      <protection locked="0" hidden="0"/>
    </xf>
    <xf numFmtId="43" fontId="3" fillId="0" borderId="5" applyAlignment="1" applyProtection="1" pivotButton="0" quotePrefix="0" xfId="1">
      <alignment horizontal="right"/>
      <protection locked="0" hidden="0"/>
    </xf>
    <xf numFmtId="176" fontId="3" fillId="0" borderId="4" applyAlignment="1" applyProtection="1" pivotButton="0" quotePrefix="0" xfId="1">
      <alignment horizontal="right"/>
      <protection locked="0" hidden="0"/>
    </xf>
    <xf numFmtId="176" fontId="3" fillId="0" borderId="0" applyAlignment="1" applyProtection="1" pivotButton="0" quotePrefix="0" xfId="1">
      <alignment horizontal="right"/>
      <protection locked="0" hidden="0"/>
    </xf>
    <xf numFmtId="176" fontId="3" fillId="0" borderId="5" applyAlignment="1" applyProtection="1" pivotButton="0" quotePrefix="0" xfId="1">
      <alignment horizontal="right"/>
      <protection locked="0" hidden="0"/>
    </xf>
    <xf numFmtId="43" fontId="3" fillId="11" borderId="4" applyAlignment="1" pivotButton="0" quotePrefix="0" xfId="1">
      <alignment horizontal="center"/>
    </xf>
    <xf numFmtId="43" fontId="3" fillId="11" borderId="0" applyAlignment="1" pivotButton="0" quotePrefix="0" xfId="1">
      <alignment horizontal="center"/>
    </xf>
    <xf numFmtId="43" fontId="3" fillId="11" borderId="5" applyAlignment="1" pivotButton="0" quotePrefix="0" xfId="1">
      <alignment horizontal="center"/>
    </xf>
    <xf numFmtId="43" fontId="3" fillId="0" borderId="4" applyAlignment="1" pivotButton="0" quotePrefix="0" xfId="1">
      <alignment horizontal="center"/>
    </xf>
    <xf numFmtId="43" fontId="3" fillId="0" borderId="0" applyAlignment="1" pivotButton="0" quotePrefix="0" xfId="1">
      <alignment horizontal="center"/>
    </xf>
    <xf numFmtId="43" fontId="3" fillId="0" borderId="5" applyAlignment="1" pivotButton="0" quotePrefix="0" xfId="1">
      <alignment horizontal="center"/>
    </xf>
    <xf numFmtId="176" fontId="3" fillId="6" borderId="4" applyAlignment="1" applyProtection="1" pivotButton="0" quotePrefix="0" xfId="1">
      <alignment horizontal="right"/>
      <protection locked="0" hidden="0"/>
    </xf>
    <xf numFmtId="176" fontId="3" fillId="6" borderId="0" applyAlignment="1" applyProtection="1" pivotButton="0" quotePrefix="0" xfId="1">
      <alignment horizontal="right"/>
      <protection locked="0" hidden="0"/>
    </xf>
    <xf numFmtId="176" fontId="3" fillId="6" borderId="5" applyAlignment="1" applyProtection="1" pivotButton="0" quotePrefix="0" xfId="1">
      <alignment horizontal="right"/>
      <protection locked="0" hidden="0"/>
    </xf>
    <xf numFmtId="0" fontId="3" fillId="0" borderId="69"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0" borderId="9" applyAlignment="1" applyProtection="1" pivotButton="0" quotePrefix="0" xfId="0">
      <alignment horizontal="center"/>
      <protection locked="0" hidden="0"/>
    </xf>
    <xf numFmtId="43" fontId="3" fillId="0" borderId="7" applyAlignment="1" applyProtection="1" pivotButton="0" quotePrefix="0" xfId="1">
      <alignment horizontal="center"/>
      <protection locked="0" hidden="0"/>
    </xf>
    <xf numFmtId="43" fontId="3" fillId="0" borderId="8" applyAlignment="1" applyProtection="1" pivotButton="0" quotePrefix="0" xfId="1">
      <alignment horizontal="center"/>
      <protection locked="0" hidden="0"/>
    </xf>
    <xf numFmtId="43" fontId="3" fillId="0" borderId="9" applyAlignment="1" applyProtection="1" pivotButton="0" quotePrefix="0" xfId="1">
      <alignment horizontal="center"/>
      <protection locked="0" hidden="0"/>
    </xf>
    <xf numFmtId="43" fontId="3" fillId="0" borderId="7" applyAlignment="1" applyProtection="1" pivotButton="0" quotePrefix="0" xfId="1">
      <alignment horizontal="right"/>
      <protection locked="0" hidden="0"/>
    </xf>
    <xf numFmtId="43" fontId="3" fillId="0" borderId="8" applyAlignment="1" applyProtection="1" pivotButton="0" quotePrefix="0" xfId="1">
      <alignment horizontal="right"/>
      <protection locked="0" hidden="0"/>
    </xf>
    <xf numFmtId="43" fontId="3" fillId="0" borderId="9" applyAlignment="1" applyProtection="1" pivotButton="0" quotePrefix="0" xfId="1">
      <alignment horizontal="right"/>
      <protection locked="0" hidden="0"/>
    </xf>
    <xf numFmtId="176" fontId="3" fillId="0" borderId="7" applyAlignment="1" applyProtection="1" pivotButton="0" quotePrefix="0" xfId="1">
      <alignment horizontal="right"/>
      <protection locked="0" hidden="0"/>
    </xf>
    <xf numFmtId="176" fontId="3" fillId="0" borderId="8" applyAlignment="1" applyProtection="1" pivotButton="0" quotePrefix="0" xfId="1">
      <alignment horizontal="right"/>
      <protection locked="0" hidden="0"/>
    </xf>
    <xf numFmtId="176" fontId="3" fillId="0" borderId="9" applyAlignment="1" applyProtection="1" pivotButton="0" quotePrefix="0" xfId="1">
      <alignment horizontal="right"/>
      <protection locked="0" hidden="0"/>
    </xf>
    <xf numFmtId="43" fontId="3" fillId="0" borderId="7" applyAlignment="1" pivotButton="0" quotePrefix="0" xfId="1">
      <alignment horizontal="right"/>
    </xf>
    <xf numFmtId="43" fontId="3" fillId="0" borderId="8" applyAlignment="1" pivotButton="0" quotePrefix="0" xfId="1">
      <alignment horizontal="right"/>
    </xf>
    <xf numFmtId="43" fontId="3" fillId="0" borderId="70" applyAlignment="1" pivotButton="0" quotePrefix="0" xfId="1">
      <alignment horizontal="right"/>
    </xf>
    <xf numFmtId="0" fontId="3" fillId="17" borderId="0" applyAlignment="1" applyProtection="1" pivotButton="0" quotePrefix="0" xfId="0">
      <alignment horizontal="center"/>
      <protection locked="0" hidden="0"/>
    </xf>
    <xf numFmtId="0" fontId="8" fillId="0" borderId="33" applyAlignment="1" pivotButton="0" quotePrefix="0" xfId="0">
      <alignment horizontal="left"/>
    </xf>
    <xf numFmtId="43" fontId="35" fillId="0" borderId="33" applyAlignment="1" pivotButton="0" quotePrefix="0" xfId="1">
      <alignment horizontal="center"/>
    </xf>
    <xf numFmtId="43" fontId="35" fillId="0" borderId="34" applyAlignment="1" pivotButton="0" quotePrefix="0" xfId="1">
      <alignment horizontal="center"/>
    </xf>
    <xf numFmtId="43" fontId="35" fillId="0" borderId="33" applyAlignment="1" pivotButton="0" quotePrefix="0" xfId="1">
      <alignment horizontal="center"/>
    </xf>
    <xf numFmtId="43" fontId="35" fillId="0" borderId="34" applyAlignment="1" pivotButton="0" quotePrefix="0" xfId="1">
      <alignment horizontal="center"/>
    </xf>
    <xf numFmtId="0" fontId="3" fillId="17" borderId="0" applyAlignment="1" applyProtection="1" pivotButton="0" quotePrefix="0" xfId="0">
      <alignment horizontal="left"/>
      <protection locked="0" hidden="0"/>
    </xf>
    <xf numFmtId="0" fontId="3" fillId="0" borderId="69" applyAlignment="1" pivotButton="0" quotePrefix="0" xfId="0">
      <alignment horizontal="center"/>
    </xf>
    <xf numFmtId="0" fontId="3" fillId="0" borderId="9" applyAlignment="1" pivotButton="0" quotePrefix="0" xfId="0">
      <alignment horizontal="center"/>
    </xf>
    <xf numFmtId="43" fontId="3" fillId="0" borderId="7" applyAlignment="1" pivotButton="0" quotePrefix="0" xfId="1">
      <alignment horizontal="center"/>
    </xf>
    <xf numFmtId="43" fontId="3" fillId="0" borderId="8" applyAlignment="1" pivotButton="0" quotePrefix="0" xfId="1">
      <alignment horizontal="center"/>
    </xf>
    <xf numFmtId="43" fontId="3" fillId="0" borderId="9" applyAlignment="1" pivotButton="0" quotePrefix="0" xfId="1">
      <alignment horizontal="center"/>
    </xf>
    <xf numFmtId="43" fontId="3" fillId="0" borderId="7" applyAlignment="1" pivotButton="0" quotePrefix="0" xfId="1">
      <alignment horizontal="right"/>
    </xf>
    <xf numFmtId="43" fontId="3" fillId="0" borderId="8" applyAlignment="1" pivotButton="0" quotePrefix="0" xfId="1">
      <alignment horizontal="right"/>
    </xf>
    <xf numFmtId="43" fontId="3" fillId="0" borderId="70" applyAlignment="1" pivotButton="0" quotePrefix="0" xfId="1">
      <alignment horizontal="right"/>
    </xf>
    <xf numFmtId="0" fontId="34" fillId="15" borderId="25" applyAlignment="1" pivotButton="0" quotePrefix="0" xfId="0">
      <alignment horizontal="center"/>
    </xf>
    <xf numFmtId="0" fontId="34" fillId="15" borderId="26" applyAlignment="1" pivotButton="0" quotePrefix="0" xfId="0">
      <alignment horizontal="center"/>
    </xf>
    <xf numFmtId="0" fontId="34" fillId="15" borderId="27" applyAlignment="1" pivotButton="0" quotePrefix="0" xfId="0">
      <alignment horizontal="center"/>
    </xf>
    <xf numFmtId="43" fontId="3" fillId="17" borderId="1" applyAlignment="1" applyProtection="1" pivotButton="0" quotePrefix="0" xfId="1">
      <alignment horizontal="center"/>
      <protection locked="0" hidden="0"/>
    </xf>
    <xf numFmtId="43" fontId="3" fillId="17" borderId="2" applyAlignment="1" applyProtection="1" pivotButton="0" quotePrefix="0" xfId="1">
      <alignment horizontal="center"/>
      <protection locked="0" hidden="0"/>
    </xf>
    <xf numFmtId="43" fontId="3" fillId="17" borderId="3" applyAlignment="1" applyProtection="1" pivotButton="0" quotePrefix="0" xfId="1">
      <alignment horizontal="center"/>
      <protection locked="0" hidden="0"/>
    </xf>
    <xf numFmtId="175" fontId="3" fillId="17" borderId="1" applyAlignment="1" applyProtection="1" pivotButton="0" quotePrefix="0" xfId="1">
      <alignment horizontal="right"/>
      <protection locked="0" hidden="0"/>
    </xf>
    <xf numFmtId="175" fontId="3" fillId="17" borderId="2" applyAlignment="1" applyProtection="1" pivotButton="0" quotePrefix="0" xfId="1">
      <alignment horizontal="right"/>
      <protection locked="0" hidden="0"/>
    </xf>
    <xf numFmtId="175" fontId="3" fillId="17" borderId="3" applyAlignment="1" applyProtection="1" pivotButton="0" quotePrefix="0" xfId="1">
      <alignment horizontal="right"/>
      <protection locked="0" hidden="0"/>
    </xf>
    <xf numFmtId="43" fontId="3" fillId="0" borderId="1" applyAlignment="1" applyProtection="1" pivotButton="0" quotePrefix="0" xfId="1">
      <alignment horizontal="right"/>
      <protection locked="0" hidden="0"/>
    </xf>
    <xf numFmtId="43" fontId="3" fillId="0" borderId="2" applyAlignment="1" applyProtection="1" pivotButton="0" quotePrefix="0" xfId="1">
      <alignment horizontal="right"/>
      <protection locked="0" hidden="0"/>
    </xf>
    <xf numFmtId="43" fontId="3" fillId="0" borderId="72" applyAlignment="1" applyProtection="1" pivotButton="0" quotePrefix="0" xfId="1">
      <alignment horizontal="right"/>
      <protection locked="0" hidden="0"/>
    </xf>
    <xf numFmtId="43" fontId="3" fillId="17" borderId="4" applyAlignment="1" applyProtection="1" pivotButton="0" quotePrefix="0" xfId="1">
      <alignment horizontal="center"/>
      <protection locked="0" hidden="0"/>
    </xf>
    <xf numFmtId="43" fontId="3" fillId="17" borderId="0" applyAlignment="1" applyProtection="1" pivotButton="0" quotePrefix="0" xfId="1">
      <alignment horizontal="center"/>
      <protection locked="0" hidden="0"/>
    </xf>
    <xf numFmtId="43" fontId="3" fillId="17" borderId="5" applyAlignment="1" applyProtection="1" pivotButton="0" quotePrefix="0" xfId="1">
      <alignment horizontal="center"/>
      <protection locked="0" hidden="0"/>
    </xf>
    <xf numFmtId="175" fontId="3" fillId="11" borderId="4" applyAlignment="1" applyProtection="1" pivotButton="0" quotePrefix="0" xfId="1">
      <alignment horizontal="right"/>
      <protection locked="0" hidden="0"/>
    </xf>
    <xf numFmtId="175" fontId="3" fillId="11" borderId="0" applyAlignment="1" applyProtection="1" pivotButton="0" quotePrefix="0" xfId="1">
      <alignment horizontal="right"/>
      <protection locked="0" hidden="0"/>
    </xf>
    <xf numFmtId="175" fontId="3" fillId="11" borderId="5" applyAlignment="1" applyProtection="1" pivotButton="0" quotePrefix="0" xfId="1">
      <alignment horizontal="right"/>
      <protection locked="0" hidden="0"/>
    </xf>
    <xf numFmtId="43" fontId="3" fillId="17" borderId="4" applyAlignment="1" pivotButton="0" quotePrefix="0" xfId="1">
      <alignment horizontal="center"/>
    </xf>
    <xf numFmtId="43" fontId="3" fillId="17" borderId="0" applyAlignment="1" pivotButton="0" quotePrefix="0" xfId="1">
      <alignment horizontal="center"/>
    </xf>
    <xf numFmtId="43" fontId="3" fillId="17" borderId="5" applyAlignment="1" pivotButton="0" quotePrefix="0" xfId="1">
      <alignment horizontal="center"/>
    </xf>
    <xf numFmtId="43" fontId="3" fillId="17" borderId="1" applyAlignment="1" pivotButton="0" quotePrefix="0" xfId="1">
      <alignment horizontal="center"/>
    </xf>
    <xf numFmtId="43" fontId="3" fillId="17" borderId="2" applyAlignment="1" pivotButton="0" quotePrefix="0" xfId="1">
      <alignment horizontal="center"/>
    </xf>
    <xf numFmtId="43" fontId="3" fillId="17" borderId="3" applyAlignment="1" pivotButton="0" quotePrefix="0" xfId="1">
      <alignment horizontal="center"/>
    </xf>
    <xf numFmtId="175" fontId="3" fillId="17" borderId="4" applyAlignment="1" applyProtection="1" pivotButton="0" quotePrefix="0" xfId="1">
      <alignment horizontal="right"/>
      <protection locked="0" hidden="0"/>
    </xf>
    <xf numFmtId="175" fontId="3" fillId="17" borderId="0" applyAlignment="1" applyProtection="1" pivotButton="0" quotePrefix="0" xfId="1">
      <alignment horizontal="right"/>
      <protection locked="0" hidden="0"/>
    </xf>
    <xf numFmtId="175" fontId="3" fillId="17" borderId="5" applyAlignment="1" applyProtection="1" pivotButton="0" quotePrefix="0" xfId="1">
      <alignment horizontal="right"/>
      <protection locked="0" hidden="0"/>
    </xf>
    <xf numFmtId="43" fontId="3" fillId="11" borderId="49" applyAlignment="1" applyProtection="1" pivotButton="0" quotePrefix="0" xfId="1">
      <alignment horizontal="right"/>
      <protection locked="0" hidden="0"/>
    </xf>
    <xf numFmtId="43" fontId="3" fillId="0" borderId="49" applyAlignment="1" applyProtection="1" pivotButton="0" quotePrefix="0" xfId="1">
      <alignment horizontal="right"/>
      <protection locked="0" hidden="0"/>
    </xf>
    <xf numFmtId="43" fontId="3" fillId="0" borderId="7" applyAlignment="1" applyProtection="1" pivotButton="0" quotePrefix="0" xfId="1">
      <alignment horizontal="center"/>
      <protection locked="0" hidden="0"/>
    </xf>
    <xf numFmtId="43" fontId="3" fillId="0" borderId="8" applyAlignment="1" applyProtection="1" pivotButton="0" quotePrefix="0" xfId="1">
      <alignment horizontal="center"/>
      <protection locked="0" hidden="0"/>
    </xf>
    <xf numFmtId="43" fontId="3" fillId="0" borderId="9" applyAlignment="1" applyProtection="1" pivotButton="0" quotePrefix="0" xfId="1">
      <alignment horizontal="center"/>
      <protection locked="0" hidden="0"/>
    </xf>
    <xf numFmtId="43" fontId="3" fillId="0" borderId="7" applyAlignment="1" applyProtection="1" pivotButton="0" quotePrefix="0" xfId="1">
      <alignment horizontal="right"/>
      <protection locked="0" hidden="0"/>
    </xf>
    <xf numFmtId="43" fontId="3" fillId="0" borderId="8" applyAlignment="1" applyProtection="1" pivotButton="0" quotePrefix="0" xfId="1">
      <alignment horizontal="right"/>
      <protection locked="0" hidden="0"/>
    </xf>
    <xf numFmtId="43" fontId="3" fillId="0" borderId="9" applyAlignment="1" applyProtection="1" pivotButton="0" quotePrefix="0" xfId="1">
      <alignment horizontal="right"/>
      <protection locked="0" hidden="0"/>
    </xf>
    <xf numFmtId="175" fontId="3" fillId="17" borderId="7" applyAlignment="1" applyProtection="1" pivotButton="0" quotePrefix="0" xfId="1">
      <alignment horizontal="right"/>
      <protection locked="0" hidden="0"/>
    </xf>
    <xf numFmtId="175" fontId="3" fillId="17" borderId="8" applyAlignment="1" applyProtection="1" pivotButton="0" quotePrefix="0" xfId="1">
      <alignment horizontal="right"/>
      <protection locked="0" hidden="0"/>
    </xf>
    <xf numFmtId="175" fontId="3" fillId="17" borderId="9" applyAlignment="1" applyProtection="1" pivotButton="0" quotePrefix="0" xfId="1">
      <alignment horizontal="right"/>
      <protection locked="0" hidden="0"/>
    </xf>
    <xf numFmtId="43" fontId="3" fillId="0" borderId="70" applyAlignment="1" applyProtection="1" pivotButton="0" quotePrefix="0" xfId="1">
      <alignment horizontal="right"/>
      <protection locked="0" hidden="0"/>
    </xf>
    <xf numFmtId="43" fontId="3" fillId="0" borderId="33" applyAlignment="1" pivotButton="0" quotePrefix="0" xfId="1">
      <alignment horizontal="center"/>
    </xf>
    <xf numFmtId="43" fontId="3" fillId="0" borderId="34" applyAlignment="1" pivotButton="0" quotePrefix="0" xfId="1">
      <alignment horizontal="center"/>
    </xf>
    <xf numFmtId="43" fontId="3" fillId="0" borderId="7" applyAlignment="1" pivotButton="0" quotePrefix="0" xfId="1">
      <alignment horizontal="center"/>
    </xf>
    <xf numFmtId="43" fontId="3" fillId="0" borderId="8" applyAlignment="1" pivotButton="0" quotePrefix="0" xfId="1">
      <alignment horizontal="center"/>
    </xf>
    <xf numFmtId="43" fontId="3" fillId="0" borderId="9" applyAlignment="1" pivotButton="0" quotePrefix="0" xfId="1">
      <alignment horizontal="center"/>
    </xf>
    <xf numFmtId="0" fontId="3" fillId="0" borderId="1" applyAlignment="1" pivotButton="0" quotePrefix="0" xfId="0">
      <alignment horizontal="center" vertical="center"/>
    </xf>
    <xf numFmtId="0" fontId="3" fillId="0" borderId="2" applyAlignment="1" pivotButton="0" quotePrefix="0" xfId="0">
      <alignment horizontal="center" vertical="center"/>
    </xf>
    <xf numFmtId="0" fontId="3" fillId="0" borderId="3" applyAlignment="1" pivotButton="0" quotePrefix="0" xfId="0">
      <alignment horizontal="center" vertical="center"/>
    </xf>
    <xf numFmtId="0" fontId="3" fillId="0" borderId="1" applyAlignment="1" pivotButton="0" quotePrefix="0" xfId="0">
      <alignment horizontal="center"/>
    </xf>
    <xf numFmtId="0" fontId="3" fillId="0" borderId="3" applyAlignment="1" pivotButton="0" quotePrefix="0" xfId="0">
      <alignment horizontal="center"/>
    </xf>
    <xf numFmtId="43" fontId="10" fillId="0" borderId="7" applyAlignment="1" pivotButton="0" quotePrefix="0" xfId="1">
      <alignment horizontal="right"/>
    </xf>
    <xf numFmtId="43" fontId="10" fillId="0" borderId="8" applyAlignment="1" pivotButton="0" quotePrefix="0" xfId="1">
      <alignment horizontal="right"/>
    </xf>
    <xf numFmtId="0" fontId="3" fillId="0" borderId="5" applyAlignment="1" pivotButton="0" quotePrefix="0" xfId="0">
      <alignment horizontal="center"/>
    </xf>
    <xf numFmtId="43" fontId="1" fillId="0" borderId="10" applyAlignment="1" pivotButton="0" quotePrefix="0" xfId="1">
      <alignment horizontal="right"/>
    </xf>
    <xf numFmtId="43" fontId="0" fillId="0" borderId="11" applyAlignment="1" pivotButton="0" quotePrefix="0" xfId="1">
      <alignment horizontal="right"/>
    </xf>
    <xf numFmtId="0" fontId="8" fillId="0" borderId="5" applyAlignment="1" pivotButton="0" quotePrefix="0" xfId="0">
      <alignment horizontal="right"/>
    </xf>
    <xf numFmtId="0" fontId="3" fillId="0" borderId="7" applyAlignment="1" pivotButton="0" quotePrefix="0" xfId="0">
      <alignment horizontal="center"/>
    </xf>
    <xf numFmtId="0" fontId="3" fillId="0" borderId="4" applyAlignment="1" pivotButton="0" quotePrefix="1" xfId="0">
      <alignment horizontal="center"/>
    </xf>
    <xf numFmtId="0" fontId="3" fillId="0" borderId="5" applyAlignment="1" pivotButton="0" quotePrefix="1" xfId="0">
      <alignment horizontal="center"/>
    </xf>
    <xf numFmtId="0" fontId="3" fillId="2" borderId="8" applyAlignment="1" pivotButton="0" quotePrefix="0" xfId="0">
      <alignment horizontal="center"/>
    </xf>
    <xf numFmtId="0" fontId="8" fillId="0" borderId="14" applyAlignment="1" pivotButton="0" quotePrefix="0" xfId="0">
      <alignment horizontal="center"/>
    </xf>
    <xf numFmtId="0" fontId="8" fillId="0" borderId="15" applyAlignment="1" pivotButton="0" quotePrefix="0" xfId="0">
      <alignment horizontal="center"/>
    </xf>
    <xf numFmtId="0" fontId="8" fillId="0" borderId="1" applyAlignment="1" pivotButton="0" quotePrefix="1" xfId="0">
      <alignment horizontal="left"/>
    </xf>
    <xf numFmtId="0" fontId="3" fillId="0" borderId="14" applyAlignment="1" pivotButton="0" quotePrefix="0" xfId="0">
      <alignment horizontal="center"/>
    </xf>
    <xf numFmtId="0" fontId="3" fillId="0" borderId="15" applyAlignment="1" pivotButton="0" quotePrefix="0" xfId="0">
      <alignment horizontal="center"/>
    </xf>
    <xf numFmtId="0" fontId="3" fillId="2" borderId="0" applyAlignment="1" pivotButton="0" quotePrefix="0" xfId="0">
      <alignment horizontal="left"/>
    </xf>
    <xf numFmtId="0" fontId="3" fillId="2" borderId="8" applyAlignment="1" pivotButton="0" quotePrefix="0" xfId="0">
      <alignment horizontal="left"/>
    </xf>
    <xf numFmtId="20" fontId="10" fillId="2" borderId="8" applyAlignment="1" pivotButton="0" quotePrefix="0" xfId="0">
      <alignment horizontal="left"/>
    </xf>
    <xf numFmtId="0" fontId="10" fillId="2" borderId="8" applyAlignment="1" pivotButton="0" quotePrefix="0" xfId="0">
      <alignment horizontal="left"/>
    </xf>
    <xf numFmtId="14" fontId="10" fillId="2" borderId="8" applyAlignment="1" pivotButton="0" quotePrefix="1" xfId="0">
      <alignment horizontal="left"/>
    </xf>
    <xf numFmtId="171" fontId="8" fillId="2" borderId="8" applyAlignment="1" pivotButton="0" quotePrefix="0" xfId="0">
      <alignment horizontal="center"/>
    </xf>
    <xf numFmtId="0" fontId="3" fillId="0" borderId="8" applyAlignment="1" pivotButton="0" quotePrefix="1" xfId="0">
      <alignment horizontal="left"/>
    </xf>
    <xf numFmtId="0" fontId="3" fillId="0" borderId="9" applyAlignment="1" pivotButton="0" quotePrefix="1" xfId="0">
      <alignment horizontal="left"/>
    </xf>
    <xf numFmtId="0" fontId="3" fillId="0" borderId="2" applyAlignment="1" pivotButton="0" quotePrefix="1" xfId="0">
      <alignment horizontal="center"/>
    </xf>
    <xf numFmtId="0" fontId="8" fillId="0" borderId="1" applyAlignment="1" pivotButton="0" quotePrefix="1" xfId="0">
      <alignment horizontal="center" vertical="center"/>
    </xf>
    <xf numFmtId="0" fontId="8" fillId="0" borderId="2" applyAlignment="1" pivotButton="0" quotePrefix="1" xfId="0">
      <alignment horizontal="center" vertical="center"/>
    </xf>
    <xf numFmtId="0" fontId="8" fillId="0" borderId="3" applyAlignment="1" pivotButton="0" quotePrefix="1" xfId="0">
      <alignment horizontal="center" vertical="center"/>
    </xf>
    <xf numFmtId="0" fontId="8" fillId="0" borderId="4" applyAlignment="1" pivotButton="0" quotePrefix="0" xfId="0">
      <alignment horizontal="center" vertical="center"/>
    </xf>
    <xf numFmtId="0" fontId="8" fillId="0" borderId="0" applyAlignment="1" pivotButton="0" quotePrefix="1" xfId="0">
      <alignment horizontal="center" vertical="center"/>
    </xf>
    <xf numFmtId="0" fontId="8" fillId="0" borderId="5" applyAlignment="1" pivotButton="0" quotePrefix="1" xfId="0">
      <alignment horizontal="center" vertical="center"/>
    </xf>
    <xf numFmtId="0" fontId="8" fillId="0" borderId="4" applyAlignment="1" pivotButton="0" quotePrefix="1" xfId="0">
      <alignment horizontal="center" vertical="center"/>
    </xf>
    <xf numFmtId="43" fontId="0" fillId="0" borderId="1" applyAlignment="1" pivotButton="0" quotePrefix="0" xfId="1">
      <alignment horizontal="center"/>
    </xf>
    <xf numFmtId="43" fontId="0" fillId="0" borderId="2" applyAlignment="1" pivotButton="0" quotePrefix="0" xfId="1">
      <alignment horizontal="center"/>
    </xf>
    <xf numFmtId="43" fontId="0" fillId="0" borderId="3" applyAlignment="1" pivotButton="0" quotePrefix="0" xfId="1">
      <alignment horizontal="center"/>
    </xf>
    <xf numFmtId="43" fontId="8" fillId="0" borderId="1" applyAlignment="1" pivotButton="0" quotePrefix="0" xfId="1">
      <alignment horizontal="right"/>
    </xf>
    <xf numFmtId="43" fontId="8" fillId="0" borderId="2" applyAlignment="1" pivotButton="0" quotePrefix="0" xfId="1">
      <alignment horizontal="right"/>
    </xf>
    <xf numFmtId="43" fontId="8" fillId="0" borderId="3" applyAlignment="1" pivotButton="0" quotePrefix="0" xfId="1">
      <alignment horizontal="right"/>
    </xf>
    <xf numFmtId="176" fontId="8" fillId="0" borderId="1" applyAlignment="1" pivotButton="0" quotePrefix="0" xfId="1">
      <alignment horizontal="right"/>
    </xf>
    <xf numFmtId="176" fontId="8" fillId="0" borderId="2" applyAlignment="1" pivotButton="0" quotePrefix="0" xfId="1">
      <alignment horizontal="right"/>
    </xf>
    <xf numFmtId="176" fontId="8" fillId="0" borderId="3" applyAlignment="1" pivotButton="0" quotePrefix="0" xfId="1">
      <alignment horizontal="right"/>
    </xf>
    <xf numFmtId="0" fontId="3" fillId="0" borderId="8" applyAlignment="1" pivotButton="0" quotePrefix="0" xfId="0">
      <alignment horizontal="left"/>
    </xf>
    <xf numFmtId="0" fontId="3" fillId="0" borderId="9" applyAlignment="1" pivotButton="0" quotePrefix="0" xfId="0">
      <alignment horizontal="left"/>
    </xf>
    <xf numFmtId="0" fontId="8" fillId="0" borderId="7" applyAlignment="1" pivotButton="0" quotePrefix="1" xfId="0">
      <alignment horizontal="center" vertical="center"/>
    </xf>
    <xf numFmtId="0" fontId="8" fillId="0" borderId="8" applyAlignment="1" pivotButton="0" quotePrefix="1" xfId="0">
      <alignment horizontal="center" vertical="center"/>
    </xf>
    <xf numFmtId="0" fontId="8" fillId="0" borderId="9" applyAlignment="1" pivotButton="0" quotePrefix="1" xfId="0">
      <alignment horizontal="center" vertical="center"/>
    </xf>
    <xf numFmtId="43" fontId="8" fillId="0" borderId="4" applyAlignment="1" pivotButton="0" quotePrefix="0" xfId="1">
      <alignment horizontal="right"/>
    </xf>
    <xf numFmtId="43" fontId="8" fillId="0" borderId="0" applyAlignment="1" pivotButton="0" quotePrefix="0" xfId="1">
      <alignment horizontal="right"/>
    </xf>
    <xf numFmtId="43" fontId="8" fillId="0" borderId="5" applyAlignment="1" pivotButton="0" quotePrefix="0" xfId="1">
      <alignment horizontal="right"/>
    </xf>
    <xf numFmtId="43" fontId="0" fillId="0" borderId="4" applyAlignment="1" pivotButton="0" quotePrefix="0" xfId="1">
      <alignment horizontal="center"/>
    </xf>
    <xf numFmtId="43" fontId="0" fillId="0" borderId="0" applyAlignment="1" pivotButton="0" quotePrefix="0" xfId="1">
      <alignment horizontal="center"/>
    </xf>
    <xf numFmtId="43" fontId="0" fillId="0" borderId="5" applyAlignment="1" pivotButton="0" quotePrefix="0" xfId="1">
      <alignment horizontal="center"/>
    </xf>
    <xf numFmtId="176" fontId="8" fillId="0" borderId="4" applyAlignment="1" pivotButton="0" quotePrefix="0" xfId="1">
      <alignment horizontal="right"/>
    </xf>
    <xf numFmtId="176" fontId="8" fillId="0" borderId="0" applyAlignment="1" pivotButton="0" quotePrefix="0" xfId="1">
      <alignment horizontal="right"/>
    </xf>
    <xf numFmtId="176" fontId="8" fillId="0" borderId="5" applyAlignment="1" pivotButton="0" quotePrefix="0" xfId="1">
      <alignment horizontal="right"/>
    </xf>
    <xf numFmtId="43" fontId="0" fillId="0" borderId="7" applyAlignment="1" pivotButton="0" quotePrefix="0" xfId="1">
      <alignment horizontal="center"/>
    </xf>
    <xf numFmtId="43" fontId="0" fillId="0" borderId="8" applyAlignment="1" pivotButton="0" quotePrefix="0" xfId="1">
      <alignment horizontal="center"/>
    </xf>
    <xf numFmtId="43" fontId="0" fillId="0" borderId="9" applyAlignment="1" pivotButton="0" quotePrefix="0" xfId="1">
      <alignment horizontal="center"/>
    </xf>
    <xf numFmtId="43" fontId="8" fillId="0" borderId="7" applyAlignment="1" pivotButton="0" quotePrefix="0" xfId="1">
      <alignment horizontal="right"/>
    </xf>
    <xf numFmtId="43" fontId="8" fillId="0" borderId="8" applyAlignment="1" pivotButton="0" quotePrefix="0" xfId="1">
      <alignment horizontal="right"/>
    </xf>
    <xf numFmtId="43" fontId="8" fillId="0" borderId="9" applyAlignment="1" pivotButton="0" quotePrefix="0" xfId="1">
      <alignment horizontal="right"/>
    </xf>
    <xf numFmtId="176" fontId="8" fillId="0" borderId="7" applyAlignment="1" pivotButton="0" quotePrefix="0" xfId="1">
      <alignment horizontal="right"/>
    </xf>
    <xf numFmtId="176" fontId="8" fillId="0" borderId="8" applyAlignment="1" pivotButton="0" quotePrefix="0" xfId="1">
      <alignment horizontal="right"/>
    </xf>
    <xf numFmtId="176" fontId="8" fillId="0" borderId="9" applyAlignment="1" pivotButton="0" quotePrefix="0" xfId="1">
      <alignment horizontal="right"/>
    </xf>
    <xf numFmtId="43" fontId="6" fillId="0" borderId="11" applyAlignment="1" pivotButton="0" quotePrefix="0" xfId="1">
      <alignment horizontal="center"/>
    </xf>
    <xf numFmtId="43" fontId="6" fillId="0" borderId="12" applyAlignment="1" pivotButton="0" quotePrefix="0" xfId="1">
      <alignment horizontal="center"/>
    </xf>
    <xf numFmtId="0" fontId="12" fillId="0" borderId="2" applyAlignment="1" pivotButton="0" quotePrefix="0" xfId="0">
      <alignment horizontal="left" vertical="top" wrapText="1"/>
    </xf>
    <xf numFmtId="0" fontId="12" fillId="0" borderId="3" applyAlignment="1" pivotButton="0" quotePrefix="0" xfId="0">
      <alignment horizontal="left" vertical="top" wrapText="1"/>
    </xf>
    <xf numFmtId="0" fontId="12" fillId="0" borderId="8" applyAlignment="1" pivotButton="0" quotePrefix="0" xfId="0">
      <alignment horizontal="left" vertical="top" wrapText="1"/>
    </xf>
    <xf numFmtId="0" fontId="12" fillId="0" borderId="9" applyAlignment="1" pivotButton="0" quotePrefix="0" xfId="0">
      <alignment horizontal="left" vertical="top" wrapText="1"/>
    </xf>
    <xf numFmtId="43" fontId="1" fillId="0" borderId="1" applyAlignment="1" pivotButton="0" quotePrefix="0" xfId="1">
      <alignment horizontal="center"/>
    </xf>
    <xf numFmtId="43" fontId="1" fillId="0" borderId="2" applyAlignment="1" pivotButton="0" quotePrefix="0" xfId="1">
      <alignment horizontal="center"/>
    </xf>
    <xf numFmtId="43" fontId="1" fillId="0" borderId="3" applyAlignment="1" pivotButton="0" quotePrefix="0" xfId="1">
      <alignment horizontal="center"/>
    </xf>
    <xf numFmtId="43" fontId="1" fillId="0" borderId="4" applyAlignment="1" pivotButton="0" quotePrefix="0" xfId="1">
      <alignment horizontal="center"/>
    </xf>
    <xf numFmtId="43" fontId="1" fillId="0" borderId="0" applyAlignment="1" pivotButton="0" quotePrefix="0" xfId="1">
      <alignment horizontal="center"/>
    </xf>
    <xf numFmtId="43" fontId="1" fillId="0" borderId="5" applyAlignment="1" pivotButton="0" quotePrefix="0" xfId="1">
      <alignment horizontal="center"/>
    </xf>
    <xf numFmtId="0" fontId="19" fillId="0" borderId="0" applyAlignment="1" pivotButton="0" quotePrefix="0" xfId="0">
      <alignment horizontal="left"/>
    </xf>
    <xf numFmtId="0" fontId="19" fillId="0" borderId="5" applyAlignment="1" pivotButton="0" quotePrefix="0" xfId="0">
      <alignment horizontal="left"/>
    </xf>
    <xf numFmtId="43" fontId="1" fillId="0" borderId="7" applyAlignment="1" pivotButton="0" quotePrefix="0" xfId="1">
      <alignment horizontal="center"/>
    </xf>
    <xf numFmtId="43" fontId="1" fillId="0" borderId="8" applyAlignment="1" pivotButton="0" quotePrefix="0" xfId="1">
      <alignment horizontal="center"/>
    </xf>
    <xf numFmtId="43" fontId="1" fillId="0" borderId="9" applyAlignment="1" pivotButton="0" quotePrefix="0" xfId="1">
      <alignment horizontal="center"/>
    </xf>
    <xf numFmtId="0" fontId="8" fillId="0" borderId="10" applyAlignment="1" pivotButton="0" quotePrefix="0" xfId="0">
      <alignment horizontal="center" vertical="center"/>
    </xf>
    <xf numFmtId="0" fontId="8" fillId="0" borderId="11" applyAlignment="1" pivotButton="0" quotePrefix="0" xfId="0">
      <alignment horizontal="center" vertical="center"/>
    </xf>
    <xf numFmtId="0" fontId="8" fillId="0" borderId="12" applyAlignment="1" pivotButton="0" quotePrefix="0" xfId="0">
      <alignment horizontal="center" vertical="center"/>
    </xf>
    <xf numFmtId="43" fontId="8" fillId="0" borderId="4" applyAlignment="1" pivotButton="0" quotePrefix="0" xfId="1">
      <alignment horizontal="center"/>
    </xf>
    <xf numFmtId="43" fontId="8" fillId="0" borderId="0" applyAlignment="1" pivotButton="0" quotePrefix="0" xfId="1">
      <alignment horizontal="center"/>
    </xf>
    <xf numFmtId="43" fontId="8" fillId="0" borderId="5" applyAlignment="1" pivotButton="0" quotePrefix="0" xfId="1">
      <alignment horizontal="center"/>
    </xf>
    <xf numFmtId="0" fontId="0" fillId="0" borderId="8" pivotButton="0" quotePrefix="0" xfId="0"/>
    <xf numFmtId="0" fontId="0" fillId="0" borderId="9" pivotButton="0" quotePrefix="0" xfId="0"/>
    <xf numFmtId="43" fontId="8" fillId="0" borderId="1" applyAlignment="1" pivotButton="0" quotePrefix="0" xfId="1">
      <alignment horizontal="center"/>
    </xf>
    <xf numFmtId="43" fontId="8" fillId="0" borderId="2" applyAlignment="1" pivotButton="0" quotePrefix="0" xfId="1">
      <alignment horizontal="center"/>
    </xf>
    <xf numFmtId="43" fontId="8" fillId="0" borderId="3" applyAlignment="1" pivotButton="0" quotePrefix="0" xfId="1">
      <alignment horizontal="center"/>
    </xf>
    <xf numFmtId="0" fontId="3" fillId="0" borderId="1" applyAlignment="1" pivotButton="0" quotePrefix="0" xfId="0">
      <alignment horizontal="left"/>
    </xf>
    <xf numFmtId="2" fontId="0" fillId="0" borderId="1" applyAlignment="1" pivotButton="0" quotePrefix="0" xfId="0">
      <alignment horizontal="center"/>
    </xf>
    <xf numFmtId="2" fontId="0" fillId="0" borderId="2" applyAlignment="1" pivotButton="0" quotePrefix="0" xfId="0">
      <alignment horizontal="center"/>
    </xf>
    <xf numFmtId="2" fontId="0" fillId="0" borderId="3" applyAlignment="1" pivotButton="0" quotePrefix="0" xfId="0">
      <alignment horizontal="center"/>
    </xf>
    <xf numFmtId="2" fontId="0" fillId="0" borderId="4" applyAlignment="1" pivotButton="0" quotePrefix="0" xfId="0">
      <alignment horizontal="center"/>
    </xf>
    <xf numFmtId="2" fontId="0" fillId="0" borderId="0" applyAlignment="1" pivotButton="0" quotePrefix="0" xfId="0">
      <alignment horizontal="center"/>
    </xf>
    <xf numFmtId="2" fontId="0" fillId="0" borderId="5" applyAlignment="1" pivotButton="0" quotePrefix="0" xfId="0">
      <alignment horizontal="center"/>
    </xf>
    <xf numFmtId="18" fontId="3" fillId="0" borderId="4" applyAlignment="1" pivotButton="0" quotePrefix="1" xfId="0">
      <alignment horizontal="left"/>
    </xf>
    <xf numFmtId="18" fontId="3" fillId="0" borderId="0" applyAlignment="1" pivotButton="0" quotePrefix="1" xfId="0">
      <alignment horizontal="left"/>
    </xf>
    <xf numFmtId="18" fontId="3" fillId="0" borderId="5" applyAlignment="1" pivotButton="0" quotePrefix="1" xfId="0">
      <alignment horizontal="left"/>
    </xf>
    <xf numFmtId="0" fontId="8" fillId="0" borderId="10" applyAlignment="1" pivotButton="0" quotePrefix="0" xfId="0">
      <alignment horizontal="left"/>
    </xf>
    <xf numFmtId="0" fontId="8" fillId="0" borderId="12" applyAlignment="1" pivotButton="0" quotePrefix="0" xfId="0">
      <alignment horizontal="left"/>
    </xf>
    <xf numFmtId="0" fontId="3" fillId="0" borderId="10"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0" fillId="0" borderId="12" applyAlignment="1" pivotButton="0" quotePrefix="0" xfId="0">
      <alignment horizontal="center"/>
    </xf>
    <xf numFmtId="43" fontId="3" fillId="0" borderId="10" applyAlignment="1" pivotButton="0" quotePrefix="0" xfId="1">
      <alignment horizontal="center"/>
    </xf>
    <xf numFmtId="43" fontId="3" fillId="0" borderId="11" applyAlignment="1" pivotButton="0" quotePrefix="0" xfId="1">
      <alignment horizontal="center"/>
    </xf>
    <xf numFmtId="43" fontId="3" fillId="0" borderId="12" applyAlignment="1" pivotButton="0" quotePrefix="0" xfId="1">
      <alignment horizontal="center"/>
    </xf>
    <xf numFmtId="43" fontId="8" fillId="0" borderId="7" applyAlignment="1" pivotButton="0" quotePrefix="0" xfId="1">
      <alignment horizontal="center"/>
    </xf>
    <xf numFmtId="43" fontId="8" fillId="0" borderId="8" applyAlignment="1" pivotButton="0" quotePrefix="0" xfId="1">
      <alignment horizontal="center"/>
    </xf>
    <xf numFmtId="43" fontId="8" fillId="0" borderId="9" applyAlignment="1" pivotButton="0" quotePrefix="0" xfId="1">
      <alignment horizontal="center"/>
    </xf>
    <xf numFmtId="18" fontId="3" fillId="0" borderId="7" applyAlignment="1" pivotButton="0" quotePrefix="1" xfId="0">
      <alignment horizontal="left"/>
    </xf>
    <xf numFmtId="18" fontId="3" fillId="0" borderId="8" applyAlignment="1" pivotButton="0" quotePrefix="1" xfId="0">
      <alignment horizontal="left"/>
    </xf>
    <xf numFmtId="18" fontId="3" fillId="0" borderId="9" applyAlignment="1" pivotButton="0" quotePrefix="1" xfId="0">
      <alignment horizontal="left"/>
    </xf>
    <xf numFmtId="0" fontId="8" fillId="0" borderId="5" applyAlignment="1" pivotButton="0" quotePrefix="1" xfId="0">
      <alignment horizontal="right"/>
    </xf>
    <xf numFmtId="43" fontId="3" fillId="0" borderId="10" applyAlignment="1" pivotButton="0" quotePrefix="0" xfId="1">
      <alignment horizontal="right"/>
    </xf>
    <xf numFmtId="43" fontId="3" fillId="0" borderId="11" applyAlignment="1" pivotButton="0" quotePrefix="0" xfId="1">
      <alignment horizontal="right"/>
    </xf>
    <xf numFmtId="10" fontId="9" fillId="0" borderId="0" applyAlignment="1" pivotButton="0" quotePrefix="0" xfId="0">
      <alignment horizontal="right"/>
    </xf>
    <xf numFmtId="4" fontId="10" fillId="0" borderId="10" applyAlignment="1" pivotButton="0" quotePrefix="0" xfId="0">
      <alignment horizontal="center"/>
    </xf>
    <xf numFmtId="4" fontId="10" fillId="0" borderId="11" applyAlignment="1" pivotButton="0" quotePrefix="0" xfId="0">
      <alignment horizontal="center"/>
    </xf>
    <xf numFmtId="10" fontId="10" fillId="0" borderId="10" applyAlignment="1" pivotButton="0" quotePrefix="0" xfId="0">
      <alignment horizontal="center"/>
    </xf>
    <xf numFmtId="10" fontId="10" fillId="0" borderId="11" applyAlignment="1" pivotButton="0" quotePrefix="0" xfId="0">
      <alignment horizontal="center"/>
    </xf>
    <xf numFmtId="10" fontId="0" fillId="0" borderId="0" applyAlignment="1" applyProtection="1" pivotButton="0" quotePrefix="0" xfId="0">
      <alignment horizontal="center"/>
      <protection locked="0" hidden="0"/>
    </xf>
    <xf numFmtId="4" fontId="10" fillId="0" borderId="0" applyAlignment="1" pivotButton="0" quotePrefix="0" xfId="0">
      <alignment horizontal="center"/>
    </xf>
    <xf numFmtId="0" fontId="10" fillId="0" borderId="0" applyAlignment="1" pivotButton="0" quotePrefix="0" xfId="0">
      <alignment horizontal="center"/>
    </xf>
    <xf numFmtId="10" fontId="10" fillId="0" borderId="0" applyAlignment="1" pivotButton="0" quotePrefix="0" xfId="0">
      <alignment horizontal="center"/>
    </xf>
    <xf numFmtId="0" fontId="9" fillId="0" borderId="0" applyAlignment="1" pivotButton="0" quotePrefix="0" xfId="0">
      <alignment horizontal="center" vertical="top"/>
    </xf>
    <xf numFmtId="0" fontId="9" fillId="0" borderId="0" applyAlignment="1" pivotButton="0" quotePrefix="1" xfId="0">
      <alignment horizontal="center" vertical="top"/>
    </xf>
    <xf numFmtId="0" fontId="5" fillId="0" borderId="0" applyAlignment="1" pivotButton="0" quotePrefix="0" xfId="0">
      <alignment horizontal="center" vertical="top"/>
    </xf>
    <xf numFmtId="0" fontId="9" fillId="0" borderId="0" applyAlignment="1" pivotButton="0" quotePrefix="0" xfId="0">
      <alignment horizontal="center"/>
    </xf>
    <xf numFmtId="0" fontId="5" fillId="0" borderId="62" applyAlignment="1" pivotButton="0" quotePrefix="0" xfId="0">
      <alignment horizontal="center" vertical="center"/>
    </xf>
    <xf numFmtId="0" fontId="9" fillId="0" borderId="60" applyAlignment="1" pivotButton="0" quotePrefix="0" xfId="0">
      <alignment horizontal="center" vertical="center"/>
    </xf>
    <xf numFmtId="0" fontId="9" fillId="0" borderId="61" applyAlignment="1" pivotButton="0" quotePrefix="0" xfId="0">
      <alignment horizontal="center" vertical="center"/>
    </xf>
    <xf numFmtId="4" fontId="10" fillId="0" borderId="29" applyAlignment="1" applyProtection="1" pivotButton="0" quotePrefix="0" xfId="0">
      <alignment horizontal="center"/>
      <protection locked="0" hidden="0"/>
    </xf>
    <xf numFmtId="4" fontId="10" fillId="0" borderId="26" applyAlignment="1" applyProtection="1" pivotButton="0" quotePrefix="0" xfId="0">
      <alignment horizontal="center"/>
      <protection locked="0" hidden="0"/>
    </xf>
    <xf numFmtId="4" fontId="0" fillId="0" borderId="0" applyAlignment="1" applyProtection="1" pivotButton="0" quotePrefix="0" xfId="0">
      <alignment horizontal="center"/>
      <protection locked="0" hidden="0"/>
    </xf>
    <xf numFmtId="4" fontId="0" fillId="0" borderId="10" applyAlignment="1" pivotButton="0" quotePrefix="0" xfId="0">
      <alignment horizontal="center"/>
    </xf>
    <xf numFmtId="4" fontId="0" fillId="0" borderId="11" applyAlignment="1" pivotButton="0" quotePrefix="0" xfId="0">
      <alignment horizontal="center"/>
    </xf>
    <xf numFmtId="49" fontId="5" fillId="0" borderId="60" applyAlignment="1" pivotButton="0" quotePrefix="0" xfId="0">
      <alignment horizontal="left"/>
    </xf>
    <xf numFmtId="49" fontId="9" fillId="0" borderId="60" applyAlignment="1" pivotButton="0" quotePrefix="0" xfId="0">
      <alignment horizontal="left"/>
    </xf>
    <xf numFmtId="0" fontId="42" fillId="0" borderId="0" applyAlignment="1" pivotButton="0" quotePrefix="0" xfId="0">
      <alignment horizontal="center"/>
    </xf>
    <xf numFmtId="0" fontId="9" fillId="0" borderId="16" applyAlignment="1" pivotButton="0" quotePrefix="0" xfId="0">
      <alignment horizontal="left"/>
    </xf>
    <xf numFmtId="177" fontId="9" fillId="0" borderId="60" applyAlignment="1" pivotButton="0" quotePrefix="0" xfId="0">
      <alignment horizontal="left"/>
    </xf>
    <xf numFmtId="0" fontId="9" fillId="0" borderId="60" applyAlignment="1" pivotButton="0" quotePrefix="0" xfId="0">
      <alignment horizontal="left"/>
    </xf>
    <xf numFmtId="0" fontId="5" fillId="0" borderId="60" applyAlignment="1" pivotButton="0" quotePrefix="0" xfId="0">
      <alignment horizontal="left"/>
    </xf>
    <xf numFmtId="0" fontId="8" fillId="0" borderId="16" applyAlignment="1" pivotButton="0" quotePrefix="0" xfId="0">
      <alignment horizontal="center"/>
    </xf>
    <xf numFmtId="0" fontId="5" fillId="0" borderId="6" applyAlignment="1" pivotButton="0" quotePrefix="0" xfId="0">
      <alignment horizontal="center" vertical="center"/>
    </xf>
    <xf numFmtId="0" fontId="6" fillId="0" borderId="14" applyAlignment="1" pivotButton="0" quotePrefix="0" xfId="0">
      <alignment horizontal="center"/>
    </xf>
    <xf numFmtId="0" fontId="8" fillId="0" borderId="14" applyAlignment="1" pivotButton="0" quotePrefix="0" xfId="0">
      <alignment horizontal="left"/>
    </xf>
    <xf numFmtId="0" fontId="8" fillId="0" borderId="15" applyAlignment="1" pivotButton="0" quotePrefix="0" xfId="0">
      <alignment horizontal="left"/>
    </xf>
    <xf numFmtId="0" fontId="0" fillId="0" borderId="7" pivotButton="0" quotePrefix="0" xfId="0"/>
    <xf numFmtId="0" fontId="8" fillId="0" borderId="18" applyAlignment="1" pivotButton="0" quotePrefix="0" xfId="0">
      <alignment horizontal="center"/>
    </xf>
    <xf numFmtId="20" fontId="3" fillId="0" borderId="12" applyAlignment="1" pivotButton="0" quotePrefix="0" xfId="0">
      <alignment horizontal="center"/>
    </xf>
    <xf numFmtId="0" fontId="0" fillId="0" borderId="12" pivotButton="0" quotePrefix="0" xfId="0"/>
    <xf numFmtId="0" fontId="5" fillId="0" borderId="6" applyAlignment="1" pivotButton="0" quotePrefix="1" xfId="0">
      <alignment horizontal="center" vertical="center"/>
    </xf>
    <xf numFmtId="0" fontId="8" fillId="0" borderId="18" applyAlignment="1" pivotButton="0" quotePrefix="0" xfId="0">
      <alignment horizontal="left"/>
    </xf>
    <xf numFmtId="0" fontId="8" fillId="0" borderId="10" applyAlignment="1" pivotButton="0" quotePrefix="0" xfId="0">
      <alignment horizontal="center"/>
    </xf>
    <xf numFmtId="4" fontId="8" fillId="0" borderId="18" applyAlignment="1" pivotButton="0" quotePrefix="0" xfId="0">
      <alignment horizontal="center"/>
    </xf>
    <xf numFmtId="0" fontId="0" fillId="0" borderId="18" applyAlignment="1" pivotButton="0" quotePrefix="0" xfId="0">
      <alignment horizontal="center"/>
    </xf>
    <xf numFmtId="166" fontId="3" fillId="0" borderId="4" applyAlignment="1" pivotButton="0" quotePrefix="0" xfId="0">
      <alignment horizontal="right"/>
    </xf>
    <xf numFmtId="0" fontId="0" fillId="0" borderId="14" applyAlignment="1" pivotButton="0" quotePrefix="0" xfId="0">
      <alignment horizontal="center"/>
    </xf>
    <xf numFmtId="4" fontId="3" fillId="0" borderId="15" applyAlignment="1" pivotButton="0" quotePrefix="0" xfId="0">
      <alignment horizontal="center"/>
    </xf>
    <xf numFmtId="0" fontId="0" fillId="0" borderId="15" applyAlignment="1" pivotButton="0" quotePrefix="0" xfId="0">
      <alignment horizontal="center"/>
    </xf>
    <xf numFmtId="174" fontId="3" fillId="0" borderId="10" applyAlignment="1" pivotButton="0" quotePrefix="0" xfId="0">
      <alignment horizontal="right"/>
    </xf>
    <xf numFmtId="164" fontId="3" fillId="0" borderId="12" pivotButton="0" quotePrefix="0" xfId="0"/>
    <xf numFmtId="168" fontId="3" fillId="0" borderId="10" applyAlignment="1" pivotButton="0" quotePrefix="0" xfId="0">
      <alignment horizontal="right"/>
    </xf>
    <xf numFmtId="164" fontId="3" fillId="0" borderId="10" applyAlignment="1" pivotButton="0" quotePrefix="0" xfId="0">
      <alignment horizontal="right"/>
    </xf>
    <xf numFmtId="165" fontId="3" fillId="0" borderId="12" pivotButton="0" quotePrefix="0" xfId="0"/>
    <xf numFmtId="43" fontId="3" fillId="0" borderId="10" applyAlignment="1" pivotButton="0" quotePrefix="0" xfId="0">
      <alignment horizontal="right"/>
    </xf>
    <xf numFmtId="0" fontId="37" fillId="17" borderId="6" applyAlignment="1" applyProtection="1" pivotButton="0" quotePrefix="0" xfId="0">
      <alignment horizontal="center"/>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37" fillId="18" borderId="6" applyAlignment="1" applyProtection="1" pivotButton="0" quotePrefix="0" xfId="0">
      <alignment horizontal="center"/>
      <protection locked="0" hidden="0"/>
    </xf>
    <xf numFmtId="0" fontId="38" fillId="17" borderId="6" applyAlignment="1" applyProtection="1" pivotButton="0" quotePrefix="0" xfId="0">
      <alignment horizontal="center"/>
      <protection locked="0" hidden="0"/>
    </xf>
    <xf numFmtId="0" fontId="38" fillId="17" borderId="15" applyAlignment="1" applyProtection="1" pivotButton="0" quotePrefix="0" xfId="0">
      <alignment horizontal="center"/>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39" fillId="18" borderId="15" applyAlignment="1" applyProtection="1" pivotButton="0" quotePrefix="0" xfId="0">
      <alignment horizontal="center"/>
      <protection locked="0" hidden="0"/>
    </xf>
    <xf numFmtId="0" fontId="60" fillId="18" borderId="6" applyAlignment="1" applyProtection="1" pivotButton="0" quotePrefix="0" xfId="0">
      <alignment horizontal="center"/>
      <protection locked="0" hidden="0"/>
    </xf>
    <xf numFmtId="0" fontId="37" fillId="18" borderId="6" applyAlignment="1" applyProtection="1" pivotButton="0" quotePrefix="0" xfId="0">
      <alignment horizontal="left"/>
      <protection locked="0" hidden="0"/>
    </xf>
    <xf numFmtId="0" fontId="37" fillId="17" borderId="6" applyAlignment="1" applyProtection="1" pivotButton="0" quotePrefix="0" xfId="0">
      <alignment horizontal="left"/>
      <protection locked="0" hidden="0"/>
    </xf>
    <xf numFmtId="0" fontId="37" fillId="0" borderId="6" applyAlignment="1" applyProtection="1" pivotButton="0" quotePrefix="0" xfId="0">
      <alignment horizontal="left"/>
      <protection locked="0" hidden="0"/>
    </xf>
    <xf numFmtId="0" fontId="40" fillId="18" borderId="6" applyAlignment="1" applyProtection="1" pivotButton="0" quotePrefix="0" xfId="0">
      <alignment horizontal="left"/>
      <protection locked="0" hidden="0"/>
    </xf>
    <xf numFmtId="43" fontId="37" fillId="17" borderId="6" applyAlignment="1" applyProtection="1" pivotButton="0" quotePrefix="0" xfId="1">
      <alignment horizontal="center"/>
      <protection locked="0" hidden="0"/>
    </xf>
    <xf numFmtId="43" fontId="37" fillId="0" borderId="6" applyAlignment="1" applyProtection="1" pivotButton="0" quotePrefix="0" xfId="1">
      <alignment horizontal="center"/>
      <protection locked="0" hidden="0"/>
    </xf>
    <xf numFmtId="175" fontId="37" fillId="17" borderId="6" applyAlignment="1" applyProtection="1" pivotButton="0" quotePrefix="0" xfId="1">
      <alignment horizontal="center"/>
      <protection locked="0" hidden="0"/>
    </xf>
    <xf numFmtId="0" fontId="40" fillId="18" borderId="14" applyAlignment="1" pivotButton="0" quotePrefix="0" xfId="0">
      <alignment horizontal="left"/>
    </xf>
    <xf numFmtId="0" fontId="40" fillId="18" borderId="15" applyAlignment="1" pivotButton="0" quotePrefix="1" xfId="0">
      <alignment horizontal="left" vertical="top" wrapText="1"/>
    </xf>
    <xf numFmtId="0" fontId="0" fillId="0" borderId="16" applyProtection="1" pivotButton="0" quotePrefix="0" xfId="0">
      <protection locked="0" hidden="0"/>
    </xf>
    <xf numFmtId="0" fontId="0" fillId="0" borderId="17" applyProtection="1" pivotButton="0" quotePrefix="0" xfId="0">
      <protection locked="0" hidden="0"/>
    </xf>
    <xf numFmtId="0" fontId="0" fillId="0" borderId="19" applyProtection="1" pivotButton="0" quotePrefix="0" xfId="0">
      <protection locked="0" hidden="0"/>
    </xf>
    <xf numFmtId="167" fontId="20" fillId="0" borderId="0" pivotButton="0" quotePrefix="0" xfId="0"/>
    <xf numFmtId="0" fontId="21" fillId="5" borderId="73" applyAlignment="1" pivotButton="0" quotePrefix="1" xfId="0">
      <alignment horizontal="center"/>
    </xf>
    <xf numFmtId="0" fontId="0" fillId="0" borderId="21" pivotButton="0" quotePrefix="0" xfId="0"/>
    <xf numFmtId="0" fontId="0" fillId="0" borderId="22" pivotButton="0" quotePrefix="0" xfId="0"/>
    <xf numFmtId="0" fontId="0" fillId="0" borderId="24" pivotButton="0" quotePrefix="0" xfId="0"/>
    <xf numFmtId="174" fontId="22" fillId="17" borderId="25" applyAlignment="1" applyProtection="1" pivotButton="0" quotePrefix="0" xfId="0">
      <alignment horizontal="center"/>
      <protection locked="0" hidden="0"/>
    </xf>
    <xf numFmtId="0" fontId="0" fillId="0" borderId="26" applyProtection="1" pivotButton="0" quotePrefix="0" xfId="0">
      <protection locked="0" hidden="0"/>
    </xf>
    <xf numFmtId="174" fontId="22" fillId="17" borderId="26" applyProtection="1" pivotButton="0" quotePrefix="0" xfId="0">
      <protection locked="0" hidden="0"/>
    </xf>
    <xf numFmtId="174" fontId="1" fillId="0" borderId="65" applyAlignment="1" pivotButton="0" quotePrefix="0" xfId="0">
      <alignment horizontal="right"/>
    </xf>
    <xf numFmtId="0" fontId="0" fillId="0" borderId="26" pivotButton="0" quotePrefix="0" xfId="0"/>
    <xf numFmtId="0" fontId="0" fillId="0" borderId="28" pivotButton="0" quotePrefix="0" xfId="0"/>
    <xf numFmtId="174" fontId="23" fillId="19" borderId="90" applyAlignment="1" pivotButton="0" quotePrefix="0" xfId="0">
      <alignment horizontal="center"/>
    </xf>
    <xf numFmtId="174" fontId="24" fillId="6" borderId="91" applyAlignment="1" pivotButton="0" quotePrefix="0" xfId="0">
      <alignment horizontal="right"/>
    </xf>
    <xf numFmtId="0" fontId="0" fillId="0" borderId="27" pivotButton="0" quotePrefix="0" xfId="0"/>
    <xf numFmtId="2" fontId="22" fillId="17" borderId="92" applyAlignment="1" applyProtection="1" pivotButton="0" quotePrefix="0" xfId="0">
      <alignment horizontal="right"/>
      <protection locked="0" hidden="0"/>
    </xf>
    <xf numFmtId="0" fontId="0" fillId="0" borderId="27" applyProtection="1" pivotButton="0" quotePrefix="0" xfId="0">
      <protection locked="0" hidden="0"/>
    </xf>
    <xf numFmtId="174" fontId="1" fillId="17" borderId="25" applyAlignment="1" applyProtection="1" pivotButton="0" quotePrefix="0" xfId="0">
      <alignment horizontal="right"/>
      <protection locked="0" hidden="0"/>
    </xf>
    <xf numFmtId="174" fontId="1" fillId="17" borderId="27" applyAlignment="1" applyProtection="1" pivotButton="0" quotePrefix="0" xfId="0">
      <alignment horizontal="right"/>
      <protection locked="0" hidden="0"/>
    </xf>
    <xf numFmtId="2" fontId="1" fillId="0" borderId="92" applyAlignment="1" applyProtection="1" pivotButton="0" quotePrefix="0" xfId="0">
      <alignment horizontal="right"/>
      <protection locked="0" hidden="0"/>
    </xf>
    <xf numFmtId="174" fontId="22" fillId="17" borderId="30" applyAlignment="1" applyProtection="1" pivotButton="0" quotePrefix="0" xfId="0">
      <alignment horizontal="center"/>
      <protection locked="0" hidden="0"/>
    </xf>
    <xf numFmtId="174" fontId="22" fillId="17" borderId="11" applyProtection="1" pivotButton="0" quotePrefix="0" xfId="0">
      <protection locked="0" hidden="0"/>
    </xf>
    <xf numFmtId="174" fontId="23" fillId="19" borderId="6" applyAlignment="1" pivotButton="0" quotePrefix="0" xfId="0">
      <alignment horizontal="center"/>
    </xf>
    <xf numFmtId="174" fontId="24" fillId="6" borderId="85" applyAlignment="1" pivotButton="0" quotePrefix="0" xfId="0">
      <alignment horizontal="right"/>
    </xf>
    <xf numFmtId="0" fontId="0" fillId="0" borderId="31" pivotButton="0" quotePrefix="0" xfId="0"/>
    <xf numFmtId="2" fontId="22" fillId="17" borderId="86" applyAlignment="1" applyProtection="1" pivotButton="0" quotePrefix="0" xfId="0">
      <alignment horizontal="right"/>
      <protection locked="0" hidden="0"/>
    </xf>
    <xf numFmtId="0" fontId="0" fillId="0" borderId="31" applyProtection="1" pivotButton="0" quotePrefix="0" xfId="0">
      <protection locked="0" hidden="0"/>
    </xf>
    <xf numFmtId="174" fontId="1" fillId="17" borderId="30" applyAlignment="1" applyProtection="1" pivotButton="0" quotePrefix="0" xfId="0">
      <alignment horizontal="right"/>
      <protection locked="0" hidden="0"/>
    </xf>
    <xf numFmtId="174" fontId="1" fillId="17" borderId="31" applyAlignment="1" applyProtection="1" pivotButton="0" quotePrefix="0" xfId="0">
      <alignment horizontal="right"/>
      <protection locked="0" hidden="0"/>
    </xf>
    <xf numFmtId="174" fontId="1" fillId="0" borderId="48" applyAlignment="1" pivotButton="0" quotePrefix="0" xfId="0">
      <alignment horizontal="right"/>
    </xf>
    <xf numFmtId="2" fontId="1" fillId="0" borderId="86" applyAlignment="1" applyProtection="1" pivotButton="0" quotePrefix="0" xfId="0">
      <alignment horizontal="right"/>
      <protection locked="0" hidden="0"/>
    </xf>
    <xf numFmtId="174" fontId="22" fillId="17" borderId="32" applyAlignment="1" applyProtection="1" pivotButton="0" quotePrefix="0" xfId="0">
      <alignment horizontal="center"/>
      <protection locked="0" hidden="0"/>
    </xf>
    <xf numFmtId="0" fontId="0" fillId="0" borderId="33" applyProtection="1" pivotButton="0" quotePrefix="0" xfId="0">
      <protection locked="0" hidden="0"/>
    </xf>
    <xf numFmtId="174" fontId="22" fillId="17" borderId="33" applyProtection="1" pivotButton="0" quotePrefix="0" xfId="0">
      <protection locked="0" hidden="0"/>
    </xf>
    <xf numFmtId="174" fontId="23" fillId="19" borderId="87" applyAlignment="1" pivotButton="0" quotePrefix="0" xfId="0">
      <alignment horizontal="center"/>
    </xf>
    <xf numFmtId="0" fontId="0" fillId="0" borderId="33" pivotButton="0" quotePrefix="0" xfId="0"/>
    <xf numFmtId="0" fontId="0" fillId="0" borderId="35" pivotButton="0" quotePrefix="0" xfId="0"/>
    <xf numFmtId="174" fontId="24" fillId="6" borderId="88" applyAlignment="1" pivotButton="0" quotePrefix="0" xfId="0">
      <alignment horizontal="right"/>
    </xf>
    <xf numFmtId="0" fontId="0" fillId="0" borderId="34" pivotButton="0" quotePrefix="0" xfId="0"/>
    <xf numFmtId="2" fontId="22" fillId="17" borderId="89" applyAlignment="1" applyProtection="1" pivotButton="0" quotePrefix="0" xfId="0">
      <alignment horizontal="right"/>
      <protection locked="0" hidden="0"/>
    </xf>
    <xf numFmtId="0" fontId="0" fillId="0" borderId="34" applyProtection="1" pivotButton="0" quotePrefix="0" xfId="0">
      <protection locked="0" hidden="0"/>
    </xf>
    <xf numFmtId="174" fontId="1" fillId="17" borderId="32" applyAlignment="1" applyProtection="1" pivotButton="0" quotePrefix="0" xfId="0">
      <alignment horizontal="right"/>
      <protection locked="0" hidden="0"/>
    </xf>
    <xf numFmtId="174" fontId="1" fillId="17" borderId="34" applyAlignment="1" applyProtection="1" pivotButton="0" quotePrefix="0" xfId="0">
      <alignment horizontal="right"/>
      <protection locked="0" hidden="0"/>
    </xf>
    <xf numFmtId="174" fontId="1" fillId="0" borderId="68" applyAlignment="1" pivotButton="0" quotePrefix="0" xfId="0">
      <alignment horizontal="right"/>
    </xf>
    <xf numFmtId="174" fontId="0" fillId="0" borderId="0" applyAlignment="1" pivotButton="0" quotePrefix="0" xfId="0">
      <alignment horizontal="center"/>
    </xf>
    <xf numFmtId="174" fontId="3" fillId="0" borderId="73" applyAlignment="1" pivotButton="0" quotePrefix="1" xfId="0">
      <alignment horizontal="center"/>
    </xf>
    <xf numFmtId="0" fontId="3" fillId="0" borderId="73" applyAlignment="1" pivotButton="0" quotePrefix="0" xfId="0">
      <alignment horizontal="center"/>
    </xf>
    <xf numFmtId="174" fontId="22" fillId="19" borderId="76" applyAlignment="1" pivotButton="0" quotePrefix="0" xfId="0">
      <alignment horizontal="center"/>
    </xf>
    <xf numFmtId="174" fontId="22" fillId="3" borderId="76" applyAlignment="1" pivotButton="0" quotePrefix="0" xfId="0">
      <alignment horizontal="center"/>
    </xf>
    <xf numFmtId="174" fontId="22" fillId="17" borderId="76" applyAlignment="1" applyProtection="1" pivotButton="0" quotePrefix="0" xfId="0">
      <alignment horizontal="center"/>
      <protection locked="0" hidden="0"/>
    </xf>
    <xf numFmtId="0" fontId="0" fillId="0" borderId="24" applyProtection="1" pivotButton="0" quotePrefix="0" xfId="0">
      <protection locked="0" hidden="0"/>
    </xf>
    <xf numFmtId="2" fontId="22" fillId="17" borderId="76" applyAlignment="1" applyProtection="1" pivotButton="0" quotePrefix="0" xfId="0">
      <alignment horizontal="center"/>
      <protection locked="0" hidden="0"/>
    </xf>
    <xf numFmtId="167" fontId="24" fillId="9" borderId="76" applyAlignment="1" pivotButton="0" quotePrefix="0" xfId="0">
      <alignment horizontal="center"/>
    </xf>
    <xf numFmtId="2" fontId="22" fillId="3" borderId="76" applyAlignment="1" applyProtection="1" pivotButton="0" quotePrefix="0" xfId="0">
      <alignment horizontal="center"/>
      <protection locked="0" hidden="0"/>
    </xf>
    <xf numFmtId="168" fontId="20" fillId="7" borderId="14" pivotButton="0" quotePrefix="0" xfId="0"/>
    <xf numFmtId="168" fontId="20" fillId="8" borderId="0" pivotButton="0" quotePrefix="0" xfId="0"/>
    <xf numFmtId="168" fontId="20" fillId="7" borderId="0" pivotButton="0" quotePrefix="0" xfId="0"/>
    <xf numFmtId="0" fontId="3" fillId="0" borderId="82" applyAlignment="1" pivotButton="0" quotePrefix="0" xfId="0">
      <alignment horizontal="center"/>
    </xf>
    <xf numFmtId="0" fontId="0" fillId="0" borderId="37" pivotButton="0" quotePrefix="0" xfId="0"/>
    <xf numFmtId="0" fontId="3" fillId="0" borderId="83" applyAlignment="1" pivotButton="0" quotePrefix="0" xfId="0">
      <alignment horizontal="center"/>
    </xf>
    <xf numFmtId="0" fontId="3" fillId="0" borderId="84" applyAlignment="1" pivotButton="0" quotePrefix="0" xfId="0">
      <alignment horizontal="center"/>
    </xf>
    <xf numFmtId="2" fontId="0" fillId="0" borderId="79" applyAlignment="1" applyProtection="1" pivotButton="0" quotePrefix="0" xfId="0">
      <alignment horizontal="right"/>
      <protection locked="0" hidden="0"/>
    </xf>
    <xf numFmtId="0" fontId="0" fillId="0" borderId="39" applyProtection="1" pivotButton="0" quotePrefix="0" xfId="0">
      <protection locked="0" hidden="0"/>
    </xf>
    <xf numFmtId="2" fontId="0" fillId="0" borderId="80" applyAlignment="1" applyProtection="1" pivotButton="0" quotePrefix="0" xfId="0">
      <alignment horizontal="right"/>
      <protection locked="0" hidden="0"/>
    </xf>
    <xf numFmtId="2" fontId="0" fillId="6" borderId="80" applyAlignment="1" applyProtection="1" pivotButton="0" quotePrefix="0" xfId="0">
      <alignment horizontal="right"/>
      <protection locked="0" hidden="0"/>
    </xf>
    <xf numFmtId="2" fontId="0" fillId="6" borderId="81" applyAlignment="1" applyProtection="1" pivotButton="0" quotePrefix="0" xfId="0">
      <alignment horizontal="right"/>
      <protection locked="0" hidden="0"/>
    </xf>
    <xf numFmtId="0" fontId="0" fillId="0" borderId="41" pivotButton="0" quotePrefix="0" xfId="0"/>
    <xf numFmtId="0" fontId="0" fillId="0" borderId="41" applyProtection="1" pivotButton="0" quotePrefix="0" xfId="0">
      <protection locked="0" hidden="0"/>
    </xf>
    <xf numFmtId="0" fontId="0" fillId="0" borderId="42" applyProtection="1" pivotButton="0" quotePrefix="0" xfId="0">
      <protection locked="0" hidden="0"/>
    </xf>
    <xf numFmtId="0" fontId="0" fillId="0" borderId="45" pivotButton="0" quotePrefix="0" xfId="0"/>
    <xf numFmtId="0" fontId="3" fillId="0" borderId="67" applyAlignment="1" pivotButton="0" quotePrefix="0" xfId="0">
      <alignment horizontal="center"/>
    </xf>
    <xf numFmtId="0" fontId="0" fillId="0" borderId="49" pivotButton="0" quotePrefix="0" xfId="0"/>
    <xf numFmtId="43" fontId="1" fillId="17" borderId="46" applyAlignment="1" applyProtection="1" pivotButton="0" quotePrefix="0" xfId="1">
      <alignment horizontal="center"/>
      <protection locked="0" hidden="0"/>
    </xf>
    <xf numFmtId="0" fontId="0" fillId="0" borderId="45" applyProtection="1" pivotButton="0" quotePrefix="0" xfId="0">
      <protection locked="0" hidden="0"/>
    </xf>
    <xf numFmtId="0" fontId="0" fillId="0" borderId="46" applyProtection="1" pivotButton="0" quotePrefix="0" xfId="0">
      <protection locked="0" hidden="0"/>
    </xf>
    <xf numFmtId="0" fontId="3" fillId="0" borderId="74" applyAlignment="1" pivotButton="0" quotePrefix="1" xfId="0">
      <alignment horizontal="center"/>
    </xf>
    <xf numFmtId="43" fontId="1" fillId="0" borderId="46" applyAlignment="1" applyProtection="1" pivotButton="0" quotePrefix="0" xfId="1">
      <alignment horizontal="center"/>
      <protection locked="0" hidden="0"/>
    </xf>
    <xf numFmtId="0" fontId="0" fillId="0" borderId="50" pivotButton="0" quotePrefix="0" xfId="0"/>
    <xf numFmtId="0" fontId="0" fillId="0" borderId="51" pivotButton="0" quotePrefix="0" xfId="0"/>
    <xf numFmtId="0" fontId="11" fillId="0" borderId="74" applyAlignment="1" pivotButton="0" quotePrefix="1" xfId="0">
      <alignment horizontal="center"/>
    </xf>
    <xf numFmtId="0" fontId="11" fillId="0" borderId="17" applyAlignment="1" pivotButton="0" quotePrefix="0" xfId="0">
      <alignment horizontal="center" vertical="center" textRotation="90"/>
    </xf>
    <xf numFmtId="0" fontId="11" fillId="0" borderId="78" applyAlignment="1" pivotButton="0" quotePrefix="0" xfId="0">
      <alignment horizontal="center" vertical="center" textRotation="90"/>
    </xf>
    <xf numFmtId="170" fontId="3" fillId="0" borderId="18" pivotButton="0" quotePrefix="0" xfId="0"/>
    <xf numFmtId="166" fontId="3" fillId="0" borderId="18" pivotButton="0" quotePrefix="0" xfId="0"/>
    <xf numFmtId="166" fontId="3" fillId="0" borderId="6" pivotButton="0" quotePrefix="0" xfId="0"/>
    <xf numFmtId="0" fontId="0" fillId="0" borderId="44" pivotButton="0" quotePrefix="0" xfId="0"/>
    <xf numFmtId="169" fontId="3" fillId="8" borderId="6" pivotButton="0" quotePrefix="0" xfId="0"/>
    <xf numFmtId="170" fontId="11" fillId="8" borderId="6" pivotButton="0" quotePrefix="0" xfId="0"/>
    <xf numFmtId="166" fontId="11" fillId="8" borderId="6" pivotButton="0" quotePrefix="0" xfId="0"/>
    <xf numFmtId="0" fontId="0" fillId="0" borderId="52" pivotButton="0" quotePrefix="0" xfId="0"/>
    <xf numFmtId="0" fontId="0" fillId="0" borderId="53" pivotButton="0" quotePrefix="0" xfId="0"/>
    <xf numFmtId="0" fontId="3" fillId="0" borderId="77" applyAlignment="1" pivotButton="0" quotePrefix="0" xfId="0">
      <alignment horizontal="left"/>
    </xf>
    <xf numFmtId="0" fontId="0" fillId="0" borderId="54" pivotButton="0" quotePrefix="0" xfId="0"/>
    <xf numFmtId="0" fontId="3" fillId="0" borderId="74" applyAlignment="1" pivotButton="0" quotePrefix="0" xfId="0">
      <alignment horizontal="center"/>
    </xf>
    <xf numFmtId="4" fontId="1" fillId="3" borderId="75" applyAlignment="1" pivotButton="0" quotePrefix="0" xfId="1">
      <alignment horizontal="center"/>
    </xf>
    <xf numFmtId="166" fontId="11" fillId="16" borderId="6" pivotButton="0" quotePrefix="0" xfId="0"/>
    <xf numFmtId="169" fontId="11" fillId="8" borderId="6" pivotButton="0" quotePrefix="0" xfId="0"/>
    <xf numFmtId="169" fontId="11" fillId="7" borderId="6" pivotButton="0" quotePrefix="0" xfId="0"/>
    <xf numFmtId="0" fontId="3" fillId="0" borderId="76" applyAlignment="1" pivotButton="0" quotePrefix="1" xfId="0">
      <alignment horizontal="center"/>
    </xf>
    <xf numFmtId="0" fontId="0" fillId="0" borderId="61" pivotButton="0" quotePrefix="0" xfId="0"/>
    <xf numFmtId="0" fontId="11" fillId="0" borderId="73" applyAlignment="1" pivotButton="0" quotePrefix="0" xfId="0">
      <alignment horizontal="center"/>
    </xf>
    <xf numFmtId="171" fontId="3" fillId="0" borderId="65" pivotButton="0" quotePrefix="0" xfId="0"/>
    <xf numFmtId="171" fontId="11" fillId="12" borderId="66" pivotButton="0" quotePrefix="0" xfId="0"/>
    <xf numFmtId="0" fontId="3" fillId="0" borderId="76" applyAlignment="1" pivotButton="0" quotePrefix="0" xfId="0">
      <alignment horizontal="center"/>
    </xf>
    <xf numFmtId="171" fontId="3" fillId="0" borderId="48" pivotButton="0" quotePrefix="0" xfId="0"/>
    <xf numFmtId="171" fontId="11" fillId="0" borderId="67" pivotButton="0" quotePrefix="0" xfId="0"/>
    <xf numFmtId="170" fontId="3" fillId="17" borderId="6" pivotButton="0" quotePrefix="0" xfId="0"/>
    <xf numFmtId="166" fontId="3" fillId="17" borderId="6" pivotButton="0" quotePrefix="0" xfId="0"/>
    <xf numFmtId="171" fontId="3" fillId="0" borderId="68" pivotButton="0" quotePrefix="0" xfId="0"/>
    <xf numFmtId="170" fontId="3" fillId="17" borderId="18" pivotButton="0" quotePrefix="0" xfId="0"/>
    <xf numFmtId="166" fontId="3" fillId="17" borderId="18" pivotButton="0" quotePrefix="0" xfId="0"/>
    <xf numFmtId="171" fontId="11" fillId="14" borderId="66" pivotButton="0" quotePrefix="0" xfId="0"/>
    <xf numFmtId="0" fontId="4" fillId="0" borderId="65" applyAlignment="1" pivotButton="0" quotePrefix="0" xfId="0">
      <alignment horizontal="center" vertical="center"/>
    </xf>
    <xf numFmtId="0" fontId="0" fillId="0" borderId="90" applyAlignment="1" pivotButton="0" quotePrefix="0" xfId="0">
      <alignment horizontal="center" vertical="center"/>
    </xf>
    <xf numFmtId="0" fontId="3" fillId="0" borderId="90" applyAlignment="1" pivotButton="0" quotePrefix="1" xfId="0">
      <alignment horizontal="center" vertical="center"/>
    </xf>
    <xf numFmtId="0" fontId="0" fillId="0" borderId="91" applyAlignment="1" pivotButton="0" quotePrefix="0" xfId="0">
      <alignment horizontal="center" vertical="center"/>
    </xf>
    <xf numFmtId="0" fontId="0" fillId="0" borderId="69" pivotButton="0" quotePrefix="0" xfId="0"/>
    <xf numFmtId="0" fontId="0" fillId="0" borderId="70" pivotButton="0" quotePrefix="0" xfId="0"/>
    <xf numFmtId="0" fontId="34" fillId="15" borderId="86" applyAlignment="1" pivotButton="0" quotePrefix="0" xfId="0">
      <alignment horizontal="center"/>
    </xf>
    <xf numFmtId="0" fontId="3" fillId="0" borderId="98" applyAlignment="1" applyProtection="1" pivotButton="0" quotePrefix="0" xfId="0">
      <alignment horizontal="left"/>
      <protection locked="0" hidden="0"/>
    </xf>
    <xf numFmtId="0" fontId="0" fillId="0" borderId="2" applyProtection="1" pivotButton="0" quotePrefix="0" xfId="0">
      <protection locked="0" hidden="0"/>
    </xf>
    <xf numFmtId="0" fontId="0" fillId="0" borderId="3" applyProtection="1" pivotButton="0" quotePrefix="0" xfId="0">
      <protection locked="0" hidden="0"/>
    </xf>
    <xf numFmtId="43" fontId="3" fillId="0" borderId="18" applyAlignment="1" applyProtection="1" pivotButton="0" quotePrefix="0" xfId="1">
      <alignment horizontal="center"/>
      <protection locked="0" hidden="0"/>
    </xf>
    <xf numFmtId="43" fontId="3" fillId="6" borderId="18" applyAlignment="1" applyProtection="1" pivotButton="0" quotePrefix="0" xfId="1">
      <alignment horizontal="center"/>
      <protection locked="0" hidden="0"/>
    </xf>
    <xf numFmtId="43" fontId="3" fillId="6" borderId="18" applyAlignment="1" applyProtection="1" pivotButton="0" quotePrefix="0" xfId="1">
      <alignment horizontal="right"/>
      <protection locked="0" hidden="0"/>
    </xf>
    <xf numFmtId="176" fontId="3" fillId="6" borderId="18" applyAlignment="1" applyProtection="1" pivotButton="0" quotePrefix="0" xfId="1">
      <alignment horizontal="right"/>
      <protection locked="0" hidden="0"/>
    </xf>
    <xf numFmtId="43" fontId="3" fillId="0" borderId="97" applyAlignment="1" pivotButton="0" quotePrefix="0" xfId="1">
      <alignment horizontal="right"/>
    </xf>
    <xf numFmtId="0" fontId="0" fillId="0" borderId="72" pivotButton="0" quotePrefix="0" xfId="0"/>
    <xf numFmtId="0" fontId="3" fillId="0" borderId="98" applyAlignment="1" pivotButton="0" quotePrefix="0" xfId="0">
      <alignment horizontal="left"/>
    </xf>
    <xf numFmtId="0" fontId="3" fillId="11" borderId="96" applyAlignment="1" applyProtection="1" pivotButton="0" quotePrefix="0" xfId="0">
      <alignment horizontal="left"/>
      <protection locked="0" hidden="0"/>
    </xf>
    <xf numFmtId="0" fontId="0" fillId="0" borderId="5" applyProtection="1" pivotButton="0" quotePrefix="0" xfId="0">
      <protection locked="0" hidden="0"/>
    </xf>
    <xf numFmtId="43" fontId="3" fillId="11" borderId="14" applyAlignment="1" applyProtection="1" pivotButton="0" quotePrefix="0" xfId="1">
      <alignment horizontal="center"/>
      <protection locked="0" hidden="0"/>
    </xf>
    <xf numFmtId="43" fontId="3" fillId="6" borderId="14" applyAlignment="1" applyProtection="1" pivotButton="0" quotePrefix="0" xfId="1">
      <alignment horizontal="center"/>
      <protection locked="0" hidden="0"/>
    </xf>
    <xf numFmtId="43" fontId="3" fillId="6" borderId="4" applyAlignment="1" applyProtection="1" pivotButton="0" quotePrefix="0" xfId="1">
      <alignment horizontal="right"/>
      <protection locked="0" hidden="0"/>
    </xf>
    <xf numFmtId="43" fontId="3" fillId="11" borderId="67" applyAlignment="1" pivotButton="0" quotePrefix="0" xfId="1">
      <alignment horizontal="right"/>
    </xf>
    <xf numFmtId="0" fontId="3" fillId="11" borderId="96" applyAlignment="1" pivotButton="0" quotePrefix="0" xfId="0">
      <alignment horizontal="left"/>
    </xf>
    <xf numFmtId="171" fontId="49" fillId="0" borderId="61" applyAlignment="1" pivotButton="0" quotePrefix="0" xfId="4">
      <alignment horizontal="center" vertical="center"/>
    </xf>
    <xf numFmtId="0" fontId="3" fillId="0" borderId="96" applyAlignment="1" applyProtection="1" pivotButton="0" quotePrefix="0" xfId="0">
      <alignment horizontal="left"/>
      <protection locked="0" hidden="0"/>
    </xf>
    <xf numFmtId="43" fontId="3" fillId="0" borderId="14" applyAlignment="1" applyProtection="1" pivotButton="0" quotePrefix="0" xfId="1">
      <alignment horizontal="center"/>
      <protection locked="0" hidden="0"/>
    </xf>
    <xf numFmtId="43" fontId="3" fillId="6" borderId="14" applyAlignment="1" applyProtection="1" pivotButton="0" quotePrefix="0" xfId="1">
      <alignment horizontal="right"/>
      <protection locked="0" hidden="0"/>
    </xf>
    <xf numFmtId="43" fontId="3" fillId="0" borderId="67" applyAlignment="1" pivotButton="0" quotePrefix="0" xfId="1">
      <alignment horizontal="right"/>
    </xf>
    <xf numFmtId="0" fontId="3" fillId="0" borderId="96" applyAlignment="1" pivotButton="0" quotePrefix="0" xfId="0">
      <alignment horizontal="left"/>
    </xf>
    <xf numFmtId="171" fontId="50" fillId="20" borderId="0" applyAlignment="1" pivotButton="0" quotePrefix="0" xfId="0">
      <alignment horizontal="center"/>
    </xf>
    <xf numFmtId="171" fontId="50" fillId="20" borderId="49" applyAlignment="1" pivotButton="0" quotePrefix="0" xfId="0">
      <alignment horizontal="center"/>
    </xf>
    <xf numFmtId="171" fontId="52" fillId="20" borderId="44" applyAlignment="1" pivotButton="0" quotePrefix="0" xfId="0">
      <alignment horizontal="center"/>
    </xf>
    <xf numFmtId="171" fontId="52" fillId="20" borderId="0" applyAlignment="1" pivotButton="0" quotePrefix="0" xfId="0">
      <alignment horizontal="center"/>
    </xf>
    <xf numFmtId="171" fontId="53" fillId="20" borderId="0" applyAlignment="1" pivotButton="0" quotePrefix="0" xfId="0">
      <alignment horizontal="center"/>
    </xf>
    <xf numFmtId="171" fontId="52" fillId="20" borderId="49" applyAlignment="1" pivotButton="0" quotePrefix="0" xfId="0">
      <alignment horizontal="center"/>
    </xf>
    <xf numFmtId="173" fontId="54" fillId="0" borderId="60" applyAlignment="1" pivotButton="0" quotePrefix="0" xfId="4">
      <alignment horizontal="center" vertical="center"/>
    </xf>
    <xf numFmtId="171" fontId="56" fillId="20" borderId="0" applyAlignment="1" pivotButton="0" quotePrefix="0" xfId="0">
      <alignment horizontal="center"/>
    </xf>
    <xf numFmtId="171" fontId="56" fillId="20" borderId="49" applyAlignment="1" pivotButton="0" quotePrefix="0" xfId="0">
      <alignment horizontal="center"/>
    </xf>
    <xf numFmtId="171" fontId="52" fillId="20" borderId="23" applyAlignment="1" pivotButton="0" quotePrefix="0" xfId="0">
      <alignment horizontal="center"/>
    </xf>
    <xf numFmtId="171" fontId="52" fillId="20" borderId="16" applyAlignment="1" pivotButton="0" quotePrefix="0" xfId="0">
      <alignment horizontal="center"/>
    </xf>
    <xf numFmtId="171" fontId="53" fillId="20" borderId="16" applyAlignment="1" pivotButton="0" quotePrefix="0" xfId="0">
      <alignment horizontal="center"/>
    </xf>
    <xf numFmtId="171" fontId="52" fillId="20" borderId="24" applyAlignment="1" pivotButton="0" quotePrefix="0" xfId="0">
      <alignment horizontal="center"/>
    </xf>
    <xf numFmtId="171" fontId="0" fillId="0" borderId="0" pivotButton="0" quotePrefix="0" xfId="0"/>
    <xf numFmtId="173" fontId="57" fillId="0" borderId="60" applyAlignment="1" pivotButton="0" quotePrefix="0" xfId="4">
      <alignment horizontal="center" vertical="center"/>
    </xf>
    <xf numFmtId="176" fontId="3" fillId="6" borderId="14" applyAlignment="1" applyProtection="1" pivotButton="0" quotePrefix="0" xfId="1">
      <alignment horizontal="right"/>
      <protection locked="0" hidden="0"/>
    </xf>
    <xf numFmtId="43" fontId="3" fillId="0" borderId="14" applyAlignment="1" pivotButton="0" quotePrefix="0" xfId="1">
      <alignment horizontal="center"/>
    </xf>
    <xf numFmtId="43" fontId="3" fillId="0" borderId="14" applyAlignment="1" applyProtection="1" pivotButton="0" quotePrefix="0" xfId="1">
      <alignment horizontal="right"/>
      <protection locked="0" hidden="0"/>
    </xf>
    <xf numFmtId="176" fontId="3" fillId="0" borderId="14" applyAlignment="1" applyProtection="1" pivotButton="0" quotePrefix="0" xfId="1">
      <alignment horizontal="right"/>
      <protection locked="0" hidden="0"/>
    </xf>
    <xf numFmtId="171" fontId="50" fillId="21" borderId="0" applyAlignment="1" pivotButton="0" quotePrefix="0" xfId="0">
      <alignment horizontal="center"/>
    </xf>
    <xf numFmtId="171" fontId="50" fillId="21" borderId="49" applyAlignment="1" pivotButton="0" quotePrefix="0" xfId="0">
      <alignment horizontal="center"/>
    </xf>
    <xf numFmtId="43" fontId="3" fillId="11" borderId="14" applyAlignment="1" applyProtection="1" pivotButton="0" quotePrefix="0" xfId="1">
      <alignment horizontal="right"/>
      <protection locked="0" hidden="0"/>
    </xf>
    <xf numFmtId="176" fontId="3" fillId="11" borderId="14" applyAlignment="1" applyProtection="1" pivotButton="0" quotePrefix="0" xfId="1">
      <alignment horizontal="right"/>
      <protection locked="0" hidden="0"/>
    </xf>
    <xf numFmtId="43" fontId="3" fillId="11" borderId="14" applyAlignment="1" pivotButton="0" quotePrefix="0" xfId="1">
      <alignment horizontal="center"/>
    </xf>
    <xf numFmtId="171" fontId="52" fillId="21" borderId="44" applyAlignment="1" pivotButton="0" quotePrefix="0" xfId="0">
      <alignment horizontal="center"/>
    </xf>
    <xf numFmtId="171" fontId="52" fillId="21" borderId="0" applyAlignment="1" pivotButton="0" quotePrefix="0" xfId="0">
      <alignment horizontal="center"/>
    </xf>
    <xf numFmtId="171" fontId="53" fillId="21" borderId="0" applyAlignment="1" pivotButton="0" quotePrefix="0" xfId="0">
      <alignment horizontal="center"/>
    </xf>
    <xf numFmtId="171" fontId="52" fillId="21" borderId="49" applyAlignment="1" pivotButton="0" quotePrefix="0" xfId="0">
      <alignment horizontal="center"/>
    </xf>
    <xf numFmtId="171" fontId="56" fillId="21" borderId="0" applyAlignment="1" pivotButton="0" quotePrefix="0" xfId="0">
      <alignment horizontal="center"/>
    </xf>
    <xf numFmtId="171" fontId="56" fillId="21" borderId="49" applyAlignment="1" pivotButton="0" quotePrefix="0" xfId="0">
      <alignment horizontal="center"/>
    </xf>
    <xf numFmtId="171" fontId="52" fillId="21" borderId="23" applyAlignment="1" pivotButton="0" quotePrefix="0" xfId="0">
      <alignment horizontal="center"/>
    </xf>
    <xf numFmtId="171" fontId="52" fillId="21" borderId="16" applyAlignment="1" pivotButton="0" quotePrefix="0" xfId="0">
      <alignment horizontal="center"/>
    </xf>
    <xf numFmtId="171" fontId="53" fillId="21" borderId="16" applyAlignment="1" pivotButton="0" quotePrefix="0" xfId="0">
      <alignment horizontal="center"/>
    </xf>
    <xf numFmtId="171" fontId="52" fillId="21" borderId="24" applyAlignment="1" pivotButton="0" quotePrefix="0" xfId="0">
      <alignment horizontal="center"/>
    </xf>
    <xf numFmtId="171" fontId="50" fillId="20" borderId="24" applyAlignment="1" pivotButton="0" quotePrefix="0" xfId="0">
      <alignment horizontal="center"/>
    </xf>
    <xf numFmtId="0" fontId="3" fillId="0" borderId="94" applyAlignment="1" applyProtection="1" pivotButton="0" quotePrefix="0" xfId="0">
      <alignment horizontal="center"/>
      <protection locked="0" hidden="0"/>
    </xf>
    <xf numFmtId="43" fontId="3" fillId="0" borderId="15" applyAlignment="1" applyProtection="1" pivotButton="0" quotePrefix="0" xfId="1">
      <alignment horizontal="center"/>
      <protection locked="0" hidden="0"/>
    </xf>
    <xf numFmtId="43" fontId="3" fillId="0" borderId="15" applyAlignment="1" applyProtection="1" pivotButton="0" quotePrefix="0" xfId="1">
      <alignment horizontal="right"/>
      <protection locked="0" hidden="0"/>
    </xf>
    <xf numFmtId="176" fontId="3" fillId="0" borderId="15" applyAlignment="1" applyProtection="1" pivotButton="0" quotePrefix="0" xfId="1">
      <alignment horizontal="right"/>
      <protection locked="0" hidden="0"/>
    </xf>
    <xf numFmtId="43" fontId="3" fillId="0" borderId="95" applyAlignment="1" pivotButton="0" quotePrefix="0" xfId="1">
      <alignment horizontal="right"/>
    </xf>
    <xf numFmtId="0" fontId="3" fillId="0" borderId="94" applyAlignment="1" pivotButton="0" quotePrefix="0" xfId="0">
      <alignment horizontal="center"/>
    </xf>
    <xf numFmtId="43" fontId="3" fillId="0" borderId="15" applyAlignment="1" pivotButton="0" quotePrefix="0" xfId="1">
      <alignment horizontal="center"/>
    </xf>
    <xf numFmtId="43" fontId="35" fillId="0" borderId="34" applyAlignment="1" pivotButton="0" quotePrefix="0" xfId="1">
      <alignment horizontal="center"/>
    </xf>
    <xf numFmtId="43" fontId="35" fillId="0" borderId="0" applyAlignment="1" pivotButton="0" quotePrefix="0" xfId="1">
      <alignment horizontal="center"/>
    </xf>
    <xf numFmtId="0" fontId="34" fillId="15" borderId="92" applyAlignment="1" pivotButton="0" quotePrefix="0" xfId="0">
      <alignment horizontal="center"/>
    </xf>
    <xf numFmtId="43" fontId="3" fillId="17" borderId="18" applyAlignment="1" applyProtection="1" pivotButton="0" quotePrefix="0" xfId="1">
      <alignment horizontal="center"/>
      <protection locked="0" hidden="0"/>
    </xf>
    <xf numFmtId="175" fontId="3" fillId="17" borderId="18" applyAlignment="1" applyProtection="1" pivotButton="0" quotePrefix="0" xfId="1">
      <alignment horizontal="right"/>
      <protection locked="0" hidden="0"/>
    </xf>
    <xf numFmtId="43" fontId="3" fillId="0" borderId="97" applyAlignment="1" applyProtection="1" pivotButton="0" quotePrefix="0" xfId="1">
      <alignment horizontal="right"/>
      <protection locked="0" hidden="0"/>
    </xf>
    <xf numFmtId="0" fontId="0" fillId="0" borderId="72" applyProtection="1" pivotButton="0" quotePrefix="0" xfId="0">
      <protection locked="0" hidden="0"/>
    </xf>
    <xf numFmtId="43" fontId="3" fillId="17" borderId="18" applyAlignment="1" pivotButton="0" quotePrefix="0" xfId="1">
      <alignment horizontal="center"/>
    </xf>
    <xf numFmtId="43" fontId="3" fillId="17" borderId="14" applyAlignment="1" applyProtection="1" pivotButton="0" quotePrefix="0" xfId="1">
      <alignment horizontal="center"/>
      <protection locked="0" hidden="0"/>
    </xf>
    <xf numFmtId="175" fontId="3" fillId="11" borderId="14" applyAlignment="1" applyProtection="1" pivotButton="0" quotePrefix="0" xfId="1">
      <alignment horizontal="right"/>
      <protection locked="0" hidden="0"/>
    </xf>
    <xf numFmtId="43" fontId="3" fillId="17" borderId="14" applyAlignment="1" pivotButton="0" quotePrefix="0" xfId="1">
      <alignment horizontal="center"/>
    </xf>
    <xf numFmtId="175" fontId="3" fillId="17" borderId="14" applyAlignment="1" applyProtection="1" pivotButton="0" quotePrefix="0" xfId="1">
      <alignment horizontal="right"/>
      <protection locked="0" hidden="0"/>
    </xf>
    <xf numFmtId="43" fontId="3" fillId="11" borderId="67" applyAlignment="1" applyProtection="1" pivotButton="0" quotePrefix="0" xfId="1">
      <alignment horizontal="right"/>
      <protection locked="0" hidden="0"/>
    </xf>
    <xf numFmtId="0" fontId="0" fillId="0" borderId="49" applyProtection="1" pivotButton="0" quotePrefix="0" xfId="0">
      <protection locked="0" hidden="0"/>
    </xf>
    <xf numFmtId="43" fontId="3" fillId="0" borderId="67" applyAlignment="1" applyProtection="1" pivotButton="0" quotePrefix="0" xfId="1">
      <alignment horizontal="right"/>
      <protection locked="0" hidden="0"/>
    </xf>
    <xf numFmtId="175" fontId="3" fillId="17" borderId="15" applyAlignment="1" applyProtection="1" pivotButton="0" quotePrefix="0" xfId="1">
      <alignment horizontal="right"/>
      <protection locked="0" hidden="0"/>
    </xf>
    <xf numFmtId="43" fontId="3" fillId="0" borderId="95" applyAlignment="1" applyProtection="1" pivotButton="0" quotePrefix="0" xfId="1">
      <alignment horizontal="right"/>
      <protection locked="0" hidden="0"/>
    </xf>
    <xf numFmtId="0" fontId="0" fillId="0" borderId="70" applyProtection="1" pivotButton="0" quotePrefix="0" xfId="0">
      <protection locked="0" hidden="0"/>
    </xf>
    <xf numFmtId="43" fontId="3" fillId="0" borderId="34" applyAlignment="1" pivotButton="0" quotePrefix="0" xfId="1">
      <alignment horizontal="center"/>
    </xf>
    <xf numFmtId="0" fontId="3" fillId="0" borderId="6" applyAlignment="1" pivotButton="0" quotePrefix="0" xfId="0">
      <alignment horizontal="center" vertical="center"/>
    </xf>
    <xf numFmtId="0" fontId="3" fillId="0" borderId="18" applyAlignment="1" pivotButton="0" quotePrefix="0" xfId="0">
      <alignment horizontal="center"/>
    </xf>
    <xf numFmtId="43" fontId="10" fillId="0" borderId="7" applyAlignment="1" pivotButton="0" quotePrefix="0" xfId="1">
      <alignment horizontal="right"/>
    </xf>
    <xf numFmtId="43" fontId="1" fillId="0" borderId="10" applyAlignment="1" pivotButton="0" quotePrefix="0" xfId="1">
      <alignment horizontal="right"/>
    </xf>
    <xf numFmtId="0" fontId="8" fillId="0" borderId="14" applyAlignment="1" pivotButton="0" quotePrefix="0" xfId="0">
      <alignment horizontal="right"/>
    </xf>
    <xf numFmtId="0" fontId="3" fillId="0" borderId="14" applyAlignment="1" pivotButton="0" quotePrefix="1" xfId="0">
      <alignment horizontal="center"/>
    </xf>
    <xf numFmtId="0" fontId="0" fillId="0" borderId="14" pivotButton="0" quotePrefix="0" xfId="0"/>
    <xf numFmtId="0" fontId="0" fillId="0" borderId="15" pivotButton="0" quotePrefix="0" xfId="0"/>
    <xf numFmtId="171" fontId="8" fillId="2" borderId="8" applyAlignment="1" pivotButton="0" quotePrefix="0" xfId="0">
      <alignment horizontal="center"/>
    </xf>
    <xf numFmtId="0" fontId="8" fillId="0" borderId="18" applyAlignment="1" pivotButton="0" quotePrefix="1" xfId="0">
      <alignment horizontal="center" vertical="center"/>
    </xf>
    <xf numFmtId="0" fontId="8" fillId="0" borderId="14" applyAlignment="1" pivotButton="0" quotePrefix="0" xfId="0">
      <alignment horizontal="center" vertical="center"/>
    </xf>
    <xf numFmtId="0" fontId="8" fillId="0" borderId="14" applyAlignment="1" pivotButton="0" quotePrefix="1" xfId="0">
      <alignment horizontal="center" vertical="center"/>
    </xf>
    <xf numFmtId="0" fontId="8" fillId="0" borderId="15" applyAlignment="1" pivotButton="0" quotePrefix="1" xfId="0">
      <alignment horizontal="center" vertical="center"/>
    </xf>
    <xf numFmtId="43" fontId="0" fillId="0" borderId="18" applyAlignment="1" pivotButton="0" quotePrefix="0" xfId="1">
      <alignment horizontal="center"/>
    </xf>
    <xf numFmtId="43" fontId="8" fillId="0" borderId="18" applyAlignment="1" pivotButton="0" quotePrefix="0" xfId="1">
      <alignment horizontal="right"/>
    </xf>
    <xf numFmtId="176" fontId="8" fillId="0" borderId="18" applyAlignment="1" pivotButton="0" quotePrefix="0" xfId="1">
      <alignment horizontal="right"/>
    </xf>
    <xf numFmtId="43" fontId="0" fillId="0" borderId="14" applyAlignment="1" pivotButton="0" quotePrefix="0" xfId="1">
      <alignment horizontal="center"/>
    </xf>
    <xf numFmtId="43" fontId="8" fillId="0" borderId="14" applyAlignment="1" pivotButton="0" quotePrefix="0" xfId="1">
      <alignment horizontal="right"/>
    </xf>
    <xf numFmtId="176" fontId="8" fillId="0" borderId="14" applyAlignment="1" pivotButton="0" quotePrefix="0" xfId="1">
      <alignment horizontal="right"/>
    </xf>
    <xf numFmtId="43" fontId="0" fillId="0" borderId="15" applyAlignment="1" pivotButton="0" quotePrefix="0" xfId="1">
      <alignment horizontal="center"/>
    </xf>
    <xf numFmtId="43" fontId="8" fillId="0" borderId="15" applyAlignment="1" pivotButton="0" quotePrefix="0" xfId="1">
      <alignment horizontal="right"/>
    </xf>
    <xf numFmtId="176" fontId="8" fillId="0" borderId="15" applyAlignment="1" pivotButton="0" quotePrefix="0" xfId="1">
      <alignment horizontal="right"/>
    </xf>
    <xf numFmtId="43" fontId="6" fillId="0" borderId="12" applyAlignment="1" pivotButton="0" quotePrefix="0" xfId="1">
      <alignment horizontal="center"/>
    </xf>
    <xf numFmtId="166" fontId="3" fillId="0" borderId="0" pivotButton="0" quotePrefix="0" xfId="0"/>
    <xf numFmtId="166" fontId="3" fillId="0" borderId="8" pivotButton="0" quotePrefix="0" xfId="0"/>
    <xf numFmtId="0" fontId="12" fillId="0" borderId="12" applyAlignment="1" pivotButton="0" quotePrefix="0" xfId="0">
      <alignment horizontal="left" vertical="top" wrapText="1"/>
    </xf>
    <xf numFmtId="43" fontId="1" fillId="0" borderId="18" applyAlignment="1" pivotButton="0" quotePrefix="0" xfId="1">
      <alignment horizontal="center"/>
    </xf>
    <xf numFmtId="43" fontId="1" fillId="0" borderId="14" applyAlignment="1" pivotButton="0" quotePrefix="0" xfId="1">
      <alignment horizontal="center"/>
    </xf>
    <xf numFmtId="43" fontId="1" fillId="0" borderId="15" applyAlignment="1" pivotButton="0" quotePrefix="0" xfId="1">
      <alignment horizontal="center"/>
    </xf>
    <xf numFmtId="0" fontId="8" fillId="0" borderId="6" applyAlignment="1" pivotButton="0" quotePrefix="0" xfId="0">
      <alignment horizontal="center" vertical="center"/>
    </xf>
    <xf numFmtId="0" fontId="3" fillId="0" borderId="18" applyAlignment="1" pivotButton="0" quotePrefix="0" xfId="0">
      <alignment horizontal="left"/>
    </xf>
    <xf numFmtId="43" fontId="8" fillId="0" borderId="18" applyAlignment="1" pivotButton="0" quotePrefix="0" xfId="1">
      <alignment horizontal="center"/>
    </xf>
    <xf numFmtId="2" fontId="0" fillId="0" borderId="18" applyAlignment="1" pivotButton="0" quotePrefix="0" xfId="0">
      <alignment horizontal="center"/>
    </xf>
    <xf numFmtId="18" fontId="3" fillId="0" borderId="14" applyAlignment="1" pivotButton="0" quotePrefix="1" xfId="0">
      <alignment horizontal="left"/>
    </xf>
    <xf numFmtId="43" fontId="8" fillId="0" borderId="14" applyAlignment="1" pivotButton="0" quotePrefix="0" xfId="1">
      <alignment horizontal="center"/>
    </xf>
    <xf numFmtId="2" fontId="0" fillId="0" borderId="14" applyAlignment="1" pivotButton="0" quotePrefix="0" xfId="0">
      <alignment horizontal="center"/>
    </xf>
    <xf numFmtId="18" fontId="3" fillId="0" borderId="15" applyAlignment="1" pivotButton="0" quotePrefix="1" xfId="0">
      <alignment horizontal="left"/>
    </xf>
    <xf numFmtId="43" fontId="8" fillId="0" borderId="15" applyAlignment="1" pivotButton="0" quotePrefix="0" xfId="1">
      <alignment horizontal="center"/>
    </xf>
    <xf numFmtId="0" fontId="8" fillId="0" borderId="6" applyAlignment="1" pivotButton="0" quotePrefix="0" xfId="0">
      <alignment horizontal="left"/>
    </xf>
    <xf numFmtId="0" fontId="3" fillId="0" borderId="6" applyAlignment="1" pivotButton="0" quotePrefix="0" xfId="0">
      <alignment horizontal="center"/>
    </xf>
    <xf numFmtId="0" fontId="0" fillId="0" borderId="6" applyAlignment="1" pivotButton="0" quotePrefix="0" xfId="0">
      <alignment horizontal="center"/>
    </xf>
    <xf numFmtId="43" fontId="3" fillId="0" borderId="6" applyAlignment="1" pivotButton="0" quotePrefix="0" xfId="1">
      <alignment horizontal="center"/>
    </xf>
    <xf numFmtId="0" fontId="8" fillId="0" borderId="14" applyAlignment="1" pivotButton="0" quotePrefix="1" xfId="0">
      <alignment horizontal="right"/>
    </xf>
    <xf numFmtId="43" fontId="3" fillId="0" borderId="10" applyAlignment="1" pivotButton="0" quotePrefix="0" xfId="1">
      <alignment horizontal="right"/>
    </xf>
    <xf numFmtId="177" fontId="9" fillId="0" borderId="60" applyAlignment="1" pivotButton="0" quotePrefix="0" xfId="0">
      <alignment horizontal="left"/>
    </xf>
    <xf numFmtId="172" fontId="9" fillId="0" borderId="0" applyAlignment="1" pivotButton="0" quotePrefix="0" xfId="3">
      <alignment vertical="center"/>
    </xf>
    <xf numFmtId="172" fontId="9" fillId="0" borderId="0" applyAlignment="1" pivotButton="0" quotePrefix="0" xfId="3">
      <alignment horizontal="left" vertical="center"/>
    </xf>
    <xf numFmtId="0" fontId="5" fillId="0" borderId="66" applyAlignment="1" pivotButton="0" quotePrefix="0" xfId="0">
      <alignment horizontal="center" vertical="center"/>
    </xf>
  </cellXfs>
  <cellStyles count="5">
    <cellStyle name="Normal" xfId="0" builtinId="0"/>
    <cellStyle name="Comma" xfId="1" builtinId="3"/>
    <cellStyle name="Hyperlink" xfId="2" builtinId="8"/>
    <cellStyle name="Moneda 2" xfId="3"/>
    <cellStyle name="Normal 2" xf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externalLink" Target="/xl/externalLinks/externalLink2.xml" Id="rId14"/><Relationship Type="http://schemas.openxmlformats.org/officeDocument/2006/relationships/externalLink" Target="/xl/externalLinks/externalLink3.xml" Id="rId15"/><Relationship Type="http://schemas.openxmlformats.org/officeDocument/2006/relationships/externalLink" Target="/xl/externalLinks/externalLink4.xml" Id="rId16"/><Relationship Type="http://schemas.openxmlformats.org/officeDocument/2006/relationships/externalLink" Target="/xl/externalLinks/externalLink5.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administrado</author>
    <author>Windows User</author>
  </authors>
  <commentList>
    <comment ref="T3" authorId="0" shapeId="0">
      <text>
        <t xml:space="preserve">Insertar la hora como texto así: 12:35 LT
</t>
      </text>
    </comment>
    <comment ref="BK27" authorId="1" shapeId="0">
      <text>
        <t xml:space="preserve">LBP
</t>
      </text>
    </comment>
    <comment ref="BK29" authorId="1" shapeId="0">
      <text>
        <t xml:space="preserve">INGRESAR EL DATO DEL LCA DE A TABLA
</t>
      </text>
    </comment>
    <comment ref="BK30" authorId="1" shapeId="0">
      <text>
        <t>INSERTAR EN LA TABAL DE INTERPOLACION LCF</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s>
</file>

<file path=xl/drawings/_rels/drawing5.xml.rels><Relationships xmlns="http://schemas.openxmlformats.org/package/2006/relationships"><Relationship Type="http://schemas.openxmlformats.org/officeDocument/2006/relationships/image" Target="/xl/media/image6.png" Id="rId1"/></Relationships>
</file>

<file path=xl/drawings/_rels/drawing6.xml.rels><Relationships xmlns="http://schemas.openxmlformats.org/package/2006/relationships"><Relationship Type="http://schemas.openxmlformats.org/officeDocument/2006/relationships/image" Target="/xl/media/image7.png" Id="rId1"/></Relationships>
</file>

<file path=xl/drawings/_rels/drawing7.xml.rels><Relationships xmlns="http://schemas.openxmlformats.org/package/2006/relationships"><Relationship Type="http://schemas.openxmlformats.org/officeDocument/2006/relationships/image" Target="/xl/media/image8.png" Id="rId1"/></Relationships>
</file>

<file path=xl/drawings/_rels/drawing8.xml.rels><Relationships xmlns="http://schemas.openxmlformats.org/package/2006/relationships"><Relationship Type="http://schemas.openxmlformats.org/officeDocument/2006/relationships/image" Target="/xl/media/image9.png" Id="rId1"/></Relationships>
</file>

<file path=xl/drawings/_rels/drawing9.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s>
</file>

<file path=xl/drawings/_rels/drawing10.xml.rels><Relationships xmlns="http://schemas.openxmlformats.org/package/2006/relationships"><Relationship Type="http://schemas.openxmlformats.org/officeDocument/2006/relationships/image" Target="/xl/media/image12.png" Id="rId1"/><Relationship Type="http://schemas.openxmlformats.org/officeDocument/2006/relationships/image" Target="/xl/media/image13.png" Id="rId2"/></Relationships>
</file>

<file path=xl/drawings/drawing1.xml><?xml version="1.0" encoding="utf-8"?>
<wsDr xmlns="http://schemas.openxmlformats.org/drawingml/2006/spreadsheetDrawing">
  <twoCellAnchor>
    <from>
      <col>52</col>
      <colOff>9525</colOff>
      <row>35</row>
      <rowOff>28575</rowOff>
    </from>
    <to>
      <col>87</col>
      <colOff>76200</colOff>
      <row>37</row>
      <rowOff>104775</rowOff>
    </to>
    <pic>
      <nvPicPr>
        <cNvPr id="2" name="Picture 13"/>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8429625" y="5543550"/>
          <a:ext cx="5734050" cy="4000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51</col>
      <colOff>0</colOff>
      <row>28</row>
      <rowOff>85725</rowOff>
    </from>
    <to>
      <col>86</col>
      <colOff>76200</colOff>
      <row>30</row>
      <rowOff>161925</rowOff>
    </to>
    <pic>
      <nvPicPr>
        <cNvPr id="2" name="Picture 1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8258175" y="4619625"/>
          <a:ext cx="5743575" cy="4000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0</colOff>
      <row>0</row>
      <rowOff>0</rowOff>
    </from>
    <to>
      <col>16</col>
      <colOff>56712</colOff>
      <row>4</row>
      <rowOff>123716</rowOff>
    </to>
    <pic>
      <nvPicPr>
        <cNvPr id="3" name="Picture 118"/>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596712" cy="758716"/>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117345</colOff>
      <row>0</row>
      <rowOff>57247</rowOff>
    </from>
    <to>
      <col>15</col>
      <colOff>16005</colOff>
      <row>4</row>
      <rowOff>79912</rowOff>
    </to>
    <pic>
      <nvPicPr>
        <cNvPr id="36" name="Picture 118"/>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17345" y="57247"/>
          <a:ext cx="2419984" cy="695018"/>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45</col>
      <colOff>148112</colOff>
      <row>31</row>
      <rowOff>74447</rowOff>
    </from>
    <to>
      <col>48</col>
      <colOff>161365</colOff>
      <row>35</row>
      <rowOff>100620</rowOff>
    </to>
    <pic>
      <nvPicPr>
        <cNvPr id="38" name="38 Imagen"/>
        <cNvPicPr>
          <a:picLocks xmlns:a="http://schemas.openxmlformats.org/drawingml/2006/main" noChangeAspect="1" noChangeArrowheads="1"/>
        </cNvPicPr>
      </nvPicPr>
      <blipFill>
        <a:blip xmlns:a="http://schemas.openxmlformats.org/drawingml/2006/main" xmlns:r="http://schemas.openxmlformats.org/officeDocument/2006/relationships" r:embed="rId2">
          <clrChange>
            <clrFrom/>
            <clrTo/>
          </clrChange>
        </a:blip>
        <a:srcRect xmlns:a="http://schemas.openxmlformats.org/drawingml/2006/main"/>
        <a:stretch xmlns:a="http://schemas.openxmlformats.org/drawingml/2006/main">
          <a:fillRect/>
        </a:stretch>
      </blipFill>
      <spPr bwMode="auto">
        <a:xfrm xmlns:a="http://schemas.openxmlformats.org/drawingml/2006/main">
          <a:off x="7812936" y="5435341"/>
          <a:ext cx="963511" cy="7343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30</col>
      <colOff>126999</colOff>
      <row>40</row>
      <rowOff>81493</rowOff>
    </from>
    <to>
      <col>36</col>
      <colOff>77610</colOff>
      <row>46</row>
      <rowOff>38383</rowOff>
    </to>
    <pic>
      <nvPicPr>
        <cNvPr id="2" name="38 Imagen"/>
        <cNvPicPr>
          <a:picLocks xmlns:a="http://schemas.openxmlformats.org/drawingml/2006/main" noChangeAspect="1" noChangeArrowheads="1"/>
        </cNvPicPr>
      </nvPicPr>
      <blipFill>
        <a:blip xmlns:a="http://schemas.openxmlformats.org/drawingml/2006/main" xmlns:r="http://schemas.openxmlformats.org/officeDocument/2006/relationships" r:embed="rId1">
          <clrChange>
            <clrFrom/>
            <clrTo/>
          </clrChange>
        </a:blip>
        <a:srcRect xmlns:a="http://schemas.openxmlformats.org/drawingml/2006/main"/>
        <a:stretch xmlns:a="http://schemas.openxmlformats.org/drawingml/2006/main">
          <a:fillRect/>
        </a:stretch>
      </blipFill>
      <spPr bwMode="auto">
        <a:xfrm xmlns:a="http://schemas.openxmlformats.org/drawingml/2006/main">
          <a:off x="5206999" y="6572604"/>
          <a:ext cx="966611" cy="82472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3</col>
      <colOff>42334</colOff>
      <row>54</row>
      <rowOff>70555</rowOff>
    </from>
    <to>
      <col>8</col>
      <colOff>26247</colOff>
      <row>57</row>
      <rowOff>292382</rowOff>
    </to>
    <pic>
      <nvPicPr>
        <cNvPr id="3" name="38 Imagen"/>
        <cNvPicPr>
          <a:picLocks xmlns:a="http://schemas.openxmlformats.org/drawingml/2006/main" noChangeAspect="1" noChangeArrowheads="1"/>
        </cNvPicPr>
      </nvPicPr>
      <blipFill>
        <a:blip xmlns:a="http://schemas.openxmlformats.org/drawingml/2006/main" xmlns:r="http://schemas.openxmlformats.org/officeDocument/2006/relationships" r:embed="rId1">
          <clrChange>
            <clrFrom/>
            <clrTo/>
          </clrChange>
        </a:blip>
        <a:srcRect xmlns:a="http://schemas.openxmlformats.org/drawingml/2006/main"/>
        <a:stretch xmlns:a="http://schemas.openxmlformats.org/drawingml/2006/main">
          <a:fillRect/>
        </a:stretch>
      </blipFill>
      <spPr bwMode="auto">
        <a:xfrm xmlns:a="http://schemas.openxmlformats.org/drawingml/2006/main">
          <a:off x="550334" y="8650111"/>
          <a:ext cx="830580" cy="70866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7.xml><?xml version="1.0" encoding="utf-8"?>
<wsDr xmlns="http://schemas.openxmlformats.org/drawingml/2006/spreadsheetDrawing">
  <twoCellAnchor>
    <from>
      <col>4</col>
      <colOff>42334</colOff>
      <row>54</row>
      <rowOff>28222</rowOff>
    </from>
    <to>
      <col>9</col>
      <colOff>26247</colOff>
      <row>57</row>
      <rowOff>250048</rowOff>
    </to>
    <pic>
      <nvPicPr>
        <cNvPr id="3" name="38 Imagen"/>
        <cNvPicPr>
          <a:picLocks xmlns:a="http://schemas.openxmlformats.org/drawingml/2006/main" noChangeAspect="1" noChangeArrowheads="1"/>
        </cNvPicPr>
      </nvPicPr>
      <blipFill>
        <a:blip xmlns:a="http://schemas.openxmlformats.org/drawingml/2006/main" xmlns:r="http://schemas.openxmlformats.org/officeDocument/2006/relationships" r:embed="rId1">
          <clrChange>
            <clrFrom/>
            <clrTo/>
          </clrChange>
        </a:blip>
        <a:srcRect xmlns:a="http://schemas.openxmlformats.org/drawingml/2006/main"/>
        <a:stretch xmlns:a="http://schemas.openxmlformats.org/drawingml/2006/main">
          <a:fillRect/>
        </a:stretch>
      </blipFill>
      <spPr bwMode="auto">
        <a:xfrm xmlns:a="http://schemas.openxmlformats.org/drawingml/2006/main">
          <a:off x="719667" y="8643055"/>
          <a:ext cx="830580" cy="70866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8.xml><?xml version="1.0" encoding="utf-8"?>
<wsDr xmlns="http://schemas.openxmlformats.org/drawingml/2006/spreadsheetDrawing">
  <twoCellAnchor>
    <from>
      <col>49</col>
      <colOff>133350</colOff>
      <row>32</row>
      <rowOff>57150</rowOff>
    </from>
    <to>
      <col>85</col>
      <colOff>47625</colOff>
      <row>34</row>
      <rowOff>133350</rowOff>
    </to>
    <pic>
      <nvPicPr>
        <cNvPr id="2" name="Picture 1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8067675" y="5153025"/>
          <a:ext cx="5743575" cy="4000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9.xml><?xml version="1.0" encoding="utf-8"?>
<wsDr xmlns="http://schemas.openxmlformats.org/drawingml/2006/spreadsheetDrawing">
  <twoCellAnchor>
    <from>
      <col>0</col>
      <colOff>0</colOff>
      <row>0</row>
      <rowOff>0</rowOff>
    </from>
    <to>
      <col>10</col>
      <colOff>60960</colOff>
      <row>3</row>
      <rowOff>99060</rowOff>
    </to>
    <pic>
      <nvPicPr>
        <cNvPr id="3" name="Picture 118"/>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44140" cy="78486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8</col>
      <colOff>84908</colOff>
      <row>31</row>
      <rowOff>31568</rowOff>
    </from>
    <to>
      <col>11</col>
      <colOff>95794</colOff>
      <row>34</row>
      <rowOff>191588</rowOff>
    </to>
    <pic>
      <nvPicPr>
        <cNvPr id="4" name="38 Imagen"/>
        <cNvPicPr>
          <a:picLocks xmlns:a="http://schemas.openxmlformats.org/drawingml/2006/main" noChangeAspect="1" noChangeArrowheads="1"/>
        </cNvPicPr>
      </nvPicPr>
      <blipFill>
        <a:blip xmlns:a="http://schemas.openxmlformats.org/drawingml/2006/main" xmlns:r="http://schemas.openxmlformats.org/officeDocument/2006/relationships" r:embed="rId2">
          <clrChange>
            <clrFrom/>
            <clrTo/>
          </clrChange>
        </a:blip>
        <a:srcRect xmlns:a="http://schemas.openxmlformats.org/drawingml/2006/main"/>
        <a:stretch xmlns:a="http://schemas.openxmlformats.org/drawingml/2006/main">
          <a:fillRect/>
        </a:stretch>
      </blipFill>
      <spPr bwMode="auto">
        <a:xfrm xmlns:a="http://schemas.openxmlformats.org/drawingml/2006/main">
          <a:off x="2000794" y="7118168"/>
          <a:ext cx="947057" cy="8458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0.xml><?xml version="1.0" encoding="utf-8"?>
<wsDr xmlns="http://schemas.openxmlformats.org/drawingml/2006/spreadsheetDrawing">
  <twoCellAnchor>
    <from>
      <col>0</col>
      <colOff>0</colOff>
      <row>0</row>
      <rowOff>0</rowOff>
    </from>
    <to>
      <col>10</col>
      <colOff>60960</colOff>
      <row>3</row>
      <rowOff>99060</rowOff>
    </to>
    <pic>
      <nvPicPr>
        <cNvPr id="2" name="Picture 118"/>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566035" cy="78486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8</col>
      <colOff>84908</colOff>
      <row>31</row>
      <rowOff>31568</rowOff>
    </from>
    <to>
      <col>11</col>
      <colOff>95794</colOff>
      <row>34</row>
      <rowOff>191588</rowOff>
    </to>
    <pic>
      <nvPicPr>
        <cNvPr id="3" name="38 Imagen"/>
        <cNvPicPr>
          <a:picLocks xmlns:a="http://schemas.openxmlformats.org/drawingml/2006/main" noChangeAspect="1" noChangeArrowheads="1"/>
        </cNvPicPr>
      </nvPicPr>
      <blipFill>
        <a:blip xmlns:a="http://schemas.openxmlformats.org/drawingml/2006/main" xmlns:r="http://schemas.openxmlformats.org/officeDocument/2006/relationships" r:embed="rId2">
          <clrChange>
            <clrFrom/>
            <clrTo/>
          </clrChange>
        </a:blip>
        <a:srcRect xmlns:a="http://schemas.openxmlformats.org/drawingml/2006/main"/>
        <a:stretch xmlns:a="http://schemas.openxmlformats.org/drawingml/2006/main">
          <a:fillRect/>
        </a:stretch>
      </blipFill>
      <spPr bwMode="auto">
        <a:xfrm xmlns:a="http://schemas.openxmlformats.org/drawingml/2006/main">
          <a:off x="1913708" y="7118168"/>
          <a:ext cx="915761" cy="8458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Qube\chem-barge\BUQUES\VASCONIA%20CRUDE.xls" TargetMode="External" Id="rId1"/></Relationships>
</file>

<file path=xl/externalLinks/_rels/externalLink2.xml.rels><Relationships xmlns="http://schemas.openxmlformats.org/package/2006/relationships"><Relationship Type="http://schemas.openxmlformats.org/officeDocument/2006/relationships/externalLinkPath" Target="file:///\\Qube\chem-barge\BUQUES\WINDOWS\Escritorio\Mi%20Malet&#237;n\Moscow\Moscalc.xls" TargetMode="External" Id="rId1"/></Relationships>
</file>

<file path=xl/externalLinks/_rels/externalLink3.xml.rels><Relationships xmlns="http://schemas.openxmlformats.org/package/2006/relationships"><Relationship Type="http://schemas.openxmlformats.org/officeDocument/2006/relationships/externalLinkPath" Target="file:///\\Qube\chem-barge\BUQUES\ABORDO.xls" TargetMode="External" Id="rId1"/></Relationships>
</file>

<file path=xl/externalLinks/_rels/externalLink4.xml.rels><Relationships xmlns="http://schemas.openxmlformats.org/package/2006/relationships"><Relationship Type="http://schemas.openxmlformats.org/officeDocument/2006/relationships/externalLinkPath" Target="file:///\\Qube\chem-barge\BUQUES\DELL\My%20Documents\VASCONIA%20CRUDE.xls" TargetMode="External" Id="rId1"/></Relationships>
</file>

<file path=xl/externalLinks/_rels/externalLink5.xml.rels><Relationships xmlns="http://schemas.openxmlformats.org/package/2006/relationships"><Relationship Type="http://schemas.openxmlformats.org/officeDocument/2006/relationships/externalLinkPath" Target="file:///\\Qube\chem-barge\BUQUES\My%20Documents\CHOFF\VOY-10-REF.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ENTRADA"/>
      <sheetName val="QVEF"/>
      <sheetName val="QOBQROB"/>
      <sheetName val="Q-VISINS"/>
      <sheetName val="Q-ORDERS"/>
      <sheetName val="SHIPTAR"/>
      <sheetName val="Q-SAMDIS"/>
      <sheetName val="Q-VOIDS"/>
      <sheetName val="Q-CKLSTL"/>
      <sheetName val="Q-GAGEHT"/>
      <sheetName val="Q-COMPAR."/>
      <sheetName val=" Q-BUNKER"/>
      <sheetName val="Q-GEN-INDEX"/>
      <sheetName val="Q-DOCREC"/>
      <sheetName val=" Q-TIMLOG"/>
      <sheetName val="QULLREP"/>
      <sheetName val="QCHEVAR"/>
      <sheetName val="Q-SUMRY"/>
      <sheetName val="SHOMET"/>
      <sheetName val=" Q-COA"/>
      <sheetName val="SAMPER"/>
      <sheetName val="TANULOD"/>
      <sheetName val="Q-DISCRP"/>
      <sheetName val="Q-LINDIS"/>
      <sheetName val="Q-LOP"/>
      <sheetName val="TELEX ECOPETROL"/>
      <sheetName val="TELEX COMERCIAL"/>
      <sheetName val="EXXONMOBIL"/>
      <sheetName val="SHICARGO"/>
      <sheetName val="VITOL"/>
      <sheetName val="MURPHY"/>
      <sheetName val="VALERO"/>
      <sheetName val="LYONDELL"/>
      <sheetName val="TOTAL"/>
      <sheetName val="KOCH"/>
      <sheetName val="Q-LOT"/>
      <sheetName val="TOSCO"/>
      <sheetName val="VALERO-TIME"/>
      <sheetName val="AMOCO"/>
      <sheetName val="EQUIVA"/>
      <sheetName val="MARATHONS"/>
      <sheetName val="Q-PARTIC"/>
      <sheetName val="TIERRA-3TKS"/>
      <sheetName val="TANULOD (2)"/>
      <sheetName val=" Q-TIMLOG (2)"/>
    </sheetNames>
    <sheetDataSet>
      <sheetData sheetId="0"/>
      <sheetData sheetId="1">
        <row r="1">
          <cell r="F1" t="str">
            <v>VESSEL EXPERIENCE FACTOR SEQUENTIAL VOYAGE</v>
          </cell>
          <cell r="R1" t="str">
            <v>JOB NO.</v>
          </cell>
          <cell r="T1" t="str">
            <v>0204-01-1-02BT01</v>
          </cell>
        </row>
        <row r="2">
          <cell r="A2" t="str">
            <v>VESSEL</v>
          </cell>
          <cell r="D2" t="str">
            <v>FRANKOPAN</v>
          </cell>
          <cell r="J2" t="str">
            <v xml:space="preserve"> CARGO</v>
          </cell>
          <cell r="L2" t="str">
            <v>VASCONIA CRUDE OIL</v>
          </cell>
          <cell r="S2" t="str">
            <v>DATE</v>
          </cell>
          <cell r="U2" t="str">
            <v>02/01/2002</v>
          </cell>
        </row>
        <row r="3">
          <cell r="A3" t="str">
            <v>TERMINAL/PORT</v>
          </cell>
          <cell r="D3" t="str">
            <v>COVEÑAS OFFSHORE PETROLEUM TLU-1/COVEÑAS</v>
          </cell>
          <cell r="J3" t="str">
            <v>CLIENT(S) REF.</v>
          </cell>
          <cell r="N3" t="str">
            <v>V-382</v>
          </cell>
        </row>
        <row r="4">
          <cell r="I4" t="str">
            <v xml:space="preserve">                 BARRELS [  X ]</v>
          </cell>
          <cell r="M4" t="str">
            <v xml:space="preserve">     CUBIC METERS [    ]</v>
          </cell>
          <cell r="S4" t="str">
            <v>LOAD</v>
          </cell>
        </row>
        <row r="5">
          <cell r="K5" t="str">
            <v xml:space="preserve">     VESSEL</v>
          </cell>
          <cell r="P5" t="str">
            <v>SHORE</v>
          </cell>
          <cell r="Q5" t="str">
            <v>V.C.F.</v>
          </cell>
          <cell r="S5" t="str">
            <v>VSL  RATIO</v>
          </cell>
          <cell r="V5" t="str">
            <v>QUAL.</v>
          </cell>
        </row>
        <row r="6">
          <cell r="A6" t="str">
            <v>VOYAGE</v>
          </cell>
          <cell r="B6" t="str">
            <v>CARGO</v>
          </cell>
          <cell r="Q6" t="str">
            <v>TABLE</v>
          </cell>
          <cell r="S6" t="str">
            <v>VESSEL  /</v>
          </cell>
          <cell r="V6" t="str">
            <v>VOY.?</v>
          </cell>
        </row>
        <row r="7">
          <cell r="B7" t="str">
            <v xml:space="preserve">  DESCRIPTION</v>
          </cell>
          <cell r="E7" t="str">
            <v xml:space="preserve">    TERMINAL</v>
          </cell>
          <cell r="G7" t="str">
            <v xml:space="preserve">   DATE</v>
          </cell>
          <cell r="Q7" t="str">
            <v>USED</v>
          </cell>
          <cell r="S7" t="str">
            <v>SHORE TCV</v>
          </cell>
          <cell r="V7" t="str">
            <v>(Y/N)</v>
          </cell>
        </row>
        <row r="8">
          <cell r="I8" t="str">
            <v xml:space="preserve"> SAIL        TCV</v>
          </cell>
          <cell r="K8" t="str">
            <v>MINUS</v>
          </cell>
          <cell r="L8" t="str">
            <v>=</v>
          </cell>
          <cell r="M8" t="str">
            <v>LOAD</v>
          </cell>
          <cell r="O8" t="str">
            <v>TCV</v>
          </cell>
          <cell r="P8" t="str">
            <v>TCV</v>
          </cell>
        </row>
        <row r="9">
          <cell r="A9" t="str">
            <v>LAST</v>
          </cell>
          <cell r="B9" t="str">
            <v>OLMECA CRUDE OIL</v>
          </cell>
          <cell r="E9" t="str">
            <v>COATZACOALCOS</v>
          </cell>
          <cell r="G9">
            <v>37272</v>
          </cell>
          <cell r="I9">
            <v>550498</v>
          </cell>
          <cell r="N9">
            <v>550498</v>
          </cell>
          <cell r="P9">
            <v>550034</v>
          </cell>
          <cell r="R9" t="str">
            <v>6A</v>
          </cell>
          <cell r="S9">
            <v>1.00084</v>
          </cell>
          <cell r="V9" t="str">
            <v>Y</v>
          </cell>
          <cell r="W9">
            <v>1.00084</v>
          </cell>
        </row>
        <row r="10">
          <cell r="A10" t="str">
            <v>2 ND</v>
          </cell>
          <cell r="B10" t="str">
            <v>MAYA CRUDE OIL</v>
          </cell>
          <cell r="E10" t="str">
            <v>CAYO ARCAS</v>
          </cell>
          <cell r="G10">
            <v>37250</v>
          </cell>
          <cell r="I10">
            <v>497266</v>
          </cell>
          <cell r="N10">
            <v>497266</v>
          </cell>
          <cell r="P10">
            <v>499112</v>
          </cell>
          <cell r="R10" t="str">
            <v>6A</v>
          </cell>
          <cell r="S10">
            <v>0.99629999999999996</v>
          </cell>
          <cell r="V10" t="str">
            <v>Y</v>
          </cell>
          <cell r="W10">
            <v>0.99629999999999996</v>
          </cell>
        </row>
        <row r="11">
          <cell r="A11" t="str">
            <v>3 RD</v>
          </cell>
          <cell r="B11" t="str">
            <v>ISTHMUS CRUDE OIL</v>
          </cell>
          <cell r="E11" t="str">
            <v>DOS BOCAS</v>
          </cell>
          <cell r="G11">
            <v>37240</v>
          </cell>
          <cell r="I11">
            <v>501235</v>
          </cell>
          <cell r="N11">
            <v>501235</v>
          </cell>
          <cell r="P11">
            <v>501036</v>
          </cell>
          <cell r="R11" t="str">
            <v>6A</v>
          </cell>
          <cell r="S11">
            <v>1.0004</v>
          </cell>
          <cell r="V11" t="str">
            <v>Y</v>
          </cell>
          <cell r="W11">
            <v>1.0004</v>
          </cell>
        </row>
        <row r="12">
          <cell r="A12" t="str">
            <v>4 TH</v>
          </cell>
          <cell r="B12" t="str">
            <v>OLMECA CRUDE OIL</v>
          </cell>
          <cell r="E12" t="str">
            <v>COATZACOALCOS</v>
          </cell>
          <cell r="G12">
            <v>37227</v>
          </cell>
          <cell r="I12">
            <v>545945</v>
          </cell>
          <cell r="N12">
            <v>545945</v>
          </cell>
          <cell r="P12">
            <v>545241</v>
          </cell>
          <cell r="R12" t="str">
            <v>6A</v>
          </cell>
          <cell r="S12">
            <v>1.00129</v>
          </cell>
          <cell r="V12" t="str">
            <v>Y</v>
          </cell>
          <cell r="W12">
            <v>1.00129</v>
          </cell>
        </row>
        <row r="13">
          <cell r="A13" t="str">
            <v>5 TH</v>
          </cell>
          <cell r="B13" t="str">
            <v>MAYA CRUDE OIL</v>
          </cell>
          <cell r="E13" t="str">
            <v>CAYO ARCAS</v>
          </cell>
          <cell r="G13">
            <v>37213</v>
          </cell>
          <cell r="I13">
            <v>510355</v>
          </cell>
          <cell r="N13">
            <v>510355</v>
          </cell>
          <cell r="P13">
            <v>510482</v>
          </cell>
          <cell r="R13" t="str">
            <v>6A</v>
          </cell>
          <cell r="S13">
            <v>0.99975000000000003</v>
          </cell>
          <cell r="V13" t="str">
            <v>Y</v>
          </cell>
          <cell r="W13">
            <v>0.99975000000000003</v>
          </cell>
        </row>
        <row r="14">
          <cell r="A14" t="str">
            <v>6 TH</v>
          </cell>
          <cell r="B14" t="str">
            <v>OLMECA CRUDE OIL</v>
          </cell>
          <cell r="E14" t="str">
            <v>COATZACOALCOS</v>
          </cell>
          <cell r="G14">
            <v>37203</v>
          </cell>
          <cell r="I14">
            <v>549634</v>
          </cell>
          <cell r="N14">
            <v>549634</v>
          </cell>
          <cell r="P14">
            <v>550150</v>
          </cell>
          <cell r="R14" t="str">
            <v>6A</v>
          </cell>
          <cell r="S14">
            <v>0.99905999999999995</v>
          </cell>
          <cell r="V14" t="str">
            <v>Y</v>
          </cell>
          <cell r="W14">
            <v>0.99905999999999995</v>
          </cell>
        </row>
        <row r="15">
          <cell r="A15" t="str">
            <v>7 TH</v>
          </cell>
          <cell r="B15" t="str">
            <v>MAYA CRUDE OIL</v>
          </cell>
          <cell r="E15" t="str">
            <v>CAYO ARCAS</v>
          </cell>
          <cell r="G15">
            <v>37184</v>
          </cell>
          <cell r="I15">
            <v>519475</v>
          </cell>
          <cell r="N15">
            <v>519475</v>
          </cell>
          <cell r="P15">
            <v>520611</v>
          </cell>
          <cell r="R15" t="str">
            <v>6A</v>
          </cell>
          <cell r="S15">
            <v>0.99782000000000004</v>
          </cell>
          <cell r="V15" t="str">
            <v>Y</v>
          </cell>
          <cell r="W15">
            <v>0.99782000000000004</v>
          </cell>
        </row>
        <row r="16">
          <cell r="A16" t="str">
            <v>8 TH</v>
          </cell>
          <cell r="B16" t="str">
            <v>OLMECA CRUDE OIL</v>
          </cell>
          <cell r="E16" t="str">
            <v>COATZACOALCOS</v>
          </cell>
          <cell r="G16">
            <v>37165</v>
          </cell>
          <cell r="I16">
            <v>544089</v>
          </cell>
          <cell r="N16">
            <v>544089</v>
          </cell>
          <cell r="P16">
            <v>545083</v>
          </cell>
          <cell r="R16" t="str">
            <v>6A</v>
          </cell>
          <cell r="S16">
            <v>0.99817999999999996</v>
          </cell>
          <cell r="V16" t="str">
            <v>Y</v>
          </cell>
          <cell r="W16">
            <v>0.99817999999999996</v>
          </cell>
        </row>
        <row r="17">
          <cell r="A17" t="str">
            <v>9 TH</v>
          </cell>
          <cell r="B17" t="str">
            <v>OLMECA CRUDE OIL</v>
          </cell>
          <cell r="E17" t="str">
            <v>COATZACOALCOS</v>
          </cell>
          <cell r="G17">
            <v>37155</v>
          </cell>
          <cell r="I17">
            <v>549551</v>
          </cell>
          <cell r="N17">
            <v>549551</v>
          </cell>
          <cell r="P17">
            <v>550079</v>
          </cell>
          <cell r="R17" t="str">
            <v>6A</v>
          </cell>
          <cell r="S17">
            <v>0.99904000000000004</v>
          </cell>
          <cell r="V17" t="str">
            <v>Y</v>
          </cell>
          <cell r="W17">
            <v>0.99904000000000004</v>
          </cell>
        </row>
        <row r="18">
          <cell r="A18" t="str">
            <v xml:space="preserve">10TH </v>
          </cell>
          <cell r="B18" t="str">
            <v>OLMECA CRUDE OIL</v>
          </cell>
          <cell r="E18" t="str">
            <v>COATZACOALCOS</v>
          </cell>
          <cell r="G18">
            <v>37144</v>
          </cell>
          <cell r="I18">
            <v>557852</v>
          </cell>
          <cell r="N18">
            <v>557852</v>
          </cell>
          <cell r="P18">
            <v>558024</v>
          </cell>
          <cell r="R18" t="str">
            <v>6A</v>
          </cell>
          <cell r="S18">
            <v>0.99968999999999997</v>
          </cell>
          <cell r="V18" t="str">
            <v>Y</v>
          </cell>
          <cell r="W18">
            <v>0.99968999999999997</v>
          </cell>
        </row>
        <row r="19">
          <cell r="A19" t="str">
            <v>11TH</v>
          </cell>
          <cell r="B19" t="str">
            <v>OLMECA CRUDE OIL</v>
          </cell>
          <cell r="E19" t="str">
            <v>COATZACOALCOS</v>
          </cell>
          <cell r="G19">
            <v>37134</v>
          </cell>
          <cell r="I19">
            <v>549750</v>
          </cell>
          <cell r="N19">
            <v>549750</v>
          </cell>
          <cell r="P19">
            <v>550042</v>
          </cell>
          <cell r="R19" t="str">
            <v>6A</v>
          </cell>
          <cell r="S19">
            <v>0.99946999999999997</v>
          </cell>
          <cell r="V19" t="str">
            <v>Y</v>
          </cell>
          <cell r="W19">
            <v>0.99946999999999997</v>
          </cell>
        </row>
        <row r="20">
          <cell r="A20" t="str">
            <v>12TH</v>
          </cell>
          <cell r="B20" t="str">
            <v>CAÑO LIMON CRUDE</v>
          </cell>
          <cell r="E20" t="str">
            <v>COVEÑAS</v>
          </cell>
          <cell r="G20">
            <v>37122</v>
          </cell>
          <cell r="I20">
            <v>510220</v>
          </cell>
          <cell r="N20">
            <v>510220</v>
          </cell>
          <cell r="P20">
            <v>510015</v>
          </cell>
          <cell r="R20" t="str">
            <v>6A</v>
          </cell>
          <cell r="S20">
            <v>1.0004</v>
          </cell>
          <cell r="V20" t="str">
            <v>Y</v>
          </cell>
          <cell r="W20">
            <v>1.0004</v>
          </cell>
        </row>
        <row r="21">
          <cell r="A21" t="str">
            <v>13TH</v>
          </cell>
          <cell r="B21" t="str">
            <v>OLMECA CRUDE OIL</v>
          </cell>
          <cell r="E21" t="str">
            <v>COATZACOALCOS</v>
          </cell>
          <cell r="G21">
            <v>37110</v>
          </cell>
          <cell r="I21">
            <v>550005</v>
          </cell>
          <cell r="N21">
            <v>550005</v>
          </cell>
          <cell r="P21">
            <v>550233</v>
          </cell>
          <cell r="R21" t="str">
            <v>6A</v>
          </cell>
          <cell r="S21">
            <v>0.99958999999999998</v>
          </cell>
          <cell r="V21" t="str">
            <v>Y</v>
          </cell>
          <cell r="W21">
            <v>0.99958999999999998</v>
          </cell>
        </row>
        <row r="22">
          <cell r="A22" t="str">
            <v>14TH</v>
          </cell>
          <cell r="B22" t="str">
            <v>OLMECA CRUDE OIL</v>
          </cell>
          <cell r="E22" t="str">
            <v>COATZACOALCOS</v>
          </cell>
          <cell r="G22">
            <v>37094</v>
          </cell>
          <cell r="I22">
            <v>544697</v>
          </cell>
          <cell r="N22">
            <v>544697</v>
          </cell>
          <cell r="P22">
            <v>545227</v>
          </cell>
          <cell r="R22" t="str">
            <v>6A</v>
          </cell>
          <cell r="S22">
            <v>0.99902999999999997</v>
          </cell>
          <cell r="V22" t="str">
            <v>Y</v>
          </cell>
          <cell r="W22">
            <v>0.99902999999999997</v>
          </cell>
        </row>
        <row r="23">
          <cell r="A23" t="str">
            <v>15TH</v>
          </cell>
          <cell r="B23" t="str">
            <v>OLMECA CRUDE OIL</v>
          </cell>
          <cell r="E23" t="str">
            <v>COATZACOALCOS</v>
          </cell>
          <cell r="G23">
            <v>37086</v>
          </cell>
          <cell r="I23">
            <v>544584</v>
          </cell>
          <cell r="N23">
            <v>544584</v>
          </cell>
          <cell r="P23">
            <v>545281</v>
          </cell>
          <cell r="R23" t="str">
            <v>6A</v>
          </cell>
          <cell r="S23">
            <v>0.99872000000000005</v>
          </cell>
          <cell r="V23" t="str">
            <v>Y</v>
          </cell>
          <cell r="W23">
            <v>0.99872000000000005</v>
          </cell>
        </row>
        <row r="24">
          <cell r="A24" t="str">
            <v>16TH</v>
          </cell>
          <cell r="B24" t="str">
            <v>OLMECA CRUDE OIL</v>
          </cell>
          <cell r="E24" t="str">
            <v>COATZACOALCOS</v>
          </cell>
          <cell r="G24">
            <v>37074</v>
          </cell>
          <cell r="I24">
            <v>544566</v>
          </cell>
          <cell r="N24">
            <v>544566</v>
          </cell>
          <cell r="P24">
            <v>545247</v>
          </cell>
          <cell r="R24" t="str">
            <v>6A</v>
          </cell>
          <cell r="S24">
            <v>0.99875000000000003</v>
          </cell>
          <cell r="V24" t="str">
            <v>Y</v>
          </cell>
          <cell r="W24">
            <v>0.99875000000000003</v>
          </cell>
        </row>
        <row r="25">
          <cell r="A25" t="str">
            <v>17TH</v>
          </cell>
          <cell r="B25" t="str">
            <v>MAYA CRUDE OIL</v>
          </cell>
          <cell r="E25" t="str">
            <v>CAYO ARCAS</v>
          </cell>
          <cell r="G25">
            <v>37067</v>
          </cell>
          <cell r="I25">
            <v>519960</v>
          </cell>
          <cell r="N25">
            <v>519960</v>
          </cell>
          <cell r="P25">
            <v>520583</v>
          </cell>
          <cell r="R25" t="str">
            <v>6A</v>
          </cell>
          <cell r="S25">
            <v>0.99880000000000002</v>
          </cell>
          <cell r="V25" t="str">
            <v>Y</v>
          </cell>
          <cell r="W25">
            <v>0.99880000000000002</v>
          </cell>
        </row>
        <row r="26">
          <cell r="A26" t="str">
            <v xml:space="preserve">18TH </v>
          </cell>
          <cell r="B26" t="str">
            <v>OLMECA CRUDE OIL</v>
          </cell>
          <cell r="E26" t="str">
            <v>COATZACOALCOS</v>
          </cell>
          <cell r="G26">
            <v>37059</v>
          </cell>
          <cell r="I26">
            <v>544255</v>
          </cell>
          <cell r="N26">
            <v>544255</v>
          </cell>
          <cell r="P26">
            <v>545020</v>
          </cell>
          <cell r="R26" t="str">
            <v>6A</v>
          </cell>
          <cell r="S26">
            <v>0.99860000000000004</v>
          </cell>
          <cell r="V26" t="str">
            <v>Y</v>
          </cell>
          <cell r="W26">
            <v>0.99860000000000004</v>
          </cell>
        </row>
        <row r="27">
          <cell r="A27" t="str">
            <v>19TH</v>
          </cell>
          <cell r="B27" t="str">
            <v>LEONA 25 CRUDE OIL</v>
          </cell>
          <cell r="E27" t="str">
            <v>JOSE PLATFORM</v>
          </cell>
          <cell r="G27">
            <v>37043</v>
          </cell>
          <cell r="I27">
            <v>492584</v>
          </cell>
          <cell r="N27">
            <v>492584</v>
          </cell>
          <cell r="P27">
            <v>492495</v>
          </cell>
          <cell r="R27" t="str">
            <v>6A</v>
          </cell>
          <cell r="S27">
            <v>1.0001800000000001</v>
          </cell>
          <cell r="V27" t="str">
            <v>Y</v>
          </cell>
          <cell r="W27">
            <v>1.0001800000000001</v>
          </cell>
        </row>
        <row r="28">
          <cell r="A28" t="str">
            <v>20TH</v>
          </cell>
          <cell r="B28" t="str">
            <v>OLMECA CRUDE OIL</v>
          </cell>
          <cell r="E28" t="str">
            <v>COATZACOALCOS</v>
          </cell>
          <cell r="G28">
            <v>40317</v>
          </cell>
          <cell r="I28">
            <v>521840</v>
          </cell>
          <cell r="N28">
            <v>521840</v>
          </cell>
          <cell r="P28">
            <v>522909</v>
          </cell>
          <cell r="R28" t="str">
            <v>6A</v>
          </cell>
          <cell r="S28">
            <v>0.99795999999999996</v>
          </cell>
          <cell r="V28" t="str">
            <v>Y</v>
          </cell>
          <cell r="W28">
            <v>0.99795999999999996</v>
          </cell>
        </row>
        <row r="30">
          <cell r="N30">
            <v>10648361</v>
          </cell>
          <cell r="P30">
            <v>10656904</v>
          </cell>
          <cell r="Q30" t="str">
            <v>TOTALS</v>
          </cell>
        </row>
        <row r="31">
          <cell r="A31" t="str">
            <v xml:space="preserve">        VESSEL/TERMINAL REPRESENTATIVE</v>
          </cell>
        </row>
        <row r="32">
          <cell r="P32">
            <v>0.99919999999999998</v>
          </cell>
          <cell r="Q32" t="str">
            <v>AVERAGE T.C.V. RATIO</v>
          </cell>
        </row>
        <row r="33">
          <cell r="A33" t="str">
            <v>SIGNATURE</v>
          </cell>
        </row>
        <row r="34">
          <cell r="N34">
            <v>10648361</v>
          </cell>
          <cell r="P34">
            <v>10656904</v>
          </cell>
          <cell r="Q34" t="str">
            <v>TTL. QUALIFYING VOYAGES</v>
          </cell>
        </row>
        <row r="35">
          <cell r="A35" t="str">
            <v>PRINT NAME</v>
          </cell>
          <cell r="C35" t="str">
            <v>MILAN ZUVIC</v>
          </cell>
        </row>
        <row r="36">
          <cell r="P36">
            <v>0.99919999999999998</v>
          </cell>
          <cell r="Q36" t="str">
            <v>VEF</v>
          </cell>
        </row>
        <row r="37">
          <cell r="A37" t="str">
            <v>POSITION</v>
          </cell>
          <cell r="C37" t="str">
            <v>CHIEF OFFICER</v>
          </cell>
        </row>
        <row r="38">
          <cell r="I38" t="str">
            <v xml:space="preserve">                   FOR INSPECTORATE:</v>
          </cell>
        </row>
        <row r="39">
          <cell r="A39" t="str">
            <v>Q-VEF REV #1-01/01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HYDROSTATIC TABLE"/>
    </sheetNames>
    <sheetDataSet>
      <sheetData sheetId="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ENTRADA"/>
      <sheetName val="QOBQROB"/>
      <sheetName val="QVEF"/>
      <sheetName val="Q-VISINS"/>
      <sheetName val="Q-DOCREC"/>
      <sheetName val="Q-GEN-INDEX"/>
      <sheetName val="Q-ORDERS"/>
      <sheetName val="Q-SAMDIS"/>
      <sheetName val="Q-CKLSTL"/>
      <sheetName val="Q-VOIDS"/>
      <sheetName val="SHIPTAR"/>
      <sheetName val="Q-GAGEHT"/>
      <sheetName val=" Q-BUNKER"/>
      <sheetName val=" Q-TIMLOG"/>
      <sheetName val="QULLREP"/>
      <sheetName val="QCHEVAR"/>
      <sheetName val="Q-LINDIS"/>
      <sheetName val="Q-SUMRY"/>
      <sheetName val="Q-DISCRP"/>
      <sheetName val="TANULOD"/>
      <sheetName val="TELEX ECOPETROL"/>
      <sheetName val="Q-LOP"/>
      <sheetName val="SAMPER"/>
      <sheetName val="SHOMET"/>
      <sheetName val=" Q-COA"/>
      <sheetName val="2 parcelas"/>
      <sheetName val="3 parcelas"/>
      <sheetName val="TIERRA"/>
      <sheetName val="CERTIFICATE OF QUANTITY"/>
      <sheetName val="ENTRADA-DATOS"/>
      <sheetName val="SUMMARY"/>
      <sheetName val="1parcela"/>
      <sheetName val="EXXONMOBIL"/>
      <sheetName val="EXXON"/>
      <sheetName val="MURPHY"/>
      <sheetName val="TOTAL"/>
      <sheetName val="TELEX"/>
      <sheetName val="CONOCO"/>
      <sheetName val="VITOL"/>
      <sheetName val="EQUIVA"/>
      <sheetName val="MOBIL"/>
      <sheetName val="Q-LOT"/>
      <sheetName val="Q-PARTIC"/>
      <sheetName val="KOCH"/>
      <sheetName val="TOSCO"/>
      <sheetName val="VALERO-TIME"/>
      <sheetName val="VALERO"/>
      <sheetName val="AMOCO"/>
      <sheetName val="MARATHONS"/>
      <sheetName val="SHICARGO"/>
      <sheetName val="Q-COMPAR."/>
      <sheetName val="QCOVER"/>
      <sheetName val="OCENSA"/>
      <sheetName val="TELEX OCENSA"/>
      <sheetName val="TELEX COMERCIAL"/>
      <sheetName val="LYONDELL"/>
      <sheetName val=" PROVERS"/>
      <sheetName val="CERTIFICATE OF QUANTITY(2)"/>
      <sheetName val="CERTIFICATE OF QUANTITY (3)"/>
      <sheetName val=" 4PARCELAS"/>
      <sheetName val="CERTIFICATE OF QUANTITY (4)"/>
      <sheetName val=" 5-PARCELAS"/>
      <sheetName val="CERTIFICATE OF QUANTITY (5)"/>
      <sheetName val=" 6-PARCELAS"/>
      <sheetName val="CERTIFICATE OF QUANTITY (6)"/>
      <sheetName val="7-PARCELAS"/>
      <sheetName val="CERTIFICATE OF QUANTITY (7)"/>
      <sheetName val="8-PARCELAS"/>
      <sheetName val="CERTIFICATE OF QUANTITY (8)"/>
      <sheetName val="9-PARCELAS"/>
      <sheetName val="CERTIFICATE OF QUANTITY (9)"/>
      <sheetName val="10-PARCELAS"/>
      <sheetName val="CERTIFICATE OF QUANTITY (10)"/>
      <sheetName val="ENTRADA DE DATOS"/>
      <sheetName val="HOJA DE CALCULOS 1"/>
      <sheetName val="TIERRA-MAS DE 3TKS"/>
      <sheetName val="TIERRA-3TKS (2)"/>
      <sheetName val="TIERRA-3T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refreshError="1">
        <row r="1">
          <cell r="A1" t="str">
            <v>TO: Laureano Martinez/Claudia Otero</v>
          </cell>
        </row>
        <row r="2">
          <cell r="A2" t="str">
            <v>Coveñas,April 23,2001</v>
          </cell>
          <cell r="G2" t="str">
            <v>PRIORIDAD:</v>
          </cell>
          <cell r="H2" t="str">
            <v>RUTINARIO</v>
          </cell>
        </row>
        <row r="3">
          <cell r="A3" t="str">
            <v>Ref:</v>
          </cell>
          <cell r="B3" t="str">
            <v>C-839</v>
          </cell>
          <cell r="I3" t="str">
            <v>Tel:095-2880415</v>
          </cell>
        </row>
        <row r="4">
          <cell r="A4" t="str">
            <v>M/T:</v>
          </cell>
          <cell r="B4" t="str">
            <v>SKS TIETE</v>
          </cell>
          <cell r="H4" t="str">
            <v>Cel:7269455/7269453</v>
          </cell>
        </row>
        <row r="5">
          <cell r="A5" t="str">
            <v>PRODUCT:</v>
          </cell>
          <cell r="C5" t="str">
            <v>CUSIANA CRUDE OIL</v>
          </cell>
        </row>
        <row r="8">
          <cell r="A8" t="str">
            <v>1. TIME REPORT</v>
          </cell>
          <cell r="F8" t="str">
            <v>DATE</v>
          </cell>
          <cell r="H8" t="str">
            <v>HOUR</v>
          </cell>
        </row>
        <row r="9">
          <cell r="A9" t="str">
            <v>Vessel Arrived at coveñas(E.O.S.P)</v>
          </cell>
          <cell r="F9" t="str">
            <v>04/16/2001</v>
          </cell>
          <cell r="H9">
            <v>0.9375</v>
          </cell>
        </row>
        <row r="10">
          <cell r="A10" t="str">
            <v>Vessel Anchored</v>
          </cell>
          <cell r="F10" t="str">
            <v>04/16/2001</v>
          </cell>
          <cell r="H10">
            <v>0.96875</v>
          </cell>
        </row>
        <row r="11">
          <cell r="A11" t="str">
            <v>Anchor Aweigh</v>
          </cell>
          <cell r="F11" t="str">
            <v>04/17/2001</v>
          </cell>
          <cell r="H11">
            <v>0.72222222222222221</v>
          </cell>
        </row>
        <row r="12">
          <cell r="A12" t="str">
            <v>Pilot/Inspectorate on board</v>
          </cell>
          <cell r="F12" t="str">
            <v>04/17/2001</v>
          </cell>
          <cell r="H12">
            <v>0.7416666666666667</v>
          </cell>
        </row>
        <row r="13">
          <cell r="A13" t="str">
            <v>Key meeting started</v>
          </cell>
          <cell r="F13" t="str">
            <v>04/17/2001</v>
          </cell>
          <cell r="H13">
            <v>0.75694444444444453</v>
          </cell>
        </row>
        <row r="14">
          <cell r="A14" t="str">
            <v>Key meeting completed</v>
          </cell>
          <cell r="F14" t="str">
            <v>04/17/2001</v>
          </cell>
          <cell r="H14" t="str">
            <v>18:30</v>
          </cell>
        </row>
        <row r="15">
          <cell r="A15" t="str">
            <v>Pick up rope</v>
          </cell>
          <cell r="F15" t="str">
            <v>04/17/2001</v>
          </cell>
          <cell r="H15">
            <v>0.78749999999999998</v>
          </cell>
        </row>
        <row r="16">
          <cell r="A16" t="str">
            <v>All made fast at TLU#2</v>
          </cell>
          <cell r="F16" t="str">
            <v>04/17/2001</v>
          </cell>
          <cell r="H16">
            <v>0.79166666666666663</v>
          </cell>
        </row>
        <row r="17">
          <cell r="A17" t="str">
            <v>Cargo tanks inspected</v>
          </cell>
          <cell r="F17" t="str">
            <v>04/17/2001</v>
          </cell>
          <cell r="H17">
            <v>0.82291666666666663</v>
          </cell>
        </row>
        <row r="18">
          <cell r="A18" t="str">
            <v>Loading hoses connected(2x16")</v>
          </cell>
          <cell r="F18" t="str">
            <v>04/17/2001</v>
          </cell>
          <cell r="H18">
            <v>0.82916666666666661</v>
          </cell>
        </row>
        <row r="19">
          <cell r="A19" t="str">
            <v>Commenced loading of Cusiana C.O.</v>
          </cell>
          <cell r="F19" t="str">
            <v>04/17/2001</v>
          </cell>
          <cell r="H19" t="str">
            <v>20:24</v>
          </cell>
        </row>
        <row r="20">
          <cell r="A20" t="str">
            <v>Completed loading of Cusiana C.O.</v>
          </cell>
          <cell r="F20" t="str">
            <v>04/18/2001</v>
          </cell>
          <cell r="H20">
            <v>0.57916666666666672</v>
          </cell>
        </row>
        <row r="21">
          <cell r="A21" t="str">
            <v>Loading hoses disconnected(2x16")</v>
          </cell>
          <cell r="F21" t="str">
            <v>04/18/2001</v>
          </cell>
          <cell r="H21">
            <v>0.61250000000000004</v>
          </cell>
        </row>
        <row r="22">
          <cell r="A22" t="str">
            <v>Gauges,ullages &amp; temp.</v>
          </cell>
          <cell r="F22" t="str">
            <v>04/18/2001</v>
          </cell>
          <cell r="H22">
            <v>0.60833333333333328</v>
          </cell>
        </row>
        <row r="23">
          <cell r="A23" t="str">
            <v>Cargo calculated</v>
          </cell>
          <cell r="F23" t="str">
            <v>04/18/2001</v>
          </cell>
          <cell r="H23">
            <v>0.6875</v>
          </cell>
        </row>
        <row r="24">
          <cell r="A24" t="str">
            <v>Inspectorate document ready</v>
          </cell>
          <cell r="F24" t="str">
            <v>04/18/2001</v>
          </cell>
          <cell r="H24">
            <v>0.70138888888888884</v>
          </cell>
        </row>
        <row r="25">
          <cell r="A25" t="str">
            <v>Documents received</v>
          </cell>
          <cell r="F25" t="str">
            <v>04/18/2001</v>
          </cell>
          <cell r="H25">
            <v>0.70833333333333337</v>
          </cell>
        </row>
        <row r="26">
          <cell r="A26" t="str">
            <v>Left berth</v>
          </cell>
          <cell r="F26" t="str">
            <v>04/18/2001</v>
          </cell>
          <cell r="H26">
            <v>0.68333333333333324</v>
          </cell>
        </row>
        <row r="27">
          <cell r="A27" t="str">
            <v>Estimated time of departure</v>
          </cell>
          <cell r="F27" t="str">
            <v>04/18/2001</v>
          </cell>
          <cell r="H27">
            <v>0.79166666666666663</v>
          </cell>
        </row>
        <row r="29">
          <cell r="A29" t="str">
            <v>N.O.R. Tendered</v>
          </cell>
          <cell r="F29" t="str">
            <v>04/17/2001</v>
          </cell>
          <cell r="H29">
            <v>6.9444444444444447E-4</v>
          </cell>
        </row>
        <row r="30">
          <cell r="A30" t="str">
            <v>N.O.R. Accepted</v>
          </cell>
          <cell r="F30" t="str">
            <v>04/17/2001</v>
          </cell>
          <cell r="H30">
            <v>0.82916666666666661</v>
          </cell>
        </row>
        <row r="32">
          <cell r="A32" t="str">
            <v xml:space="preserve">B/L Date   </v>
          </cell>
          <cell r="C32" t="str">
            <v xml:space="preserve">             :</v>
          </cell>
          <cell r="D32" t="str">
            <v>04/18/2001</v>
          </cell>
        </row>
        <row r="34">
          <cell r="A34" t="str">
            <v>Loading rate requested by the Vesse   :</v>
          </cell>
          <cell r="F34">
            <v>60000</v>
          </cell>
          <cell r="G34" t="str">
            <v>Bls/hrs</v>
          </cell>
        </row>
        <row r="35">
          <cell r="A35" t="str">
            <v>Loading rate authorized by the terminal:</v>
          </cell>
          <cell r="F35">
            <v>40000</v>
          </cell>
          <cell r="G35" t="str">
            <v>Bls/hrs</v>
          </cell>
        </row>
        <row r="36">
          <cell r="A36" t="str">
            <v>Average loading rate in this loading     :</v>
          </cell>
          <cell r="F36">
            <v>35566</v>
          </cell>
          <cell r="G36" t="str">
            <v>Bls/hrs</v>
          </cell>
        </row>
        <row r="38">
          <cell r="A38" t="str">
            <v xml:space="preserve">Cargo terminated by   :  </v>
          </cell>
          <cell r="D38" t="str">
            <v>SHORE</v>
          </cell>
        </row>
        <row r="39">
          <cell r="A39" t="str">
            <v>Loading time hrs        :</v>
          </cell>
          <cell r="D39">
            <v>18.3</v>
          </cell>
        </row>
        <row r="42">
          <cell r="A42" t="str">
            <v>DELAYS  :</v>
          </cell>
          <cell r="C42" t="str">
            <v xml:space="preserve">Vessel dropped anchor on apr.16/at 22:30hrs and leave up anchor on apr.17/at 17:20hrs awaiting </v>
          </cell>
        </row>
        <row r="43">
          <cell r="C43" t="str">
            <v>terminal's instructions</v>
          </cell>
        </row>
        <row r="45">
          <cell r="A45" t="str">
            <v>STOPPAGES:</v>
          </cell>
        </row>
        <row r="49">
          <cell r="A49" t="str">
            <v>TO: Laureano Martinez/Claudia Otero</v>
          </cell>
        </row>
        <row r="50">
          <cell r="A50" t="str">
            <v>Ref:</v>
          </cell>
          <cell r="B50" t="str">
            <v>C-839</v>
          </cell>
        </row>
        <row r="51">
          <cell r="A51" t="str">
            <v>M/T:</v>
          </cell>
          <cell r="B51" t="str">
            <v>SKS TIETE</v>
          </cell>
        </row>
        <row r="52">
          <cell r="A52" t="str">
            <v>PRODUCT:</v>
          </cell>
          <cell r="C52" t="str">
            <v>CUSIANA CRUDE OIL</v>
          </cell>
          <cell r="J52" t="str">
            <v>TEL:095-2880415</v>
          </cell>
        </row>
        <row r="53">
          <cell r="J53" t="str">
            <v>CEL:7269455/7269453</v>
          </cell>
        </row>
        <row r="54">
          <cell r="D54" t="str">
            <v>ASTM</v>
          </cell>
          <cell r="F54" t="str">
            <v>IN LINE</v>
          </cell>
          <cell r="G54" t="str">
            <v>LINE</v>
          </cell>
          <cell r="H54" t="str">
            <v>WEIGHTED</v>
          </cell>
        </row>
        <row r="55">
          <cell r="A55" t="str">
            <v xml:space="preserve">2. QUALITY             METHOD              </v>
          </cell>
          <cell r="F55" t="str">
            <v>AUTOSAMP</v>
          </cell>
          <cell r="G55" t="str">
            <v>CONTENT</v>
          </cell>
          <cell r="H55" t="str">
            <v>VOLUMETRIC</v>
          </cell>
        </row>
        <row r="56">
          <cell r="A56" t="str">
            <v>API gravity at 60oF</v>
          </cell>
          <cell r="D56" t="str">
            <v>D-1298</v>
          </cell>
          <cell r="F56">
            <v>42.7</v>
          </cell>
          <cell r="G56">
            <v>41.7</v>
          </cell>
          <cell r="H56">
            <v>42.6</v>
          </cell>
        </row>
        <row r="57">
          <cell r="A57" t="str">
            <v>Water by dist vol pct</v>
          </cell>
          <cell r="D57" t="str">
            <v>D-4006</v>
          </cell>
          <cell r="F57">
            <v>2.5000000000000001E-2</v>
          </cell>
          <cell r="G57">
            <v>0.05</v>
          </cell>
          <cell r="H57">
            <v>2.8000000000000001E-2</v>
          </cell>
        </row>
        <row r="58">
          <cell r="A58" t="str">
            <v>Sediment, vol pct</v>
          </cell>
          <cell r="D58" t="str">
            <v>D-473</v>
          </cell>
          <cell r="F58">
            <v>2E-3</v>
          </cell>
          <cell r="G58">
            <v>3.0000000000000001E-3</v>
          </cell>
          <cell r="H58">
            <v>2E-3</v>
          </cell>
        </row>
        <row r="59">
          <cell r="A59" t="str">
            <v>Salt content, PTB</v>
          </cell>
          <cell r="D59" t="str">
            <v>D-3230</v>
          </cell>
          <cell r="F59">
            <v>2.2000000000000002</v>
          </cell>
          <cell r="G59">
            <v>1.3</v>
          </cell>
          <cell r="H59">
            <v>2.1</v>
          </cell>
        </row>
        <row r="60">
          <cell r="A60" t="str">
            <v>Sulphur content, wt pct</v>
          </cell>
          <cell r="D60" t="str">
            <v>D-4294</v>
          </cell>
          <cell r="F60">
            <v>0.13</v>
          </cell>
          <cell r="G60">
            <v>0.15</v>
          </cell>
          <cell r="H60">
            <v>0.13</v>
          </cell>
        </row>
        <row r="61">
          <cell r="A61" t="str">
            <v>The above result were obtained by Auto sampler in line</v>
          </cell>
        </row>
        <row r="62">
          <cell r="A62" t="str">
            <v>Above analysis results were performed by INSPECTORATE  using its own Lab/personnel/equipment.</v>
          </cell>
        </row>
        <row r="63">
          <cell r="A63" t="str">
            <v>Above analysis results were performed by INSPECTORATE  using its own Lab/personnel/equipment.</v>
          </cell>
        </row>
        <row r="65">
          <cell r="A65" t="str">
            <v>Sampler Performance*</v>
          </cell>
          <cell r="D65" t="str">
            <v>Factor:</v>
          </cell>
          <cell r="E65" t="str">
            <v>N/A</v>
          </cell>
          <cell r="G65" t="str">
            <v>Sampler vol:</v>
          </cell>
          <cell r="H65" t="str">
            <v>N/A</v>
          </cell>
          <cell r="I65" t="str">
            <v>Ltrs</v>
          </cell>
        </row>
        <row r="66">
          <cell r="A66" t="str">
            <v>Shore tanks used to load</v>
          </cell>
          <cell r="D66" t="str">
            <v>TK 7313</v>
          </cell>
          <cell r="F66" t="str">
            <v>TK 7314</v>
          </cell>
          <cell r="G66" t="str">
            <v>Tk 12020</v>
          </cell>
          <cell r="H66" t="str">
            <v>TK 7310</v>
          </cell>
        </row>
        <row r="69">
          <cell r="A69" t="str">
            <v xml:space="preserve">3. B/L QUANTITIES                                                                                                                   </v>
          </cell>
          <cell r="G69" t="str">
            <v>GSV</v>
          </cell>
          <cell r="I69" t="str">
            <v>NSV</v>
          </cell>
        </row>
        <row r="70">
          <cell r="A70" t="str">
            <v>US barrels at 60oF</v>
          </cell>
          <cell r="G70">
            <v>650851</v>
          </cell>
          <cell r="I70">
            <v>650539</v>
          </cell>
        </row>
        <row r="71">
          <cell r="A71" t="str">
            <v>Long tons</v>
          </cell>
          <cell r="G71">
            <v>82625.534450000006</v>
          </cell>
          <cell r="I71">
            <v>82585.926050000009</v>
          </cell>
        </row>
        <row r="72">
          <cell r="A72" t="str">
            <v>Metric tons</v>
          </cell>
          <cell r="G72">
            <v>83953.270489999995</v>
          </cell>
          <cell r="I72">
            <v>83913.025609999997</v>
          </cell>
        </row>
        <row r="73">
          <cell r="A73" t="str">
            <v>U.S Gallons at 60oF</v>
          </cell>
          <cell r="G73">
            <v>27335742</v>
          </cell>
          <cell r="I73">
            <v>27322638</v>
          </cell>
        </row>
        <row r="75">
          <cell r="A75" t="str">
            <v>TCV/Bbls</v>
          </cell>
          <cell r="G75">
            <v>650851</v>
          </cell>
        </row>
        <row r="76">
          <cell r="A76" t="str">
            <v>Free water from shore:</v>
          </cell>
          <cell r="G76">
            <v>0</v>
          </cell>
        </row>
        <row r="77">
          <cell r="A77" t="str">
            <v>Shore average temp.  :</v>
          </cell>
          <cell r="G77">
            <v>91.149999999999991</v>
          </cell>
        </row>
        <row r="80">
          <cell r="A80" t="str">
            <v>4. NOTES</v>
          </cell>
        </row>
        <row r="81">
          <cell r="A81" t="str">
            <v>*BSW factor=(1-(%sed+water)100)</v>
          </cell>
        </row>
        <row r="82">
          <cell r="A82" t="str">
            <v>*Net estándar volume results from multypliying gross standard volume by BSW factor.</v>
          </cell>
        </row>
        <row r="83">
          <cell r="A83" t="str">
            <v>*B/L figures established by shore  meters readings.</v>
          </cell>
        </row>
        <row r="86">
          <cell r="A86" t="str">
            <v>5.-METER FACTOR USED</v>
          </cell>
        </row>
        <row r="87">
          <cell r="B87" t="str">
            <v>METER #</v>
          </cell>
          <cell r="D87" t="str">
            <v>PREVIOUS FACTOR</v>
          </cell>
          <cell r="H87" t="str">
            <v>ACTUAL FACTOR</v>
          </cell>
        </row>
        <row r="88">
          <cell r="B88">
            <v>1</v>
          </cell>
          <cell r="D88" t="str">
            <v>N/A</v>
          </cell>
          <cell r="H88" t="str">
            <v>N/A</v>
          </cell>
        </row>
        <row r="89">
          <cell r="B89">
            <v>2</v>
          </cell>
          <cell r="D89" t="str">
            <v>N/A</v>
          </cell>
          <cell r="H89" t="str">
            <v>N/A</v>
          </cell>
        </row>
        <row r="90">
          <cell r="B90">
            <v>3</v>
          </cell>
          <cell r="D90" t="str">
            <v>N/A</v>
          </cell>
          <cell r="H90" t="str">
            <v>N/A</v>
          </cell>
        </row>
        <row r="91">
          <cell r="B91">
            <v>4</v>
          </cell>
          <cell r="D91" t="str">
            <v>N/A</v>
          </cell>
          <cell r="H91" t="str">
            <v>N/A</v>
          </cell>
        </row>
        <row r="92">
          <cell r="B92">
            <v>5</v>
          </cell>
          <cell r="D92" t="str">
            <v>N/A</v>
          </cell>
          <cell r="H92" t="str">
            <v>N/A</v>
          </cell>
        </row>
        <row r="93">
          <cell r="B93">
            <v>6</v>
          </cell>
          <cell r="D93" t="str">
            <v>N/A</v>
          </cell>
          <cell r="H93" t="str">
            <v>N/A</v>
          </cell>
        </row>
        <row r="95">
          <cell r="A95" t="str">
            <v>TO: Laureano Martinez/Claudia Otero</v>
          </cell>
        </row>
        <row r="96">
          <cell r="A96" t="str">
            <v>Ref:</v>
          </cell>
          <cell r="B96" t="str">
            <v>C-839</v>
          </cell>
        </row>
        <row r="97">
          <cell r="A97" t="str">
            <v>M/T:</v>
          </cell>
          <cell r="B97" t="str">
            <v>SKS TIETE</v>
          </cell>
        </row>
        <row r="98">
          <cell r="A98" t="str">
            <v>PRODUCT:</v>
          </cell>
          <cell r="C98" t="str">
            <v>CUSIANA CRUDE OIL</v>
          </cell>
          <cell r="J98" t="str">
            <v>TEL:095-2880415</v>
          </cell>
        </row>
        <row r="99">
          <cell r="J99" t="str">
            <v>CEL:7269455/7269453</v>
          </cell>
        </row>
        <row r="100">
          <cell r="A100" t="str">
            <v>6. SHIP FIGURES</v>
          </cell>
          <cell r="G100" t="str">
            <v>GSV</v>
          </cell>
          <cell r="I100" t="str">
            <v>NSV</v>
          </cell>
        </row>
        <row r="101">
          <cell r="A101" t="str">
            <v>US barrels at 60oF</v>
          </cell>
          <cell r="G101">
            <v>649267</v>
          </cell>
          <cell r="I101">
            <v>648955</v>
          </cell>
        </row>
        <row r="102">
          <cell r="A102" t="str">
            <v>T.C.V barrels</v>
          </cell>
          <cell r="G102">
            <v>649267</v>
          </cell>
        </row>
        <row r="103">
          <cell r="A103" t="str">
            <v>T.R.V barrels</v>
          </cell>
          <cell r="G103">
            <v>649267</v>
          </cell>
        </row>
        <row r="104">
          <cell r="A104" t="str">
            <v>Long tons</v>
          </cell>
          <cell r="G104">
            <v>82424.45</v>
          </cell>
          <cell r="I104">
            <v>82384.84</v>
          </cell>
        </row>
        <row r="105">
          <cell r="A105" t="str">
            <v>Metric tons</v>
          </cell>
          <cell r="G105">
            <v>83748.95</v>
          </cell>
          <cell r="I105">
            <v>83708.705000000002</v>
          </cell>
        </row>
        <row r="106">
          <cell r="A106" t="str">
            <v>Free water,bbls</v>
          </cell>
          <cell r="G106">
            <v>0</v>
          </cell>
        </row>
        <row r="107">
          <cell r="A107" t="str">
            <v>Average temp oF     :</v>
          </cell>
          <cell r="G107">
            <v>92.085714285714289</v>
          </cell>
        </row>
        <row r="109">
          <cell r="A109" t="str">
            <v>TCV=GSV+FREE WATER</v>
          </cell>
        </row>
        <row r="110">
          <cell r="A110" t="str">
            <v>TRV=TCV-OBQ</v>
          </cell>
        </row>
        <row r="111">
          <cell r="A111" t="str">
            <v>(*)ship net standard volume calculated by applying mathematical average values sediment and water</v>
          </cell>
        </row>
        <row r="112">
          <cell r="A112" t="str">
            <v xml:space="preserve">     results of the Auto sampler in line.</v>
          </cell>
        </row>
        <row r="114">
          <cell r="A114" t="str">
            <v>Cargo tanks:</v>
          </cell>
          <cell r="G114" t="str">
            <v>THREE LAST CARGOES</v>
          </cell>
        </row>
        <row r="115">
          <cell r="A115" t="str">
            <v>1,2,3,4,5,6 &amp;7HOLD TANKS</v>
          </cell>
          <cell r="G115" t="str">
            <v>Last cargo:</v>
          </cell>
          <cell r="H115" t="str">
            <v>QUA IBOE LIGHT</v>
          </cell>
        </row>
        <row r="116">
          <cell r="A116" t="str">
            <v>AND SLOP WINGS TANKS</v>
          </cell>
          <cell r="G116" t="str">
            <v>Second last:</v>
          </cell>
          <cell r="H116" t="str">
            <v>ALGERIAN CONDENSATE</v>
          </cell>
        </row>
        <row r="117">
          <cell r="G117" t="str">
            <v>Third last :</v>
          </cell>
          <cell r="H117" t="str">
            <v>ALGERIAN CONDENSATE</v>
          </cell>
        </row>
        <row r="119">
          <cell r="A119" t="str">
            <v>7. INSPECTION ON BOARD</v>
          </cell>
        </row>
        <row r="121">
          <cell r="A121" t="str">
            <v>O.B.Q. Total        =</v>
          </cell>
          <cell r="D121">
            <v>0</v>
          </cell>
        </row>
        <row r="122">
          <cell r="A122" t="str">
            <v>O.B.Q. To be deducted   =</v>
          </cell>
          <cell r="D122">
            <v>0</v>
          </cell>
        </row>
        <row r="125">
          <cell r="A125" t="str">
            <v>8.LOAD PORT VOYAGE ANALYSIS</v>
          </cell>
        </row>
        <row r="126">
          <cell r="A126" t="str">
            <v>V.E.F.</v>
          </cell>
          <cell r="F126">
            <v>0.99939999999999996</v>
          </cell>
        </row>
        <row r="127">
          <cell r="A127" t="str">
            <v>T.O.V.</v>
          </cell>
          <cell r="F127">
            <v>660236</v>
          </cell>
        </row>
        <row r="128">
          <cell r="A128" t="str">
            <v>Less free water after loading</v>
          </cell>
          <cell r="F128">
            <v>0</v>
          </cell>
        </row>
        <row r="129">
          <cell r="A129" t="str">
            <v>G.O.V.</v>
          </cell>
          <cell r="F129">
            <v>660236</v>
          </cell>
        </row>
        <row r="130">
          <cell r="A130" t="str">
            <v>Total GSV on board after loading</v>
          </cell>
          <cell r="F130">
            <v>649267</v>
          </cell>
        </row>
        <row r="131">
          <cell r="A131" t="str">
            <v>Plus free water loaded</v>
          </cell>
          <cell r="F131">
            <v>0</v>
          </cell>
        </row>
        <row r="132">
          <cell r="A132" t="str">
            <v>TCV total  on board</v>
          </cell>
          <cell r="F132">
            <v>649267</v>
          </cell>
        </row>
        <row r="133">
          <cell r="A133" t="str">
            <v>Minus OBQ</v>
          </cell>
          <cell r="F133">
            <v>0</v>
          </cell>
        </row>
        <row r="134">
          <cell r="A134" t="str">
            <v>TCV  loaded</v>
          </cell>
          <cell r="F134">
            <v>649267</v>
          </cell>
        </row>
        <row r="135">
          <cell r="A135" t="str">
            <v>Divided by VEF</v>
          </cell>
          <cell r="F135">
            <v>0.99939999999999996</v>
          </cell>
        </row>
        <row r="136">
          <cell r="A136" t="str">
            <v>Adjusted TCV loaded</v>
          </cell>
          <cell r="F136">
            <v>649657</v>
          </cell>
        </row>
        <row r="137">
          <cell r="A137" t="str">
            <v>Actual B/L TCV</v>
          </cell>
          <cell r="F137">
            <v>650851</v>
          </cell>
        </row>
        <row r="138">
          <cell r="A138" t="str">
            <v>Difference</v>
          </cell>
          <cell r="F138">
            <v>-1194</v>
          </cell>
        </row>
        <row r="139">
          <cell r="A139" t="str">
            <v>Pct</v>
          </cell>
          <cell r="F139">
            <v>-0.18</v>
          </cell>
        </row>
        <row r="141">
          <cell r="A141" t="str">
            <v>TO: Laureano Martinez/Claudia Otero</v>
          </cell>
        </row>
        <row r="142">
          <cell r="A142" t="str">
            <v>Ref:</v>
          </cell>
          <cell r="B142" t="str">
            <v>C-839</v>
          </cell>
        </row>
        <row r="143">
          <cell r="A143" t="str">
            <v>M/T:</v>
          </cell>
          <cell r="B143" t="str">
            <v>SKS TIETE</v>
          </cell>
        </row>
        <row r="144">
          <cell r="A144" t="str">
            <v>PRODUCT:</v>
          </cell>
          <cell r="C144" t="str">
            <v>CUSIANA CRUDE OIL</v>
          </cell>
          <cell r="J144" t="str">
            <v>TEL:095-2880415</v>
          </cell>
        </row>
        <row r="145">
          <cell r="J145" t="str">
            <v>CEL:7269455/7269453</v>
          </cell>
        </row>
        <row r="147">
          <cell r="B147" t="str">
            <v>BOL FIGURES</v>
          </cell>
          <cell r="E147" t="str">
            <v>SHIP TCV LOADED</v>
          </cell>
          <cell r="H147" t="str">
            <v>DIFFERENCE</v>
          </cell>
          <cell r="J147" t="str">
            <v>PCT</v>
          </cell>
        </row>
        <row r="148">
          <cell r="B148">
            <v>650851</v>
          </cell>
          <cell r="F148">
            <v>649267</v>
          </cell>
          <cell r="H148">
            <v>-1584</v>
          </cell>
          <cell r="J148">
            <v>-0.24</v>
          </cell>
        </row>
        <row r="150">
          <cell r="B150" t="str">
            <v>BOL FIGURES</v>
          </cell>
          <cell r="E150" t="str">
            <v>THEORETICAL- TCV(VEF)</v>
          </cell>
          <cell r="H150" t="str">
            <v>DIFFERENCE</v>
          </cell>
          <cell r="J150" t="str">
            <v>PCT</v>
          </cell>
        </row>
        <row r="151">
          <cell r="B151">
            <v>650851</v>
          </cell>
          <cell r="F151">
            <v>649657</v>
          </cell>
          <cell r="H151">
            <v>-1194</v>
          </cell>
          <cell r="J151">
            <v>-0.18</v>
          </cell>
        </row>
        <row r="154">
          <cell r="A154" t="str">
            <v>9. BUNKER</v>
          </cell>
          <cell r="F154" t="str">
            <v>BEFORE</v>
          </cell>
          <cell r="H154" t="str">
            <v>AFTER</v>
          </cell>
          <cell r="I154" t="str">
            <v>COMPSUPTION MT</v>
          </cell>
        </row>
        <row r="155">
          <cell r="A155" t="str">
            <v>Fuel Oil</v>
          </cell>
        </row>
        <row r="156">
          <cell r="A156" t="str">
            <v>GSV, Bbls</v>
          </cell>
          <cell r="F156">
            <v>4692</v>
          </cell>
          <cell r="H156">
            <v>4667</v>
          </cell>
        </row>
        <row r="157">
          <cell r="A157" t="str">
            <v>Metric Tons</v>
          </cell>
          <cell r="F157">
            <v>0.15731999999999999</v>
          </cell>
          <cell r="H157">
            <v>734.21199999999999</v>
          </cell>
          <cell r="I157">
            <v>3.9329999999999927</v>
          </cell>
        </row>
        <row r="158">
          <cell r="A158" t="str">
            <v xml:space="preserve">Diesel </v>
          </cell>
        </row>
        <row r="159">
          <cell r="A159" t="str">
            <v>GSV, Bbls</v>
          </cell>
          <cell r="F159">
            <v>768</v>
          </cell>
          <cell r="H159">
            <v>762</v>
          </cell>
        </row>
        <row r="160">
          <cell r="A160" t="str">
            <v>Metric Tons</v>
          </cell>
          <cell r="F160">
            <v>108.15</v>
          </cell>
          <cell r="H160">
            <v>107.30500000000001</v>
          </cell>
          <cell r="I160">
            <v>0.84499999999999886</v>
          </cell>
        </row>
        <row r="163">
          <cell r="A163" t="str">
            <v>10. DRAFT</v>
          </cell>
          <cell r="F163" t="str">
            <v>ARRIVAL</v>
          </cell>
          <cell r="H163" t="str">
            <v>SAILING</v>
          </cell>
        </row>
        <row r="164">
          <cell r="A164" t="str">
            <v>Fore(m)</v>
          </cell>
          <cell r="F164" t="str">
            <v>7.20 M</v>
          </cell>
          <cell r="H164" t="str">
            <v>12.60M</v>
          </cell>
        </row>
        <row r="165">
          <cell r="A165" t="str">
            <v>Afetr(m)</v>
          </cell>
          <cell r="F165" t="str">
            <v>9.20 M</v>
          </cell>
          <cell r="H165" t="str">
            <v>13.10M</v>
          </cell>
        </row>
        <row r="168">
          <cell r="A168" t="str">
            <v>11.  BALLAST</v>
          </cell>
        </row>
        <row r="169">
          <cell r="A169" t="str">
            <v>Tank number</v>
          </cell>
          <cell r="F169" t="str">
            <v>QUANTITY</v>
          </cell>
        </row>
        <row r="170">
          <cell r="A170" t="str">
            <v>F.P.T</v>
          </cell>
          <cell r="F170" t="str">
            <v>EMPTY</v>
          </cell>
        </row>
        <row r="171">
          <cell r="A171" t="str">
            <v>1 WINGS</v>
          </cell>
          <cell r="F171" t="str">
            <v>5271  MT</v>
          </cell>
        </row>
        <row r="172">
          <cell r="A172" t="str">
            <v>2 WINGS</v>
          </cell>
          <cell r="F172" t="str">
            <v>12236  MT</v>
          </cell>
        </row>
        <row r="173">
          <cell r="A173" t="str">
            <v>3 WINGS</v>
          </cell>
          <cell r="F173" t="str">
            <v>6205  MT</v>
          </cell>
        </row>
        <row r="174">
          <cell r="A174" t="str">
            <v>4 WINGS</v>
          </cell>
          <cell r="F174" t="str">
            <v>7508  MT</v>
          </cell>
        </row>
        <row r="175">
          <cell r="A175" t="str">
            <v>5 WINGS</v>
          </cell>
          <cell r="F175" t="str">
            <v>10373  MT</v>
          </cell>
        </row>
        <row r="176">
          <cell r="A176" t="str">
            <v>A.P.T</v>
          </cell>
          <cell r="F176" t="str">
            <v>EMPTY</v>
          </cell>
        </row>
        <row r="177">
          <cell r="A177" t="str">
            <v>A.P.T</v>
          </cell>
          <cell r="F177" t="str">
            <v>EMPTY</v>
          </cell>
        </row>
        <row r="183">
          <cell r="A183" t="str">
            <v>TOTAL ............................</v>
          </cell>
          <cell r="F183" t="str">
            <v>41593  MT</v>
          </cell>
        </row>
        <row r="184">
          <cell r="A184" t="str">
            <v>DEPARTURE</v>
          </cell>
          <cell r="F184" t="str">
            <v>EMPTY</v>
          </cell>
        </row>
        <row r="186">
          <cell r="A186" t="str">
            <v>TO: Laureano Martinez/Claudia Otero</v>
          </cell>
        </row>
        <row r="187">
          <cell r="A187" t="str">
            <v>Ref:</v>
          </cell>
          <cell r="B187" t="str">
            <v>C-839</v>
          </cell>
        </row>
        <row r="188">
          <cell r="A188" t="str">
            <v>M/T:</v>
          </cell>
          <cell r="B188" t="str">
            <v>SKS TIETE</v>
          </cell>
        </row>
        <row r="189">
          <cell r="A189" t="str">
            <v>PRODUCT:</v>
          </cell>
          <cell r="C189" t="str">
            <v>CUSIANA CRUDE OIL</v>
          </cell>
          <cell r="J189" t="str">
            <v>TEL:095-2880415</v>
          </cell>
        </row>
        <row r="190">
          <cell r="J190" t="str">
            <v>CEL:7269455/7269453</v>
          </cell>
        </row>
        <row r="191">
          <cell r="A191" t="str">
            <v>12.SAMPLE REPORT</v>
          </cell>
        </row>
        <row r="192">
          <cell r="A192" t="str">
            <v>DESCRIPTION</v>
          </cell>
          <cell r="F192" t="str">
            <v>SIZE</v>
          </cell>
          <cell r="H192" t="str">
            <v>SEAL</v>
          </cell>
        </row>
        <row r="193">
          <cell r="A193" t="str">
            <v xml:space="preserve">SHIP'S TANKS COMPOSITE </v>
          </cell>
          <cell r="F193" t="str">
            <v>1 GALLON</v>
          </cell>
          <cell r="H193" t="str">
            <v>781746</v>
          </cell>
        </row>
        <row r="194">
          <cell r="A194" t="str">
            <v>BUNKER FUEL OIL</v>
          </cell>
          <cell r="F194" t="str">
            <v>1/4 GALLON</v>
          </cell>
          <cell r="H194" t="str">
            <v>781554</v>
          </cell>
        </row>
        <row r="195">
          <cell r="A195" t="str">
            <v>BUNKER DIESEL OIL</v>
          </cell>
          <cell r="F195" t="str">
            <v>1/4 GALLON</v>
          </cell>
          <cell r="H195" t="str">
            <v>781040</v>
          </cell>
        </row>
        <row r="196">
          <cell r="A196" t="str">
            <v>SHORE LINE CONTENT(4 Hold)</v>
          </cell>
          <cell r="F196" t="str">
            <v>1/4 GALLON</v>
          </cell>
          <cell r="H196" t="str">
            <v>781626</v>
          </cell>
        </row>
        <row r="197">
          <cell r="A197" t="str">
            <v>SHORE TANK 7313</v>
          </cell>
          <cell r="F197" t="str">
            <v>1 GALLON</v>
          </cell>
          <cell r="H197" t="str">
            <v>781999</v>
          </cell>
        </row>
        <row r="198">
          <cell r="A198" t="str">
            <v>SHORE TANK 7314</v>
          </cell>
          <cell r="F198" t="str">
            <v>1 GALLON</v>
          </cell>
          <cell r="H198" t="str">
            <v>782000</v>
          </cell>
        </row>
        <row r="199">
          <cell r="A199" t="str">
            <v>SHORE TANK 12020</v>
          </cell>
          <cell r="F199" t="str">
            <v>1 GALLON</v>
          </cell>
          <cell r="H199" t="str">
            <v>781203</v>
          </cell>
        </row>
        <row r="200">
          <cell r="A200" t="str">
            <v>SLOPS</v>
          </cell>
        </row>
        <row r="201">
          <cell r="A201" t="str">
            <v>SLOPS</v>
          </cell>
          <cell r="F201" t="str">
            <v>SLOP P</v>
          </cell>
          <cell r="H201" t="str">
            <v>SLOP S</v>
          </cell>
        </row>
        <row r="202">
          <cell r="A202" t="str">
            <v>TANK NUMBER</v>
          </cell>
          <cell r="F202" t="str">
            <v>SLOP P</v>
          </cell>
          <cell r="H202" t="str">
            <v>SLOP S</v>
          </cell>
        </row>
        <row r="203">
          <cell r="A203" t="str">
            <v>Total contents, TOV</v>
          </cell>
          <cell r="F203">
            <v>11</v>
          </cell>
          <cell r="H203">
            <v>83</v>
          </cell>
        </row>
        <row r="204">
          <cell r="A204" t="str">
            <v>Free water,Bbls</v>
          </cell>
          <cell r="F204">
            <v>0</v>
          </cell>
          <cell r="H204">
            <v>0</v>
          </cell>
        </row>
        <row r="205">
          <cell r="A205" t="str">
            <v>Total GOV,Bbls</v>
          </cell>
          <cell r="F205">
            <v>11</v>
          </cell>
          <cell r="H205">
            <v>83</v>
          </cell>
        </row>
        <row r="206">
          <cell r="A206" t="str">
            <v>Loaded on top</v>
          </cell>
          <cell r="F206" t="str">
            <v>NOT</v>
          </cell>
          <cell r="H206" t="str">
            <v>NOT</v>
          </cell>
        </row>
        <row r="208">
          <cell r="A208" t="str">
            <v>13.NOTES</v>
          </cell>
        </row>
        <row r="209">
          <cell r="A209" t="str">
            <v>13.NOTES</v>
          </cell>
        </row>
        <row r="210">
          <cell r="A210" t="str">
            <v>Samples representing cargo in tks at the time for delivered will be retained for 45 days as per referee</v>
          </cell>
        </row>
        <row r="211">
          <cell r="A211" t="str">
            <v>purposes</v>
          </cell>
        </row>
        <row r="212">
          <cell r="A212" t="str">
            <v>Sea valves closing and sealing report:</v>
          </cell>
          <cell r="F212" t="str">
            <v>SEA CHEST(S)</v>
          </cell>
          <cell r="H212" t="str">
            <v>781252</v>
          </cell>
        </row>
        <row r="213">
          <cell r="A213" t="str">
            <v>Sea valves closing and sealing report:</v>
          </cell>
          <cell r="F213" t="str">
            <v>SEA CHEST(P)</v>
          </cell>
          <cell r="H213" t="str">
            <v>NONE</v>
          </cell>
        </row>
        <row r="214">
          <cell r="F214" t="str">
            <v>SEA CHEST(S)</v>
          </cell>
          <cell r="H214" t="str">
            <v>NONE</v>
          </cell>
        </row>
        <row r="215">
          <cell r="F215" t="str">
            <v>OVERBOARD(P)</v>
          </cell>
          <cell r="H215" t="str">
            <v>781254</v>
          </cell>
        </row>
        <row r="218">
          <cell r="A218" t="str">
            <v>LAST PORT:</v>
          </cell>
          <cell r="D218" t="str">
            <v>PAULSBORO,PHILADELPHIA</v>
          </cell>
        </row>
        <row r="219">
          <cell r="A219" t="str">
            <v>LAST PORT:</v>
          </cell>
          <cell r="D219" t="str">
            <v>BEUMONT, NEDERLAND.TX</v>
          </cell>
        </row>
        <row r="220">
          <cell r="A220" t="str">
            <v>NEXT PORT:</v>
          </cell>
          <cell r="D220" t="str">
            <v>CORPUS CHRISTI, TEXAS</v>
          </cell>
        </row>
        <row r="221">
          <cell r="A221" t="str">
            <v>SCAD CODE:</v>
          </cell>
          <cell r="D221" t="str">
            <v>SKSB10180401,01</v>
          </cell>
        </row>
        <row r="222">
          <cell r="A222" t="str">
            <v>ETA             :</v>
          </cell>
          <cell r="D222" t="str">
            <v>04/23/01 AM</v>
          </cell>
        </row>
        <row r="224">
          <cell r="A224" t="str">
            <v>14.  LETTER OF PROTEST/NOTE OF APPARENT DISCREPANCY</v>
          </cell>
        </row>
        <row r="225">
          <cell r="A225" t="str">
            <v>14.  LETTER OF PROTEST/NOTE OF APPARENT DISCREPANCY</v>
          </cell>
        </row>
        <row r="226">
          <cell r="A226" t="str"/>
        </row>
        <row r="227">
          <cell r="A227" t="str">
            <v xml:space="preserve"> Discreppancy for difference between ship/after before applied VEF</v>
          </cell>
        </row>
        <row r="231">
          <cell r="A231" t="str">
            <v>TO: Laureano Martinez/Claudia Otero</v>
          </cell>
        </row>
        <row r="232">
          <cell r="A232" t="str">
            <v>Ref:</v>
          </cell>
          <cell r="B232" t="str">
            <v>C-839</v>
          </cell>
        </row>
        <row r="233">
          <cell r="A233" t="str">
            <v>M/T:</v>
          </cell>
          <cell r="B233" t="str">
            <v>SKS TIETE</v>
          </cell>
        </row>
        <row r="234">
          <cell r="A234" t="str">
            <v>PRODUCT:</v>
          </cell>
          <cell r="C234" t="str">
            <v>CUSIANA CRUDE OIL</v>
          </cell>
          <cell r="J234" t="str">
            <v>TEL:095-2880415</v>
          </cell>
        </row>
        <row r="235">
          <cell r="J235" t="str">
            <v>CEL:7269455/7269453</v>
          </cell>
        </row>
        <row r="237">
          <cell r="A237" t="str">
            <v>15.LINE DISPLACEMENT REPORT</v>
          </cell>
        </row>
        <row r="239">
          <cell r="B239" t="str">
            <v>TOTAL RECEIVED ON BOARD          :</v>
          </cell>
          <cell r="G239" t="str">
            <v>N/A</v>
          </cell>
          <cell r="H239" t="str">
            <v>BBLS</v>
          </cell>
        </row>
        <row r="240">
          <cell r="B240" t="str">
            <v>TOTAL DELIVERED FROM SHORE  :</v>
          </cell>
          <cell r="G240" t="str">
            <v>N/A</v>
          </cell>
          <cell r="H240" t="str">
            <v>BBLS</v>
          </cell>
        </row>
        <row r="241">
          <cell r="B241" t="str">
            <v xml:space="preserve">DIFFERENCE </v>
          </cell>
          <cell r="F241" t="str">
            <v xml:space="preserve">                :</v>
          </cell>
          <cell r="G241" t="str">
            <v>N/A</v>
          </cell>
          <cell r="H241" t="str">
            <v>BBLS</v>
          </cell>
        </row>
        <row r="242">
          <cell r="B242" t="str">
            <v>*BY AUTOMATIC MEASURING(SHORE)</v>
          </cell>
        </row>
        <row r="246">
          <cell r="A246" t="str">
            <v>16.DOCUMENTS DISTRIBUTION REPORT:</v>
          </cell>
          <cell r="G246" t="str">
            <v>ONE COPY OF EACH DOCUMENT DELIVERED TO THE</v>
          </cell>
        </row>
        <row r="247">
          <cell r="A247" t="str">
            <v>MASTER FOR THIS OWN USE, ORIGINAL TO TERMINAL COVEÑAS AND ONE COPY TO INSPECTORATE</v>
          </cell>
        </row>
        <row r="248">
          <cell r="A248" t="str">
            <v>COVEÑAS.</v>
          </cell>
        </row>
        <row r="256">
          <cell r="A256" t="str">
            <v>ALVARO CANTER D</v>
          </cell>
        </row>
        <row r="257">
          <cell r="A257" t="str">
            <v>SUPERVISOR DE OPERACIONES</v>
          </cell>
        </row>
        <row r="258">
          <cell r="A258" t="str">
            <v>INSPECTORATE COVEÑAS</v>
          </cell>
        </row>
      </sheetData>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NTRADA"/>
      <sheetName val="QOBQROB"/>
      <sheetName val="QVEF"/>
      <sheetName val="Q-VISINS"/>
      <sheetName val="Q-ORDERS"/>
      <sheetName val="Q-SAMDIS"/>
      <sheetName val="Q-VOIDS"/>
      <sheetName val="SHIPTAR"/>
      <sheetName val="Q-GAGEHT"/>
      <sheetName val="Q-CKLSTL"/>
      <sheetName val="Q-COMPAR."/>
      <sheetName val=" Q-BUNKER"/>
      <sheetName val="Q-GEN-INDEX"/>
      <sheetName val=" Q-COA"/>
      <sheetName val="Q-DOCREC"/>
      <sheetName val=" Q-TIMLOG"/>
      <sheetName val="QULLREP"/>
      <sheetName val="SHOMET"/>
      <sheetName val="SAMPER"/>
      <sheetName val="QCHEVAR"/>
      <sheetName val="Q-SUMRY"/>
      <sheetName val="TANULOD"/>
      <sheetName val="Q-DISCRP"/>
      <sheetName val="Q-LOP"/>
      <sheetName val="Q-LINDIS"/>
      <sheetName val="SHICARGO"/>
      <sheetName val="TELEX ECOPETROL"/>
      <sheetName val="TELEX COMERCIAL"/>
      <sheetName val="KOCH"/>
      <sheetName val="VITOL"/>
      <sheetName val="TIERRA-3TKS"/>
      <sheetName val="EXXONMOBIL"/>
      <sheetName val="MURPHY"/>
      <sheetName val="VALERO"/>
      <sheetName val="LYONDELL"/>
      <sheetName val="MOBIL"/>
      <sheetName val="TOTAL"/>
      <sheetName val="Q-LOT"/>
      <sheetName val="TOSCO"/>
      <sheetName val="VALERO-TIME"/>
      <sheetName val="BP AMOCO"/>
      <sheetName val="AMOCO"/>
      <sheetName val="EQUIVA"/>
      <sheetName val="MARATHONS"/>
      <sheetName val="Q-PARTIC"/>
      <sheetName val=" PROVERS"/>
      <sheetName val="TANULOD (2)"/>
      <sheetName val=" Q-TIMLOG (2)"/>
      <sheetName val="Q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3">
          <cell r="E3" t="str">
            <v>TANKS NOT USED FOR</v>
          </cell>
        </row>
        <row r="4">
          <cell r="E4" t="str">
            <v>LOADING/DISCHARGE</v>
          </cell>
          <cell r="I4" t="str">
            <v>VESSEL:</v>
          </cell>
          <cell r="J4" t="str">
            <v>GLENROSS</v>
          </cell>
        </row>
        <row r="5">
          <cell r="I5" t="str">
            <v>PORT:</v>
          </cell>
          <cell r="J5" t="str">
            <v>COVENAS,COLOMBIA</v>
          </cell>
        </row>
        <row r="6">
          <cell r="I6" t="str">
            <v>PRODUCT:</v>
          </cell>
          <cell r="J6" t="str">
            <v>VASCONIA CRUDE OIL</v>
          </cell>
        </row>
        <row r="7">
          <cell r="D7" t="str">
            <v xml:space="preserve">FWD: </v>
          </cell>
          <cell r="E7" t="str">
            <v>5.40 m</v>
          </cell>
          <cell r="I7" t="str">
            <v>JOB No:</v>
          </cell>
          <cell r="J7" t="str">
            <v>0204-01-1-01BT02</v>
          </cell>
        </row>
        <row r="8">
          <cell r="A8" t="str">
            <v>Before loading/Discharge</v>
          </cell>
          <cell r="D8" t="str">
            <v>AFT:</v>
          </cell>
          <cell r="E8" t="str">
            <v>8.40 m</v>
          </cell>
          <cell r="I8" t="str">
            <v>DATE:</v>
          </cell>
          <cell r="J8" t="str">
            <v>01/10/2002</v>
          </cell>
        </row>
        <row r="9">
          <cell r="E9" t="str">
            <v>GROSS</v>
          </cell>
          <cell r="F9" t="str">
            <v>INNAGE</v>
          </cell>
          <cell r="G9" t="str">
            <v>WATER</v>
          </cell>
          <cell r="H9" t="str">
            <v>TEMP</v>
          </cell>
          <cell r="I9" t="str">
            <v>GROSS</v>
          </cell>
          <cell r="J9" t="str">
            <v>VCF</v>
          </cell>
        </row>
        <row r="10">
          <cell r="A10" t="str">
            <v>TANK</v>
          </cell>
          <cell r="B10" t="str">
            <v>CONTENTS</v>
          </cell>
          <cell r="C10" t="str">
            <v>ULLAGE</v>
          </cell>
          <cell r="D10" t="str">
            <v>INNAGE</v>
          </cell>
          <cell r="E10" t="str">
            <v>VOLUME</v>
          </cell>
          <cell r="F10" t="str">
            <v>WATER</v>
          </cell>
          <cell r="G10" t="str">
            <v>VOLUME</v>
          </cell>
          <cell r="H10" t="str">
            <v>oF</v>
          </cell>
          <cell r="I10" t="str">
            <v>BBLS</v>
          </cell>
          <cell r="J10" t="str">
            <v>T-6A</v>
          </cell>
          <cell r="K10" t="str">
            <v>BARRELS AT 60oF</v>
          </cell>
        </row>
        <row r="11">
          <cell r="A11" t="str">
            <v>SLOP PORT</v>
          </cell>
          <cell r="B11" t="str">
            <v>OIL/WATER</v>
          </cell>
          <cell r="C11">
            <v>16.690000000000001</v>
          </cell>
          <cell r="E11">
            <v>101</v>
          </cell>
          <cell r="F11">
            <v>17.010000000000002</v>
          </cell>
          <cell r="G11">
            <v>68</v>
          </cell>
          <cell r="I11">
            <v>33</v>
          </cell>
        </row>
        <row r="12">
          <cell r="A12" t="str">
            <v>SLOP STBD</v>
          </cell>
          <cell r="B12" t="str">
            <v>OIL/WATER</v>
          </cell>
          <cell r="C12">
            <v>9.3000000000000007</v>
          </cell>
          <cell r="E12">
            <v>1649</v>
          </cell>
          <cell r="F12">
            <v>13.9</v>
          </cell>
          <cell r="G12">
            <v>602</v>
          </cell>
          <cell r="I12">
            <v>1047</v>
          </cell>
        </row>
        <row r="21">
          <cell r="D21" t="str">
            <v>FWD:</v>
          </cell>
          <cell r="E21" t="str">
            <v>11.40 m</v>
          </cell>
        </row>
        <row r="22">
          <cell r="A22" t="str">
            <v>After loading/Discharge</v>
          </cell>
          <cell r="D22" t="str">
            <v>AFT:</v>
          </cell>
          <cell r="E22" t="str">
            <v>11.40 m</v>
          </cell>
        </row>
        <row r="23">
          <cell r="E23" t="str">
            <v>GROSS</v>
          </cell>
          <cell r="F23" t="str">
            <v>INNAGE</v>
          </cell>
          <cell r="G23" t="str">
            <v>WATER</v>
          </cell>
          <cell r="H23" t="str">
            <v>TEMP</v>
          </cell>
          <cell r="I23" t="str">
            <v>GROSS</v>
          </cell>
          <cell r="J23" t="str">
            <v>VCF</v>
          </cell>
        </row>
        <row r="24">
          <cell r="A24" t="str">
            <v>TANK</v>
          </cell>
          <cell r="B24" t="str">
            <v>CONTENTS</v>
          </cell>
          <cell r="C24" t="str">
            <v>ULLAGE</v>
          </cell>
          <cell r="D24" t="str">
            <v>INNAGE</v>
          </cell>
          <cell r="E24" t="str">
            <v>VOLUME</v>
          </cell>
          <cell r="F24" t="str">
            <v>WATER</v>
          </cell>
          <cell r="G24" t="str">
            <v>VOLUME</v>
          </cell>
          <cell r="H24" t="str">
            <v>oF</v>
          </cell>
          <cell r="I24" t="str">
            <v>BBLS</v>
          </cell>
          <cell r="J24" t="str">
            <v>T-6A</v>
          </cell>
          <cell r="K24" t="str">
            <v>BARRELS AT 60oF</v>
          </cell>
        </row>
        <row r="25">
          <cell r="A25" t="str">
            <v>SLOP PORT</v>
          </cell>
          <cell r="B25" t="str">
            <v>OIL/WATER</v>
          </cell>
          <cell r="C25">
            <v>16.690000000000001</v>
          </cell>
          <cell r="E25">
            <v>101</v>
          </cell>
          <cell r="F25">
            <v>17.010000000000002</v>
          </cell>
          <cell r="G25">
            <v>68</v>
          </cell>
          <cell r="I25">
            <v>33</v>
          </cell>
        </row>
        <row r="26">
          <cell r="A26" t="str">
            <v>SLOP STBD</v>
          </cell>
          <cell r="B26" t="str">
            <v>OIL/WATER</v>
          </cell>
          <cell r="C26">
            <v>9.3000000000000007</v>
          </cell>
          <cell r="E26">
            <v>1649</v>
          </cell>
          <cell r="F26">
            <v>13.9</v>
          </cell>
          <cell r="G26">
            <v>602</v>
          </cell>
          <cell r="I26">
            <v>1047</v>
          </cell>
        </row>
        <row r="34">
          <cell r="A34" t="str">
            <v>Trim/list correction applied/not applied</v>
          </cell>
        </row>
        <row r="35">
          <cell r="A35" t="str">
            <v>TANULOD</v>
          </cell>
          <cell r="E35" t="str">
            <v>VESSEL</v>
          </cell>
          <cell r="H35" t="str">
            <v xml:space="preserve">           INSPECTORATE</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Data"/>
      <sheetName val="VEF"/>
      <sheetName val="VOY DATA"/>
      <sheetName val="VOY ABS BAL"/>
      <sheetName val="NOR LOAD"/>
      <sheetName val="TLX SAM ARR BAL"/>
      <sheetName val="ULL LOAD"/>
      <sheetName val="LOP for BoL"/>
      <sheetName val="PORT LOG ABST"/>
      <sheetName val="TLX DEP LOAD"/>
      <sheetName val="VOY ABS LOAD"/>
      <sheetName val="HEATING LOG"/>
      <sheetName val="PORTLOGABST DIS"/>
      <sheetName val="NOR DISP"/>
      <sheetName val="ULL DIS"/>
      <sheetName val="TLX SAM ARR LOAD"/>
      <sheetName val="TLX DEP DISC"/>
      <sheetName val="Voy Abst. Page 2"/>
      <sheetName val="DOCS TRANSMISSION"/>
      <sheetName val="NEWPORT"/>
      <sheetName val="Fleet"/>
      <sheetName val="Agencies"/>
    </sheetNames>
    <sheetDataSet>
      <sheetData sheetId="0">
        <row r="3">
          <cell r="B3" t="str">
            <v>M/T FOUR SEAS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hyperlink" Target="mailto:pabel.mslogistics@yahoo.com" TargetMode="External" Id="rId1"/><Relationship Type="http://schemas.openxmlformats.org/officeDocument/2006/relationships/drawing" Target="/xl/drawings/drawing3.xml" Id="rId2"/></Relationships>
</file>

<file path=xl/worksheets/_rels/sheet5.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_rels/sheet12.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outlinePr summaryBelow="1" summaryRight="1"/>
    <pageSetUpPr fitToPage="1"/>
  </sheetPr>
  <dimension ref="A1:AO58"/>
  <sheetViews>
    <sheetView showGridLines="0" showZeros="0" topLeftCell="A16" zoomScale="108" workbookViewId="0">
      <selection activeCell="BD32" sqref="BD32"/>
    </sheetView>
  </sheetViews>
  <sheetFormatPr baseColWidth="8" defaultColWidth="11.5546875" defaultRowHeight="13.2"/>
  <cols>
    <col width="2.44140625" customWidth="1" min="1" max="178"/>
    <col width="2.44140625" customWidth="1" min="257" max="434"/>
    <col width="2.44140625" customWidth="1" min="513" max="690"/>
    <col width="2.44140625" customWidth="1" min="769" max="946"/>
    <col width="2.44140625" customWidth="1" min="1025" max="1202"/>
    <col width="2.44140625" customWidth="1" min="1281" max="1458"/>
    <col width="2.44140625" customWidth="1" min="1537" max="1714"/>
    <col width="2.44140625" customWidth="1" min="1793" max="1970"/>
    <col width="2.44140625" customWidth="1" min="2049" max="2226"/>
    <col width="2.44140625" customWidth="1" min="2305" max="2482"/>
    <col width="2.44140625" customWidth="1" min="2561" max="2738"/>
    <col width="2.44140625" customWidth="1" min="2817" max="2994"/>
    <col width="2.44140625" customWidth="1" min="3073" max="3250"/>
    <col width="2.44140625" customWidth="1" min="3329" max="3506"/>
    <col width="2.44140625" customWidth="1" min="3585" max="3762"/>
    <col width="2.44140625" customWidth="1" min="3841" max="4018"/>
    <col width="2.44140625" customWidth="1" min="4097" max="4274"/>
    <col width="2.44140625" customWidth="1" min="4353" max="4530"/>
    <col width="2.44140625" customWidth="1" min="4609" max="4786"/>
    <col width="2.44140625" customWidth="1" min="4865" max="5042"/>
    <col width="2.44140625" customWidth="1" min="5121" max="5298"/>
    <col width="2.44140625" customWidth="1" min="5377" max="5554"/>
    <col width="2.44140625" customWidth="1" min="5633" max="5810"/>
    <col width="2.44140625" customWidth="1" min="5889" max="6066"/>
    <col width="2.44140625" customWidth="1" min="6145" max="6322"/>
    <col width="2.44140625" customWidth="1" min="6401" max="6578"/>
    <col width="2.44140625" customWidth="1" min="6657" max="6834"/>
    <col width="2.44140625" customWidth="1" min="6913" max="7090"/>
    <col width="2.44140625" customWidth="1" min="7169" max="7346"/>
    <col width="2.44140625" customWidth="1" min="7425" max="7602"/>
    <col width="2.44140625" customWidth="1" min="7681" max="7858"/>
    <col width="2.44140625" customWidth="1" min="7937" max="8114"/>
    <col width="2.44140625" customWidth="1" min="8193" max="8370"/>
    <col width="2.44140625" customWidth="1" min="8449" max="8626"/>
    <col width="2.44140625" customWidth="1" min="8705" max="8882"/>
    <col width="2.44140625" customWidth="1" min="8961" max="9138"/>
    <col width="2.44140625" customWidth="1" min="9217" max="9394"/>
    <col width="2.44140625" customWidth="1" min="9473" max="9650"/>
    <col width="2.44140625" customWidth="1" min="9729" max="9906"/>
    <col width="2.44140625" customWidth="1" min="9985" max="10162"/>
    <col width="2.44140625" customWidth="1" min="10241" max="10418"/>
    <col width="2.44140625" customWidth="1" min="10497" max="10674"/>
    <col width="2.44140625" customWidth="1" min="10753" max="10930"/>
    <col width="2.44140625" customWidth="1" min="11009" max="11186"/>
    <col width="2.44140625" customWidth="1" min="11265" max="11442"/>
    <col width="2.44140625" customWidth="1" min="11521" max="11698"/>
    <col width="2.44140625" customWidth="1" min="11777" max="11954"/>
    <col width="2.44140625" customWidth="1" min="12033" max="12210"/>
    <col width="2.44140625" customWidth="1" min="12289" max="12466"/>
    <col width="2.44140625" customWidth="1" min="12545" max="12722"/>
    <col width="2.44140625" customWidth="1" min="12801" max="12978"/>
    <col width="2.44140625" customWidth="1" min="13057" max="13234"/>
    <col width="2.44140625" customWidth="1" min="13313" max="13490"/>
    <col width="2.44140625" customWidth="1" min="13569" max="13746"/>
    <col width="2.44140625" customWidth="1" min="13825" max="14002"/>
    <col width="2.44140625" customWidth="1" min="14081" max="14258"/>
    <col width="2.44140625" customWidth="1" min="14337" max="14514"/>
    <col width="2.44140625" customWidth="1" min="14593" max="14770"/>
    <col width="2.44140625" customWidth="1" min="14849" max="15026"/>
    <col width="2.44140625" customWidth="1" min="15105" max="15282"/>
    <col width="2.44140625" customWidth="1" min="15361" max="15538"/>
    <col width="2.44140625" customWidth="1" min="15617" max="15794"/>
    <col width="2.44140625" customWidth="1" min="15873" max="16050"/>
    <col width="2.44140625" customWidth="1" min="16129" max="16306"/>
  </cols>
  <sheetData>
    <row r="1" ht="12.75" customHeight="1">
      <c r="A1" s="494" t="inlineStr">
        <is>
          <t>U.N. , ECE - DRAUGHT SURVEY CODE</t>
        </is>
      </c>
    </row>
    <row r="2" ht="12.75" customHeight="1">
      <c r="A2" s="495" t="n"/>
      <c r="B2" s="13" t="n"/>
      <c r="C2" s="13" t="n"/>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498" t="n"/>
      <c r="Z2" s="13" t="n"/>
      <c r="AA2" s="13" t="n"/>
      <c r="AB2" s="13" t="n"/>
      <c r="AC2" s="13" t="n"/>
      <c r="AD2" s="13" t="n"/>
      <c r="AE2" s="13" t="n"/>
      <c r="AF2" s="13" t="n"/>
      <c r="AG2" s="13" t="n"/>
      <c r="AH2" s="184" t="n"/>
      <c r="AI2" s="996" t="inlineStr">
        <is>
          <t>FORM "A"</t>
        </is>
      </c>
      <c r="AJ2" s="13" t="n"/>
      <c r="AK2" s="13" t="n"/>
      <c r="AL2" s="13" t="n"/>
      <c r="AM2" s="13" t="n"/>
      <c r="AN2" s="13" t="n"/>
      <c r="AO2" s="184" t="n"/>
    </row>
    <row r="3" ht="12.75" customHeight="1">
      <c r="A3" s="997" t="inlineStr">
        <is>
          <t>DRAUGHT SURVEY REPORT OF CARGO IN BULK</t>
        </is>
      </c>
      <c r="Y3" s="30" t="n"/>
      <c r="Z3" s="2">
        <f>+Draft!AN3</f>
        <v/>
      </c>
      <c r="AA3" s="998" t="inlineStr">
        <is>
          <t>LOADED</t>
        </is>
      </c>
      <c r="AH3" s="30" t="n"/>
      <c r="AI3" s="45" t="n"/>
      <c r="AO3" s="30" t="n"/>
    </row>
    <row r="4" ht="12.75" customHeight="1">
      <c r="A4" s="859" t="n"/>
      <c r="B4" s="934" t="n"/>
      <c r="C4" s="934" t="n"/>
      <c r="D4" s="934" t="n"/>
      <c r="E4" s="934" t="n"/>
      <c r="F4" s="934" t="n"/>
      <c r="G4" s="934" t="n"/>
      <c r="H4" s="934" t="n"/>
      <c r="I4" s="934" t="n"/>
      <c r="J4" s="934" t="n"/>
      <c r="K4" s="934" t="n"/>
      <c r="L4" s="934" t="n"/>
      <c r="M4" s="934" t="n"/>
      <c r="N4" s="934" t="n"/>
      <c r="O4" s="934" t="n"/>
      <c r="P4" s="934" t="n"/>
      <c r="Q4" s="934" t="n"/>
      <c r="R4" s="934" t="n"/>
      <c r="S4" s="934" t="n"/>
      <c r="T4" s="934" t="n"/>
      <c r="U4" s="934" t="n"/>
      <c r="V4" s="934" t="n"/>
      <c r="W4" s="934" t="n"/>
      <c r="X4" s="934" t="n"/>
      <c r="Y4" s="935" t="n"/>
      <c r="Z4" s="2">
        <f>+Draft!AN4</f>
        <v/>
      </c>
      <c r="AA4" s="999" t="inlineStr">
        <is>
          <t>UNLOADED</t>
        </is>
      </c>
      <c r="AB4" s="934" t="n"/>
      <c r="AC4" s="934" t="n"/>
      <c r="AD4" s="934" t="n"/>
      <c r="AE4" s="934" t="n"/>
      <c r="AF4" s="934" t="n"/>
      <c r="AG4" s="934" t="n"/>
      <c r="AH4" s="935" t="n"/>
      <c r="AI4" s="1000" t="n"/>
      <c r="AJ4" s="934" t="n"/>
      <c r="AK4" s="934" t="n"/>
      <c r="AL4" s="934" t="n"/>
      <c r="AM4" s="934" t="n"/>
      <c r="AN4" s="934" t="n"/>
      <c r="AO4" s="935" t="n"/>
    </row>
    <row r="5" ht="12.75" customHeight="1">
      <c r="A5" s="6" t="n"/>
      <c r="B5" s="521" t="inlineStr">
        <is>
          <t>Corporate identification:</t>
        </is>
      </c>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84" t="n"/>
    </row>
    <row r="6" ht="12.75" customHeight="1">
      <c r="A6" s="8" t="n"/>
      <c r="B6" s="523" t="inlineStr">
        <is>
          <t>MSL Marine Surveyors And Logistics</t>
        </is>
      </c>
      <c r="C6" s="934" t="n"/>
      <c r="D6" s="934" t="n"/>
      <c r="E6" s="934" t="n"/>
      <c r="F6" s="934" t="n"/>
      <c r="G6" s="934" t="n"/>
      <c r="H6" s="934" t="n"/>
      <c r="I6" s="934" t="n"/>
      <c r="J6" s="934" t="n"/>
      <c r="K6" s="934" t="n"/>
      <c r="L6" s="934" t="n"/>
      <c r="M6" s="934" t="n"/>
      <c r="N6" s="934" t="n"/>
      <c r="O6" s="934" t="n"/>
      <c r="P6" s="934" t="n"/>
      <c r="Q6" s="934" t="n"/>
      <c r="R6" s="934" t="n"/>
      <c r="S6" s="934" t="n"/>
      <c r="T6" s="934" t="n"/>
      <c r="U6" s="934" t="n"/>
      <c r="V6" s="934" t="n"/>
      <c r="W6" s="934" t="n"/>
      <c r="X6" s="934" t="n"/>
      <c r="Y6" s="934" t="n"/>
      <c r="Z6" s="934" t="n"/>
      <c r="AA6" s="934" t="n"/>
      <c r="AB6" s="934" t="n"/>
      <c r="AC6" s="934" t="n"/>
      <c r="AD6" s="934" t="n"/>
      <c r="AE6" s="934" t="n"/>
      <c r="AF6" s="934" t="n"/>
      <c r="AG6" s="934" t="n"/>
      <c r="AH6" s="934" t="n"/>
      <c r="AI6" s="934" t="n"/>
      <c r="AJ6" s="934" t="n"/>
      <c r="AK6" s="934" t="n"/>
      <c r="AL6" s="934" t="n"/>
      <c r="AM6" s="934" t="n"/>
      <c r="AN6" s="934" t="n"/>
      <c r="AO6" s="935" t="n"/>
    </row>
    <row r="7">
      <c r="A7" s="6" t="n"/>
      <c r="B7" s="521" t="inlineStr">
        <is>
          <t>Office of the surveyor at:</t>
        </is>
      </c>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84" t="n"/>
    </row>
    <row r="8">
      <c r="A8" s="8" t="n"/>
      <c r="B8" s="525">
        <f>+General!A52</f>
        <v/>
      </c>
      <c r="C8" s="934" t="n"/>
      <c r="D8" s="934" t="n"/>
      <c r="E8" s="934" t="n"/>
      <c r="F8" s="934" t="n"/>
      <c r="G8" s="934" t="n"/>
      <c r="H8" s="934" t="n"/>
      <c r="I8" s="934" t="n"/>
      <c r="J8" s="934" t="n"/>
      <c r="K8" s="934" t="n"/>
      <c r="L8" s="934" t="n"/>
      <c r="M8" s="934" t="n"/>
      <c r="N8" s="934" t="n"/>
      <c r="O8" s="934" t="n"/>
      <c r="P8" s="934" t="n"/>
      <c r="Q8" s="934" t="n"/>
      <c r="R8" s="934" t="n"/>
      <c r="S8" s="934" t="n"/>
      <c r="T8" s="934" t="n"/>
      <c r="U8" s="934" t="n"/>
      <c r="V8" s="934" t="n"/>
      <c r="W8" s="934" t="n"/>
      <c r="X8" s="934" t="n"/>
      <c r="Y8" s="934" t="n"/>
      <c r="Z8" s="934" t="n"/>
      <c r="AA8" s="934" t="n"/>
      <c r="AB8" s="934" t="n"/>
      <c r="AC8" s="934" t="n"/>
      <c r="AD8" s="934" t="n"/>
      <c r="AE8" s="934" t="n"/>
      <c r="AF8" s="934" t="n"/>
      <c r="AG8" s="934" t="n"/>
      <c r="AH8" s="934" t="n"/>
      <c r="AI8" s="934" t="n"/>
      <c r="AJ8" s="934" t="n"/>
      <c r="AK8" s="934" t="n"/>
      <c r="AL8" s="934" t="n"/>
      <c r="AM8" s="934" t="n"/>
      <c r="AN8" s="934" t="n"/>
      <c r="AO8" s="935" t="n"/>
    </row>
    <row r="9" ht="12.75" customHeight="1">
      <c r="A9" s="6" t="n"/>
      <c r="B9" s="520" t="inlineStr">
        <is>
          <t>Telephone no:</t>
        </is>
      </c>
      <c r="C9" s="11" t="n"/>
      <c r="D9" s="12" t="n"/>
      <c r="E9" s="13" t="n"/>
      <c r="F9" s="13" t="n"/>
      <c r="G9" s="13" t="n"/>
      <c r="H9" s="13" t="n"/>
      <c r="I9" s="13" t="n"/>
      <c r="J9" s="13" t="n"/>
      <c r="K9" s="13" t="n"/>
      <c r="L9" s="13" t="n"/>
      <c r="M9" s="13" t="n"/>
      <c r="N9" s="13" t="n"/>
      <c r="O9" s="13" t="n"/>
      <c r="P9" s="12" t="n"/>
      <c r="Q9" s="520" t="inlineStr">
        <is>
          <t>Fax no:</t>
        </is>
      </c>
      <c r="R9" s="12" t="n"/>
      <c r="S9" s="12" t="n"/>
      <c r="T9" s="12" t="n"/>
      <c r="U9" s="12" t="n"/>
      <c r="V9" s="12" t="n"/>
      <c r="W9" s="12" t="n"/>
      <c r="X9" s="12" t="n"/>
      <c r="Y9" s="12" t="n"/>
      <c r="Z9" s="12" t="n"/>
      <c r="AA9" s="12" t="n"/>
      <c r="AB9" s="12" t="n"/>
      <c r="AC9" s="12" t="n"/>
      <c r="AD9" s="520" t="inlineStr">
        <is>
          <t>E-mail</t>
        </is>
      </c>
      <c r="AE9" s="12" t="n"/>
      <c r="AF9" s="12" t="n"/>
      <c r="AG9" s="12" t="n"/>
      <c r="AH9" s="12" t="n"/>
      <c r="AI9" s="12" t="n"/>
      <c r="AJ9" s="12" t="n"/>
      <c r="AK9" s="12" t="n"/>
      <c r="AL9" s="12" t="n"/>
      <c r="AM9" s="12" t="n"/>
      <c r="AN9" s="12" t="n"/>
      <c r="AO9" s="14" t="n"/>
    </row>
    <row r="10">
      <c r="A10" s="8" t="n"/>
      <c r="B10" s="15">
        <f>++General!A54</f>
        <v/>
      </c>
      <c r="C10" s="15" t="n"/>
      <c r="D10" s="16" t="n"/>
      <c r="E10" s="934" t="n"/>
      <c r="F10" s="934" t="n"/>
      <c r="G10" s="524" t="n"/>
      <c r="H10" s="934" t="n"/>
      <c r="I10" s="934" t="n"/>
      <c r="J10" s="934" t="n"/>
      <c r="K10" s="934" t="n"/>
      <c r="L10" s="934" t="n"/>
      <c r="M10" s="934" t="n"/>
      <c r="N10" s="934" t="n"/>
      <c r="O10" s="934" t="n"/>
      <c r="P10" s="934" t="n"/>
      <c r="Q10" s="16">
        <f>+General!P54</f>
        <v/>
      </c>
      <c r="R10" s="16" t="n"/>
      <c r="T10" s="18" t="n"/>
      <c r="U10" s="16" t="n"/>
      <c r="V10" s="16" t="n"/>
      <c r="W10" s="16" t="n"/>
      <c r="X10" s="16" t="n"/>
      <c r="Y10" s="16" t="n"/>
      <c r="Z10" s="16" t="n"/>
      <c r="AA10" s="16" t="n"/>
      <c r="AB10" s="16" t="n"/>
      <c r="AC10" s="16" t="n"/>
      <c r="AD10" s="19">
        <f>+General!AC54</f>
        <v/>
      </c>
      <c r="AE10" s="16" t="n"/>
      <c r="AF10" s="16" t="n"/>
      <c r="AG10" s="16" t="n"/>
      <c r="AH10" s="16" t="n"/>
      <c r="AI10" s="16" t="n"/>
      <c r="AJ10" s="16" t="n"/>
      <c r="AK10" s="16" t="n"/>
      <c r="AL10" s="16" t="n"/>
      <c r="AM10" s="16" t="n"/>
      <c r="AN10" s="16" t="n"/>
      <c r="AO10" s="20" t="n"/>
    </row>
    <row r="11">
      <c r="A11" s="6" t="n"/>
      <c r="B11" s="12" t="inlineStr">
        <is>
          <t>Vessel M/V :</t>
        </is>
      </c>
      <c r="C11" s="11" t="n"/>
      <c r="D11" s="12" t="n"/>
      <c r="E11" s="13" t="n"/>
      <c r="F11" s="13" t="n"/>
      <c r="G11" s="13" t="n"/>
      <c r="H11" s="13" t="n"/>
      <c r="I11" s="13" t="n"/>
      <c r="J11" s="13" t="n"/>
      <c r="K11" s="13" t="n"/>
      <c r="L11" s="13" t="n"/>
      <c r="M11" s="13" t="n"/>
      <c r="N11" s="13" t="n"/>
      <c r="O11" s="13" t="n"/>
      <c r="P11" s="12" t="n"/>
      <c r="Q11" s="520" t="inlineStr">
        <is>
          <t>Call letters:</t>
        </is>
      </c>
      <c r="R11" s="12" t="n"/>
      <c r="S11" s="12" t="n"/>
      <c r="T11" s="12" t="n"/>
      <c r="U11" s="12" t="n"/>
      <c r="V11" s="12" t="n"/>
      <c r="AA11" s="12" t="n"/>
      <c r="AB11" s="12" t="n"/>
      <c r="AC11" s="12" t="n"/>
      <c r="AD11" s="12" t="inlineStr">
        <is>
          <t>Survey no:</t>
        </is>
      </c>
      <c r="AE11" s="12" t="n"/>
      <c r="AF11" s="12" t="n"/>
      <c r="AG11" s="12" t="n"/>
      <c r="AH11" s="12" t="n"/>
      <c r="AI11" s="12" t="n"/>
      <c r="AJ11" s="12" t="n"/>
      <c r="AK11" s="12" t="n"/>
      <c r="AL11" s="12" t="n"/>
      <c r="AM11" s="12" t="n"/>
      <c r="AN11" s="12" t="n"/>
      <c r="AO11" s="14" t="n"/>
    </row>
    <row r="12" ht="12.75" customHeight="1">
      <c r="A12" s="8" t="n"/>
      <c r="B12" s="15" t="n"/>
      <c r="C12" s="15" t="n"/>
      <c r="D12" s="15" t="n"/>
      <c r="E12" s="934" t="n"/>
      <c r="F12" s="934" t="n"/>
      <c r="G12" s="21">
        <f>+Draft!AB1</f>
        <v/>
      </c>
      <c r="H12" s="934" t="n"/>
      <c r="I12" s="934" t="n"/>
      <c r="J12" s="934" t="n"/>
      <c r="K12" s="934" t="n"/>
      <c r="L12" s="934" t="n"/>
      <c r="M12" s="934" t="n"/>
      <c r="N12" s="934" t="n"/>
      <c r="O12" s="934" t="n"/>
      <c r="P12" s="934" t="n"/>
      <c r="Q12" s="934" t="n"/>
      <c r="R12" s="16" t="n"/>
      <c r="S12" s="16" t="n"/>
      <c r="T12" s="21">
        <f>+General!AI3</f>
        <v/>
      </c>
      <c r="U12" s="16" t="n"/>
      <c r="V12" s="16" t="n"/>
      <c r="AA12" s="16" t="n"/>
      <c r="AB12" s="16" t="n"/>
      <c r="AC12" s="16" t="n"/>
      <c r="AD12" s="16" t="n"/>
      <c r="AE12" s="16" t="n"/>
      <c r="AF12" s="16" t="n"/>
      <c r="AG12" s="21">
        <f>+General!X3</f>
        <v/>
      </c>
      <c r="AH12" s="16" t="n"/>
      <c r="AI12" s="16" t="n"/>
      <c r="AJ12" s="16" t="n"/>
      <c r="AK12" s="16" t="n"/>
      <c r="AL12" s="16" t="n"/>
      <c r="AM12" s="16" t="n"/>
      <c r="AN12" s="16" t="n"/>
      <c r="AO12" s="20" t="n"/>
    </row>
    <row r="13">
      <c r="A13" s="6" t="n"/>
      <c r="B13" s="12" t="inlineStr">
        <is>
          <t>Vessel previous name/s:</t>
        </is>
      </c>
      <c r="C13" s="11" t="n"/>
      <c r="D13" s="12" t="n"/>
      <c r="E13" s="13" t="n"/>
      <c r="F13" s="13" t="n"/>
      <c r="G13" s="13" t="n"/>
      <c r="H13" s="13" t="n"/>
      <c r="I13" s="13" t="n"/>
      <c r="J13" s="13" t="n"/>
      <c r="K13" s="13" t="n"/>
      <c r="L13" s="13" t="n"/>
      <c r="M13" s="13" t="n"/>
      <c r="N13" s="13" t="n"/>
      <c r="O13" s="13" t="n"/>
      <c r="P13" s="12" t="n"/>
      <c r="Q13" s="12" t="n"/>
      <c r="R13" s="12" t="n"/>
      <c r="S13" s="12" t="n"/>
      <c r="T13" s="12" t="n"/>
      <c r="U13" s="12" t="n"/>
      <c r="V13" s="12" t="n"/>
      <c r="W13" s="520" t="n"/>
      <c r="X13" s="12" t="n"/>
      <c r="Y13" s="12" t="n"/>
      <c r="Z13" s="12" t="n"/>
      <c r="AA13" s="12" t="n"/>
      <c r="AB13" s="12" t="n"/>
      <c r="AC13" s="12" t="n"/>
      <c r="AD13" s="12" t="inlineStr">
        <is>
          <t>Registry:</t>
        </is>
      </c>
      <c r="AE13" s="12" t="n"/>
      <c r="AF13" s="12" t="n"/>
      <c r="AG13" s="12" t="n"/>
      <c r="AH13" s="12" t="n"/>
      <c r="AI13" s="12" t="n"/>
      <c r="AJ13" s="12" t="n"/>
      <c r="AK13" s="12" t="n"/>
      <c r="AL13" s="12" t="n"/>
      <c r="AM13" s="12" t="n"/>
      <c r="AN13" s="12" t="n"/>
      <c r="AO13" s="14" t="n"/>
    </row>
    <row r="14">
      <c r="A14" s="8" t="n"/>
      <c r="B14" s="21">
        <f>+General!J6</f>
        <v/>
      </c>
      <c r="C14" s="15" t="n"/>
      <c r="D14" s="16" t="n"/>
      <c r="E14" s="934" t="n"/>
      <c r="F14" s="934" t="n"/>
      <c r="G14" s="934" t="n"/>
      <c r="H14" s="934" t="n"/>
      <c r="I14" s="934" t="n"/>
      <c r="J14" s="934" t="n"/>
      <c r="K14" s="934" t="n"/>
      <c r="L14" s="934" t="n"/>
      <c r="M14" s="934" t="n"/>
      <c r="N14" s="934" t="n"/>
      <c r="O14" s="934" t="n"/>
      <c r="P14" s="16" t="n"/>
      <c r="Q14" s="16" t="n"/>
      <c r="R14" s="16" t="n"/>
      <c r="S14" s="16" t="n"/>
      <c r="T14" s="16" t="n"/>
      <c r="U14" s="16" t="n"/>
      <c r="V14" s="16" t="n"/>
      <c r="W14" s="16" t="n"/>
      <c r="X14" s="16" t="n"/>
      <c r="Y14" s="16" t="n"/>
      <c r="Z14" s="16" t="n"/>
      <c r="AA14" s="16" t="n"/>
      <c r="AB14" s="16" t="n"/>
      <c r="AC14" s="16" t="n"/>
      <c r="AD14" s="16" t="n"/>
      <c r="AE14" s="16" t="n"/>
      <c r="AF14" s="16" t="n"/>
      <c r="AG14" s="21">
        <f>+General!M8</f>
        <v/>
      </c>
      <c r="AH14" s="16" t="n"/>
      <c r="AI14" s="16" t="n"/>
      <c r="AJ14" s="16" t="n"/>
      <c r="AK14" s="16" t="n"/>
      <c r="AL14" s="16" t="n"/>
      <c r="AM14" s="16" t="n"/>
      <c r="AN14" s="16" t="n"/>
      <c r="AO14" s="20" t="n"/>
    </row>
    <row r="15">
      <c r="A15" s="6" t="n"/>
      <c r="B15" s="12" t="inlineStr">
        <is>
          <t>Built year:</t>
        </is>
      </c>
      <c r="C15" s="11" t="n"/>
      <c r="D15" s="12" t="n"/>
      <c r="E15" s="13" t="n"/>
      <c r="F15" s="13" t="n"/>
      <c r="G15" s="13" t="n"/>
      <c r="H15" s="13" t="n"/>
      <c r="I15" s="13" t="n"/>
      <c r="J15" s="13" t="n"/>
      <c r="K15" s="12" t="inlineStr">
        <is>
          <t>By:</t>
        </is>
      </c>
      <c r="L15" s="13" t="n"/>
      <c r="M15" s="13" t="n"/>
      <c r="N15" s="13" t="n"/>
      <c r="O15" s="13" t="n"/>
      <c r="P15" s="13" t="n"/>
      <c r="Q15" s="13" t="n"/>
      <c r="R15" s="13" t="n"/>
      <c r="S15" s="13" t="n"/>
      <c r="T15" s="13" t="n"/>
      <c r="U15" s="13" t="n"/>
      <c r="V15" s="13" t="n"/>
      <c r="W15" s="13" t="n"/>
      <c r="X15" s="12" t="n"/>
      <c r="Y15" s="12" t="n"/>
      <c r="Z15" s="12" t="n"/>
      <c r="AA15" s="12" t="n"/>
      <c r="AB15" s="12" t="n"/>
      <c r="AC15" s="12" t="n"/>
      <c r="AD15" s="12" t="inlineStr">
        <is>
          <t>Flag:</t>
        </is>
      </c>
      <c r="AE15" s="12" t="n"/>
      <c r="AF15" s="12" t="n"/>
      <c r="AG15" s="12" t="n"/>
      <c r="AH15" s="12" t="n"/>
      <c r="AI15" s="12" t="n"/>
      <c r="AJ15" s="12" t="n"/>
      <c r="AK15" s="12" t="n"/>
      <c r="AL15" s="12" t="n"/>
      <c r="AM15" s="12" t="n"/>
      <c r="AN15" s="12" t="n"/>
      <c r="AO15" s="14" t="n"/>
    </row>
    <row r="16">
      <c r="A16" s="8" t="n"/>
      <c r="B16" s="526">
        <f>+General!W8</f>
        <v/>
      </c>
      <c r="C16" s="934" t="n"/>
      <c r="D16" s="934" t="n"/>
      <c r="E16" s="934" t="n"/>
      <c r="F16" s="934" t="n"/>
      <c r="G16" s="934" t="n"/>
      <c r="H16" s="934" t="n"/>
      <c r="I16" s="934" t="n"/>
      <c r="J16" s="934" t="n"/>
      <c r="K16" s="524">
        <f>+General!AA8</f>
        <v/>
      </c>
      <c r="L16" s="934" t="n"/>
      <c r="M16" s="934" t="n"/>
      <c r="N16" s="934" t="n"/>
      <c r="O16" s="934" t="n"/>
      <c r="P16" s="934" t="n"/>
      <c r="Q16" s="934" t="n"/>
      <c r="R16" s="934" t="n"/>
      <c r="S16" s="934" t="n"/>
      <c r="T16" s="934" t="n"/>
      <c r="U16" s="934" t="n"/>
      <c r="V16" s="934" t="n"/>
      <c r="W16" s="934" t="n"/>
      <c r="X16" s="16" t="n"/>
      <c r="Y16" s="16" t="n"/>
      <c r="Z16" s="16" t="n"/>
      <c r="AA16" s="16" t="n"/>
      <c r="AB16" s="16" t="n"/>
      <c r="AC16" s="16" t="n"/>
      <c r="AD16" s="16" t="n"/>
      <c r="AE16" s="16" t="n"/>
      <c r="AF16" s="16" t="n"/>
      <c r="AG16" s="524">
        <f>+General!C8</f>
        <v/>
      </c>
      <c r="AH16" s="16" t="n"/>
      <c r="AI16" s="16" t="n"/>
      <c r="AJ16" s="16" t="n"/>
      <c r="AK16" s="16" t="n"/>
      <c r="AL16" s="16" t="n"/>
      <c r="AM16" s="16" t="n"/>
      <c r="AN16" s="16" t="n"/>
      <c r="AO16" s="20" t="n"/>
    </row>
    <row r="17">
      <c r="A17" s="6" t="n"/>
      <c r="B17" s="11" t="inlineStr">
        <is>
          <t>Survey requested by:</t>
        </is>
      </c>
      <c r="C17" s="11" t="n"/>
      <c r="D17" s="12" t="n"/>
      <c r="E17" s="13" t="n"/>
      <c r="F17" s="13" t="n"/>
      <c r="G17" s="13" t="n"/>
      <c r="H17" s="13" t="n"/>
      <c r="I17" s="13" t="n"/>
      <c r="J17" s="13" t="n"/>
      <c r="K17" s="22">
        <f>+General!AB12</f>
        <v/>
      </c>
      <c r="L17" s="13" t="n"/>
      <c r="M17" s="13" t="n"/>
      <c r="N17" s="13" t="n"/>
      <c r="O17" s="13" t="n"/>
      <c r="P17" s="13" t="n"/>
      <c r="Q17" s="13" t="n"/>
      <c r="R17" s="13" t="n"/>
      <c r="S17" s="13" t="n"/>
      <c r="T17" s="13" t="n"/>
      <c r="U17" s="13" t="n"/>
      <c r="V17" s="13" t="n"/>
      <c r="W17" s="13" t="n"/>
      <c r="X17" s="13" t="n"/>
      <c r="Y17" s="13" t="n"/>
      <c r="Z17" s="13" t="n"/>
      <c r="AA17" s="13" t="n"/>
      <c r="AB17" s="13" t="n"/>
      <c r="AC17" s="12" t="n"/>
      <c r="AD17" s="12" t="n"/>
      <c r="AE17" s="12" t="n"/>
      <c r="AF17" s="12" t="n"/>
      <c r="AG17" s="12" t="n"/>
      <c r="AH17" s="12" t="n"/>
      <c r="AI17" s="12" t="n"/>
      <c r="AJ17" s="12" t="n"/>
      <c r="AK17" s="12" t="n"/>
      <c r="AL17" s="12" t="n"/>
      <c r="AM17" s="12" t="n"/>
      <c r="AN17" s="12" t="n"/>
      <c r="AO17" s="14" t="n"/>
    </row>
    <row r="18">
      <c r="A18" s="23" t="n"/>
      <c r="B18" s="24" t="inlineStr">
        <is>
          <t>On the account of:</t>
        </is>
      </c>
      <c r="C18" s="24" t="n"/>
      <c r="D18" s="25" t="n"/>
      <c r="K18" s="26">
        <f>+General!AB13</f>
        <v/>
      </c>
      <c r="AC18" s="25" t="n"/>
      <c r="AD18" s="25" t="n"/>
      <c r="AE18" s="25" t="n"/>
      <c r="AF18" s="25" t="n"/>
      <c r="AG18" s="25" t="n"/>
      <c r="AH18" s="25" t="n"/>
      <c r="AI18" s="25" t="n"/>
      <c r="AJ18" s="25" t="n"/>
      <c r="AK18" s="25" t="n"/>
      <c r="AL18" s="25" t="n"/>
      <c r="AM18" s="25" t="n"/>
      <c r="AN18" s="25" t="n"/>
      <c r="AO18" s="27" t="n"/>
    </row>
    <row r="19">
      <c r="A19" s="23" t="n"/>
      <c r="B19" s="28" t="inlineStr">
        <is>
          <t>REMARKS</t>
        </is>
      </c>
      <c r="C19" s="24" t="n"/>
      <c r="D19" s="25" t="n"/>
      <c r="F19" s="493">
        <f>+General!A42</f>
        <v/>
      </c>
      <c r="AO19" s="30" t="n"/>
    </row>
    <row r="20">
      <c r="A20" s="23" t="n"/>
      <c r="B20" s="24" t="n"/>
      <c r="C20" s="24" t="n"/>
      <c r="D20" s="25" t="n"/>
      <c r="AO20" s="30" t="n"/>
    </row>
    <row r="21">
      <c r="A21" s="23" t="n"/>
      <c r="B21" s="24" t="n"/>
      <c r="C21" s="24" t="n"/>
      <c r="D21" s="25" t="n"/>
      <c r="AO21" s="30" t="n"/>
    </row>
    <row r="22">
      <c r="A22" s="8" t="n"/>
      <c r="B22" s="15" t="n"/>
      <c r="C22" s="15" t="n"/>
      <c r="D22" s="16" t="n"/>
      <c r="E22" s="934" t="n"/>
      <c r="F22" s="934" t="n"/>
      <c r="G22" s="934" t="n"/>
      <c r="H22" s="934" t="n"/>
      <c r="I22" s="934" t="n"/>
      <c r="J22" s="934" t="n"/>
      <c r="K22" s="934" t="n"/>
      <c r="L22" s="934" t="n"/>
      <c r="M22" s="934" t="n"/>
      <c r="N22" s="934" t="n"/>
      <c r="O22" s="934" t="n"/>
      <c r="P22" s="934" t="n"/>
      <c r="Q22" s="934" t="n"/>
      <c r="R22" s="934" t="n"/>
      <c r="S22" s="934" t="n"/>
      <c r="T22" s="934" t="n"/>
      <c r="U22" s="934" t="n"/>
      <c r="V22" s="934" t="n"/>
      <c r="W22" s="934" t="n"/>
      <c r="X22" s="934" t="n"/>
      <c r="Y22" s="934" t="n"/>
      <c r="Z22" s="934" t="n"/>
      <c r="AA22" s="934" t="n"/>
      <c r="AB22" s="934" t="n"/>
      <c r="AC22" s="934" t="n"/>
      <c r="AD22" s="934" t="n"/>
      <c r="AE22" s="934" t="n"/>
      <c r="AF22" s="934" t="n"/>
      <c r="AG22" s="934" t="n"/>
      <c r="AH22" s="934" t="n"/>
      <c r="AI22" s="934" t="n"/>
      <c r="AJ22" s="934" t="n"/>
      <c r="AK22" s="934" t="n"/>
      <c r="AL22" s="934" t="n"/>
      <c r="AM22" s="934" t="n"/>
      <c r="AN22" s="934" t="n"/>
      <c r="AO22" s="935" t="n"/>
    </row>
    <row r="23">
      <c r="A23" s="6" t="n"/>
      <c r="B23" s="11" t="n"/>
      <c r="C23" s="11" t="n"/>
      <c r="D23" s="12" t="n"/>
      <c r="E23" s="13" t="n"/>
      <c r="F23" s="13" t="n"/>
      <c r="G23" s="13" t="n"/>
      <c r="H23" s="13" t="n"/>
      <c r="I23" s="13" t="n"/>
      <c r="J23" s="13" t="n"/>
      <c r="K23" s="13" t="n"/>
      <c r="L23" s="13" t="n"/>
      <c r="M23" s="13" t="n"/>
      <c r="N23" s="13" t="n"/>
      <c r="O23" s="13"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c r="AK23" s="12" t="n"/>
      <c r="AL23" s="12" t="n"/>
      <c r="AM23" s="12" t="n"/>
      <c r="AN23" s="12" t="n"/>
      <c r="AO23" s="14" t="n"/>
    </row>
    <row r="24">
      <c r="A24" s="23" t="n"/>
      <c r="B24" s="554" t="inlineStr">
        <is>
          <t>This is to certify that the undersigned did, in Bona Fide, attend on board the subject vessel as she lay afloat</t>
        </is>
      </c>
      <c r="C24" s="24" t="n"/>
      <c r="D24" s="25" t="n"/>
      <c r="P24" s="25" t="n"/>
      <c r="Q24" s="25" t="n"/>
      <c r="R24" s="25" t="n"/>
      <c r="S24" s="25" t="n"/>
      <c r="T24" s="25" t="n"/>
      <c r="U24" s="25" t="n"/>
      <c r="V24" s="25" t="n"/>
      <c r="W24" s="25" t="n"/>
      <c r="X24" s="25" t="n"/>
      <c r="Y24" s="25" t="n"/>
      <c r="Z24" s="25" t="n"/>
      <c r="AA24" s="25" t="n"/>
      <c r="AB24" s="25" t="n"/>
      <c r="AC24" s="25" t="n"/>
      <c r="AD24" s="25" t="n"/>
      <c r="AE24" s="25" t="n"/>
      <c r="AF24" s="25" t="n"/>
      <c r="AG24" s="25" t="n"/>
      <c r="AH24" s="25" t="n"/>
      <c r="AI24" s="25" t="n"/>
      <c r="AJ24" s="25" t="n"/>
      <c r="AK24" s="25" t="n"/>
      <c r="AL24" s="25" t="n"/>
      <c r="AM24" s="25" t="n"/>
      <c r="AN24" s="25" t="n"/>
      <c r="AO24" s="27" t="n"/>
    </row>
    <row r="25">
      <c r="A25" s="23" t="n"/>
      <c r="B25" s="24" t="inlineStr">
        <is>
          <t>at the port of:</t>
        </is>
      </c>
      <c r="C25" s="24" t="n"/>
      <c r="D25" s="25" t="n"/>
      <c r="G25" s="16" t="n"/>
      <c r="H25" s="16">
        <f>IF(Draft!AN3="X",Draft!AB3,Draft!AB4)</f>
        <v/>
      </c>
      <c r="I25" s="16" t="n"/>
      <c r="J25" s="16" t="n"/>
      <c r="K25" s="16" t="n"/>
      <c r="L25" s="16" t="n"/>
      <c r="M25" s="16" t="n"/>
      <c r="N25" s="16" t="n"/>
      <c r="O25" s="16" t="n"/>
      <c r="P25" s="16" t="n"/>
      <c r="Q25" s="16" t="n"/>
      <c r="R25" s="24" t="inlineStr">
        <is>
          <t>for the purpose of determining by draught computations the</t>
        </is>
      </c>
      <c r="S25" s="25" t="n"/>
      <c r="T25" s="25" t="n"/>
      <c r="U25" s="25" t="n"/>
      <c r="V25" s="25" t="n"/>
      <c r="W25" s="25" t="n"/>
      <c r="X25" s="25" t="n"/>
      <c r="Y25" s="25" t="n"/>
      <c r="Z25" s="25" t="n"/>
      <c r="AA25" s="25" t="n"/>
      <c r="AB25" s="25" t="n"/>
      <c r="AC25" s="25" t="n"/>
      <c r="AD25" s="25" t="n"/>
      <c r="AE25" s="25" t="n"/>
      <c r="AF25" s="25" t="n"/>
      <c r="AG25" s="25" t="n"/>
      <c r="AH25" s="27" t="n"/>
      <c r="AO25" s="30" t="n"/>
    </row>
    <row r="26">
      <c r="A26" s="23" t="n"/>
      <c r="B26" s="24" t="inlineStr">
        <is>
          <t>amount of</t>
        </is>
      </c>
      <c r="C26" s="24" t="n"/>
      <c r="D26" s="25" t="n"/>
      <c r="F26" s="16" t="n"/>
      <c r="G26" s="31">
        <f>+'ECE DRAUGHT SURVEY CODE'!Y18&amp;+" MT"</f>
        <v/>
      </c>
      <c r="H26" s="32" t="n"/>
      <c r="I26" s="32" t="n"/>
      <c r="J26" s="32" t="n"/>
      <c r="K26" s="32" t="n"/>
      <c r="L26" s="32" t="n"/>
      <c r="M26" s="32" t="n"/>
      <c r="N26" s="32" t="n"/>
      <c r="O26" s="32" t="n"/>
      <c r="P26" s="32" t="n"/>
      <c r="Q26" s="32" t="n"/>
      <c r="R26" s="32" t="n"/>
      <c r="S26" s="32" t="n"/>
      <c r="T26" s="32" t="n"/>
      <c r="U26" s="32" t="n"/>
      <c r="V26" s="32" t="n"/>
      <c r="W26" s="32" t="n"/>
      <c r="X26" s="32" t="n"/>
      <c r="Y26" s="32" t="n"/>
      <c r="Z26" s="32" t="n"/>
      <c r="AA26" s="32" t="n"/>
      <c r="AB26" s="32" t="n"/>
      <c r="AC26" s="32" t="n"/>
      <c r="AD26" s="32" t="n"/>
      <c r="AE26" s="16" t="n"/>
      <c r="AF26" s="31" t="n"/>
      <c r="AG26" s="32" t="n"/>
      <c r="AH26" s="32" t="n"/>
      <c r="AI26" s="32" t="n"/>
      <c r="AJ26" s="32" t="n"/>
      <c r="AK26" s="32" t="n"/>
      <c r="AL26" s="32" t="n"/>
      <c r="AM26" s="32" t="n"/>
      <c r="AN26" s="32" t="n"/>
      <c r="AO26" s="27" t="n"/>
    </row>
    <row r="27">
      <c r="A27" s="23" t="n"/>
      <c r="B27" s="24" t="inlineStr">
        <is>
          <t>loaded, unloaded (holds no.</t>
        </is>
      </c>
      <c r="C27" s="24" t="n"/>
      <c r="D27" s="25" t="n"/>
      <c r="K27" s="21" t="inlineStr">
        <is>
          <t xml:space="preserve">                       1 &amp; 3</t>
        </is>
      </c>
      <c r="L27" s="21" t="n"/>
      <c r="M27" s="21" t="n"/>
      <c r="N27" s="21" t="n"/>
      <c r="O27" s="21" t="n"/>
      <c r="P27" s="21" t="n"/>
      <c r="Q27" s="16" t="n"/>
      <c r="R27" s="16" t="n"/>
      <c r="S27" s="16" t="n"/>
      <c r="T27" s="16" t="n"/>
      <c r="U27" s="16" t="n"/>
      <c r="V27" s="16" t="n"/>
      <c r="W27" s="554" t="inlineStr">
        <is>
          <t>) and having followed the rules as set by the</t>
        </is>
      </c>
      <c r="X27" s="25" t="n"/>
      <c r="Y27" s="25" t="n"/>
      <c r="Z27" s="25" t="n"/>
      <c r="AA27" s="25" t="n"/>
      <c r="AB27" s="25" t="n"/>
      <c r="AC27" s="25" t="n"/>
      <c r="AD27" s="25" t="n"/>
      <c r="AE27" s="25" t="n"/>
      <c r="AF27" s="25" t="n"/>
      <c r="AG27" s="25" t="n"/>
      <c r="AH27" s="25" t="n"/>
      <c r="AI27" s="25" t="n"/>
      <c r="AJ27" s="12" t="n"/>
      <c r="AO27" s="30" t="n"/>
    </row>
    <row r="28">
      <c r="A28" s="23" t="n"/>
      <c r="B28" s="554" t="inlineStr">
        <is>
          <t>U.N. / ECE Uniform Code of Standards and Procedures for the Performance of Draught Surveys have the</t>
        </is>
      </c>
      <c r="C28" s="24" t="n"/>
      <c r="D28" s="25" t="n"/>
      <c r="P28" s="25" t="n"/>
      <c r="Q28" s="25" t="n"/>
      <c r="R28" s="25" t="n"/>
      <c r="S28" s="25" t="n"/>
      <c r="T28" s="25" t="n"/>
      <c r="U28" s="25" t="n"/>
      <c r="V28" s="25" t="n"/>
      <c r="W28" s="25" t="n"/>
      <c r="X28" s="25" t="n"/>
      <c r="Y28" s="25" t="n"/>
      <c r="Z28" s="25" t="n"/>
      <c r="AA28" s="25" t="n"/>
      <c r="AB28" s="25" t="n"/>
      <c r="AC28" s="25" t="n"/>
      <c r="AD28" s="25" t="n"/>
      <c r="AE28" s="25" t="n"/>
      <c r="AF28" s="25" t="n"/>
      <c r="AG28" s="25" t="n"/>
      <c r="AH28" s="25" t="n"/>
      <c r="AI28" s="25" t="n"/>
      <c r="AJ28" s="25" t="n"/>
      <c r="AK28" s="25" t="n"/>
      <c r="AL28" s="25" t="n"/>
      <c r="AM28" s="25" t="n"/>
      <c r="AN28" s="25" t="n"/>
      <c r="AO28" s="27" t="n"/>
    </row>
    <row r="29">
      <c r="A29" s="23" t="n"/>
      <c r="B29" s="24" t="inlineStr">
        <is>
          <t>following to report:</t>
        </is>
      </c>
      <c r="C29" s="24" t="n"/>
      <c r="D29" s="25" t="n"/>
      <c r="P29" s="25" t="n"/>
      <c r="Q29" s="25" t="n"/>
      <c r="R29" s="25" t="n"/>
      <c r="S29" s="25" t="n"/>
      <c r="T29" s="25" t="n"/>
      <c r="U29" s="25" t="n"/>
      <c r="V29" s="25" t="n"/>
      <c r="W29" s="25" t="n"/>
      <c r="X29" s="25" t="n"/>
      <c r="Y29" s="25" t="n"/>
      <c r="Z29" s="25" t="n"/>
      <c r="AA29" s="25" t="n"/>
      <c r="AB29" s="25" t="n"/>
      <c r="AC29" s="25" t="n"/>
      <c r="AD29" s="25" t="n"/>
      <c r="AE29" s="25" t="n"/>
      <c r="AF29" s="25" t="n"/>
      <c r="AG29" s="25" t="n"/>
      <c r="AH29" s="25" t="n"/>
      <c r="AI29" s="25" t="n"/>
      <c r="AJ29" s="25" t="n"/>
      <c r="AK29" s="25" t="n"/>
      <c r="AL29" s="25" t="n"/>
      <c r="AM29" s="25" t="n"/>
      <c r="AN29" s="25" t="n"/>
      <c r="AO29" s="27" t="n"/>
    </row>
    <row r="30">
      <c r="A30" s="23" t="n"/>
      <c r="G30" s="25" t="n"/>
      <c r="H30" s="25" t="n"/>
      <c r="I30" s="1001" t="inlineStr">
        <is>
          <t>STARTING SURVEY</t>
        </is>
      </c>
      <c r="J30" s="13" t="n"/>
      <c r="K30" s="13" t="n"/>
      <c r="L30" s="13" t="n"/>
      <c r="M30" s="13" t="n"/>
      <c r="N30" s="13" t="n"/>
      <c r="O30" s="13" t="n"/>
      <c r="P30" s="13" t="n"/>
      <c r="Q30" s="13" t="n"/>
      <c r="R30" s="13" t="n"/>
      <c r="S30" s="13" t="n"/>
      <c r="T30" s="13" t="n"/>
      <c r="U30" s="13" t="n"/>
      <c r="V30" s="13" t="n"/>
      <c r="W30" s="184" t="n"/>
      <c r="Z30" s="1001" t="inlineStr">
        <is>
          <t>FINISHING SURVEY</t>
        </is>
      </c>
      <c r="AA30" s="13" t="n"/>
      <c r="AB30" s="13" t="n"/>
      <c r="AC30" s="13" t="n"/>
      <c r="AD30" s="13" t="n"/>
      <c r="AE30" s="13" t="n"/>
      <c r="AF30" s="13" t="n"/>
      <c r="AG30" s="13" t="n"/>
      <c r="AH30" s="13" t="n"/>
      <c r="AI30" s="13" t="n"/>
      <c r="AJ30" s="13" t="n"/>
      <c r="AK30" s="13" t="n"/>
      <c r="AL30" s="13" t="n"/>
      <c r="AM30" s="13" t="n"/>
      <c r="AN30" s="184" t="n"/>
      <c r="AO30" s="27" t="n"/>
    </row>
    <row r="31">
      <c r="A31" s="23" t="n"/>
      <c r="G31" s="25" t="n"/>
      <c r="H31" s="571" t="inlineStr">
        <is>
          <t>Attending the surveys:</t>
        </is>
      </c>
      <c r="I31" s="530" t="inlineStr">
        <is>
          <t>date D/M/Y:</t>
        </is>
      </c>
      <c r="J31" s="934" t="n"/>
      <c r="K31" s="934" t="n"/>
      <c r="L31" s="934" t="n"/>
      <c r="M31" s="934" t="n"/>
      <c r="N31" s="533">
        <f>+Draft!T2</f>
        <v/>
      </c>
      <c r="O31" s="934" t="n"/>
      <c r="P31" s="934" t="n"/>
      <c r="Q31" s="934" t="n"/>
      <c r="R31" s="934" t="n"/>
      <c r="S31" s="934" t="n"/>
      <c r="T31" s="934" t="n"/>
      <c r="U31" s="934" t="n"/>
      <c r="V31" s="934" t="n"/>
      <c r="W31" s="935" t="n"/>
      <c r="Z31" s="530" t="inlineStr">
        <is>
          <t>date D/M/Y:</t>
        </is>
      </c>
      <c r="AA31" s="934" t="n"/>
      <c r="AB31" s="934" t="n"/>
      <c r="AC31" s="934" t="n"/>
      <c r="AD31" s="934" t="n"/>
      <c r="AE31" s="533">
        <f>+Draft!AS2</f>
        <v/>
      </c>
      <c r="AF31" s="934" t="n"/>
      <c r="AG31" s="934" t="n"/>
      <c r="AH31" s="934" t="n"/>
      <c r="AI31" s="934" t="n"/>
      <c r="AJ31" s="934" t="n"/>
      <c r="AK31" s="934" t="n"/>
      <c r="AL31" s="934" t="n"/>
      <c r="AM31" s="934" t="n"/>
      <c r="AN31" s="935" t="n"/>
      <c r="AO31" s="27" t="n"/>
    </row>
    <row r="32">
      <c r="A32" s="23" t="n"/>
      <c r="G32" s="25" t="n"/>
      <c r="H32" s="563" t="n"/>
      <c r="I32" s="540" t="inlineStr">
        <is>
          <t>hours:    from:</t>
        </is>
      </c>
      <c r="J32" s="203" t="n"/>
      <c r="K32" s="203" t="n"/>
      <c r="L32" s="203" t="n"/>
      <c r="M32" s="203" t="n"/>
      <c r="N32" s="535">
        <f>Draft!T3</f>
        <v/>
      </c>
      <c r="O32" s="203" t="n"/>
      <c r="P32" s="203" t="n"/>
      <c r="Q32" s="203" t="n"/>
      <c r="R32" s="534" t="inlineStr">
        <is>
          <t>to:</t>
        </is>
      </c>
      <c r="S32" s="203" t="n"/>
      <c r="T32" s="1002">
        <f>Draft!T4</f>
        <v/>
      </c>
      <c r="U32" s="203" t="n"/>
      <c r="V32" s="203" t="n"/>
      <c r="W32" s="1003" t="n"/>
      <c r="Z32" s="540" t="inlineStr">
        <is>
          <t>hours:    from:</t>
        </is>
      </c>
      <c r="AA32" s="203" t="n"/>
      <c r="AB32" s="203" t="n"/>
      <c r="AC32" s="203" t="n"/>
      <c r="AD32" s="203" t="n"/>
      <c r="AE32" s="535">
        <f>Draft!AS3</f>
        <v/>
      </c>
      <c r="AF32" s="203" t="n"/>
      <c r="AG32" s="203" t="n"/>
      <c r="AH32" s="203" t="n"/>
      <c r="AI32" s="534" t="inlineStr">
        <is>
          <t>to:</t>
        </is>
      </c>
      <c r="AJ32" s="203" t="n"/>
      <c r="AK32" s="1002">
        <f>Draft!AS4</f>
        <v/>
      </c>
      <c r="AL32" s="203" t="n"/>
      <c r="AM32" s="203" t="n"/>
      <c r="AN32" s="1003" t="n"/>
      <c r="AO32" s="27" t="n"/>
    </row>
    <row r="33">
      <c r="A33" s="23" t="n"/>
      <c r="G33" s="25" t="n"/>
      <c r="H33" s="571" t="inlineStr">
        <is>
          <t>Name of surveyor/s</t>
        </is>
      </c>
      <c r="I33" s="35" t="n"/>
      <c r="J33" s="539">
        <f>+General!AB10</f>
        <v/>
      </c>
      <c r="K33" s="203" t="n"/>
      <c r="L33" s="203" t="n"/>
      <c r="M33" s="203" t="n"/>
      <c r="N33" s="203" t="n"/>
      <c r="O33" s="203" t="n"/>
      <c r="P33" s="203" t="n"/>
      <c r="Q33" s="203" t="n"/>
      <c r="R33" s="203" t="n"/>
      <c r="S33" s="203" t="n"/>
      <c r="T33" s="203" t="n"/>
      <c r="U33" s="203" t="n"/>
      <c r="V33" s="203" t="n"/>
      <c r="W33" s="1003" t="n"/>
      <c r="Z33" s="35" t="n"/>
      <c r="AA33" s="539">
        <f>+General!AB11</f>
        <v/>
      </c>
      <c r="AB33" s="203" t="n"/>
      <c r="AC33" s="203" t="n"/>
      <c r="AD33" s="203" t="n"/>
      <c r="AE33" s="203" t="n"/>
      <c r="AF33" s="203" t="n"/>
      <c r="AG33" s="203" t="n"/>
      <c r="AH33" s="203" t="n"/>
      <c r="AI33" s="203" t="n"/>
      <c r="AJ33" s="203" t="n"/>
      <c r="AK33" s="203" t="n"/>
      <c r="AL33" s="203" t="n"/>
      <c r="AM33" s="203" t="n"/>
      <c r="AN33" s="1003" t="n"/>
      <c r="AO33" s="27" t="n"/>
    </row>
    <row r="34">
      <c r="A34" s="23" t="n"/>
      <c r="G34" s="25" t="n"/>
      <c r="H34" s="563" t="inlineStr">
        <is>
          <t>Master</t>
        </is>
      </c>
      <c r="I34" s="35" t="n"/>
      <c r="J34" s="539">
        <f>+General!H10</f>
        <v/>
      </c>
      <c r="K34" s="203" t="n"/>
      <c r="L34" s="203" t="n"/>
      <c r="M34" s="203" t="n"/>
      <c r="N34" s="203" t="n"/>
      <c r="O34" s="203" t="n"/>
      <c r="P34" s="203" t="n"/>
      <c r="Q34" s="203" t="n"/>
      <c r="R34" s="203" t="n"/>
      <c r="S34" s="203" t="n"/>
      <c r="T34" s="203" t="n"/>
      <c r="U34" s="203" t="n"/>
      <c r="V34" s="203" t="n"/>
      <c r="W34" s="1003" t="n"/>
      <c r="Z34" s="35" t="n"/>
      <c r="AA34" s="539">
        <f>+J34</f>
        <v/>
      </c>
      <c r="AB34" s="203" t="n"/>
      <c r="AC34" s="203" t="n"/>
      <c r="AD34" s="203" t="n"/>
      <c r="AE34" s="203" t="n"/>
      <c r="AF34" s="203" t="n"/>
      <c r="AG34" s="203" t="n"/>
      <c r="AH34" s="203" t="n"/>
      <c r="AI34" s="203" t="n"/>
      <c r="AJ34" s="203" t="n"/>
      <c r="AK34" s="203" t="n"/>
      <c r="AL34" s="203" t="n"/>
      <c r="AM34" s="203" t="n"/>
      <c r="AN34" s="1003" t="n"/>
      <c r="AO34" s="27" t="n"/>
    </row>
    <row r="35">
      <c r="A35" s="23" t="n"/>
      <c r="G35" s="25" t="n"/>
      <c r="H35" s="563" t="n"/>
      <c r="I35" s="35" t="n"/>
      <c r="J35" s="539" t="n"/>
      <c r="K35" s="203" t="n"/>
      <c r="L35" s="203" t="n"/>
      <c r="M35" s="203" t="n"/>
      <c r="N35" s="203" t="n"/>
      <c r="O35" s="203" t="n"/>
      <c r="P35" s="203" t="n"/>
      <c r="Q35" s="203" t="n"/>
      <c r="R35" s="203" t="n"/>
      <c r="S35" s="203" t="n"/>
      <c r="T35" s="203" t="n"/>
      <c r="U35" s="203" t="n"/>
      <c r="V35" s="203" t="n"/>
      <c r="W35" s="1003" t="n"/>
      <c r="Z35" s="35" t="n"/>
      <c r="AA35" s="539">
        <f>+J35</f>
        <v/>
      </c>
      <c r="AB35" s="203" t="n"/>
      <c r="AC35" s="203" t="n"/>
      <c r="AD35" s="203" t="n"/>
      <c r="AE35" s="203" t="n"/>
      <c r="AF35" s="203" t="n"/>
      <c r="AG35" s="203" t="n"/>
      <c r="AH35" s="203" t="n"/>
      <c r="AI35" s="203" t="n"/>
      <c r="AJ35" s="203" t="n"/>
      <c r="AK35" s="203" t="n"/>
      <c r="AL35" s="203" t="n"/>
      <c r="AM35" s="203" t="n"/>
      <c r="AN35" s="1003" t="n"/>
      <c r="AO35" s="27" t="n"/>
    </row>
    <row r="36">
      <c r="A36" s="23" t="n"/>
      <c r="G36" s="25" t="n"/>
      <c r="H36" s="563" t="inlineStr">
        <is>
          <t>Chief Officer</t>
        </is>
      </c>
      <c r="I36" s="35" t="n"/>
      <c r="J36" s="539">
        <f>+General!H11</f>
        <v/>
      </c>
      <c r="K36" s="203" t="n"/>
      <c r="L36" s="203" t="n"/>
      <c r="M36" s="203" t="n"/>
      <c r="N36" s="203" t="n"/>
      <c r="O36" s="203" t="n"/>
      <c r="P36" s="203" t="n"/>
      <c r="Q36" s="203" t="n"/>
      <c r="R36" s="203" t="n"/>
      <c r="S36" s="203" t="n"/>
      <c r="T36" s="203" t="n"/>
      <c r="U36" s="203" t="n"/>
      <c r="V36" s="203" t="n"/>
      <c r="W36" s="1003" t="n"/>
      <c r="Z36" s="35" t="n"/>
      <c r="AA36" s="539">
        <f>+J36</f>
        <v/>
      </c>
      <c r="AB36" s="203" t="n"/>
      <c r="AC36" s="203" t="n"/>
      <c r="AD36" s="203" t="n"/>
      <c r="AE36" s="203" t="n"/>
      <c r="AF36" s="203" t="n"/>
      <c r="AG36" s="203" t="n"/>
      <c r="AH36" s="203" t="n"/>
      <c r="AI36" s="203" t="n"/>
      <c r="AJ36" s="203" t="n"/>
      <c r="AK36" s="203" t="n"/>
      <c r="AL36" s="203" t="n"/>
      <c r="AM36" s="203" t="n"/>
      <c r="AN36" s="1003" t="n"/>
      <c r="AO36" s="27" t="n"/>
    </row>
    <row r="37">
      <c r="A37" s="23" t="n"/>
      <c r="G37" s="25" t="n"/>
      <c r="H37" s="563" t="inlineStr">
        <is>
          <t>Chief Engineer</t>
        </is>
      </c>
      <c r="I37" s="35" t="n"/>
      <c r="J37" s="539">
        <f>+General!H12</f>
        <v/>
      </c>
      <c r="K37" s="203" t="n"/>
      <c r="L37" s="203" t="n"/>
      <c r="M37" s="203" t="n"/>
      <c r="N37" s="203" t="n"/>
      <c r="O37" s="203" t="n"/>
      <c r="P37" s="203" t="n"/>
      <c r="Q37" s="203" t="n"/>
      <c r="R37" s="203" t="n"/>
      <c r="S37" s="203" t="n"/>
      <c r="T37" s="203" t="n"/>
      <c r="U37" s="203" t="n"/>
      <c r="V37" s="203" t="n"/>
      <c r="W37" s="1003" t="n"/>
      <c r="Z37" s="35" t="n"/>
      <c r="AA37" s="539">
        <f>+J37</f>
        <v/>
      </c>
      <c r="AB37" s="203" t="n"/>
      <c r="AC37" s="203" t="n"/>
      <c r="AD37" s="203" t="n"/>
      <c r="AE37" s="203" t="n"/>
      <c r="AF37" s="203" t="n"/>
      <c r="AG37" s="203" t="n"/>
      <c r="AH37" s="203" t="n"/>
      <c r="AI37" s="203" t="n"/>
      <c r="AJ37" s="203" t="n"/>
      <c r="AK37" s="203" t="n"/>
      <c r="AL37" s="203" t="n"/>
      <c r="AM37" s="203" t="n"/>
      <c r="AN37" s="1003" t="n"/>
      <c r="AO37" s="27" t="n"/>
    </row>
    <row r="38">
      <c r="A38" s="23" t="n"/>
      <c r="G38" s="25" t="n"/>
      <c r="H38" s="563" t="inlineStr">
        <is>
          <t>Witness draughts</t>
        </is>
      </c>
      <c r="I38" s="35" t="n"/>
      <c r="J38" s="539">
        <f>+General!H13</f>
        <v/>
      </c>
      <c r="K38" s="203" t="n"/>
      <c r="L38" s="203" t="n"/>
      <c r="M38" s="203" t="n"/>
      <c r="N38" s="203" t="n"/>
      <c r="O38" s="203" t="n"/>
      <c r="P38" s="203" t="n"/>
      <c r="Q38" s="203" t="n"/>
      <c r="R38" s="203" t="n"/>
      <c r="S38" s="203" t="n"/>
      <c r="T38" s="203" t="n"/>
      <c r="U38" s="203" t="n"/>
      <c r="V38" s="203" t="n"/>
      <c r="W38" s="1003" t="n"/>
      <c r="Z38" s="35" t="n"/>
      <c r="AA38" s="539">
        <f>+J38</f>
        <v/>
      </c>
      <c r="AB38" s="203" t="n"/>
      <c r="AC38" s="203" t="n"/>
      <c r="AD38" s="203" t="n"/>
      <c r="AE38" s="203" t="n"/>
      <c r="AF38" s="203" t="n"/>
      <c r="AG38" s="203" t="n"/>
      <c r="AH38" s="203" t="n"/>
      <c r="AI38" s="203" t="n"/>
      <c r="AJ38" s="203" t="n"/>
      <c r="AK38" s="203" t="n"/>
      <c r="AL38" s="203" t="n"/>
      <c r="AM38" s="203" t="n"/>
      <c r="AN38" s="1003" t="n"/>
      <c r="AO38" s="27" t="n"/>
    </row>
    <row r="39">
      <c r="A39" s="23" t="n"/>
      <c r="G39" s="25" t="n"/>
      <c r="H39" s="563" t="n"/>
      <c r="I39" s="35" t="n"/>
      <c r="J39" s="539" t="n"/>
      <c r="K39" s="203" t="n"/>
      <c r="L39" s="203" t="n"/>
      <c r="M39" s="203" t="n"/>
      <c r="N39" s="203" t="n"/>
      <c r="O39" s="203" t="n"/>
      <c r="P39" s="203" t="n"/>
      <c r="Q39" s="203" t="n"/>
      <c r="R39" s="203" t="n"/>
      <c r="S39" s="203" t="n"/>
      <c r="T39" s="203" t="n"/>
      <c r="U39" s="203" t="n"/>
      <c r="V39" s="203" t="n"/>
      <c r="W39" s="1003" t="n"/>
      <c r="Z39" s="35" t="n"/>
      <c r="AA39" s="539">
        <f>+J39</f>
        <v/>
      </c>
      <c r="AB39" s="203" t="n"/>
      <c r="AC39" s="203" t="n"/>
      <c r="AD39" s="203" t="n"/>
      <c r="AE39" s="203" t="n"/>
      <c r="AF39" s="203" t="n"/>
      <c r="AG39" s="203" t="n"/>
      <c r="AH39" s="203" t="n"/>
      <c r="AI39" s="203" t="n"/>
      <c r="AJ39" s="203" t="n"/>
      <c r="AK39" s="203" t="n"/>
      <c r="AL39" s="203" t="n"/>
      <c r="AM39" s="203" t="n"/>
      <c r="AN39" s="1003" t="n"/>
      <c r="AO39" s="27" t="n"/>
    </row>
    <row r="40">
      <c r="A40" s="23" t="n"/>
      <c r="G40" s="25" t="n"/>
      <c r="H40" s="563" t="inlineStr">
        <is>
          <t>Witness tank sounding</t>
        </is>
      </c>
      <c r="I40" s="35" t="n"/>
      <c r="J40" s="539">
        <f>+General!H14</f>
        <v/>
      </c>
      <c r="K40" s="203" t="n"/>
      <c r="L40" s="203" t="n"/>
      <c r="M40" s="203" t="n"/>
      <c r="N40" s="203" t="n"/>
      <c r="O40" s="203" t="n"/>
      <c r="P40" s="203" t="n"/>
      <c r="Q40" s="203" t="n"/>
      <c r="R40" s="203" t="n"/>
      <c r="S40" s="203" t="n"/>
      <c r="T40" s="203" t="n"/>
      <c r="U40" s="203" t="n"/>
      <c r="V40" s="203" t="n"/>
      <c r="W40" s="1003" t="n"/>
      <c r="Z40" s="35" t="n"/>
      <c r="AA40" s="539">
        <f>+J40</f>
        <v/>
      </c>
      <c r="AB40" s="203" t="n"/>
      <c r="AC40" s="203" t="n"/>
      <c r="AD40" s="203" t="n"/>
      <c r="AE40" s="203" t="n"/>
      <c r="AF40" s="203" t="n"/>
      <c r="AG40" s="203" t="n"/>
      <c r="AH40" s="203" t="n"/>
      <c r="AI40" s="203" t="n"/>
      <c r="AJ40" s="203" t="n"/>
      <c r="AK40" s="203" t="n"/>
      <c r="AL40" s="203" t="n"/>
      <c r="AM40" s="203" t="n"/>
      <c r="AN40" s="1003" t="n"/>
      <c r="AO40" s="27" t="n"/>
    </row>
    <row r="41">
      <c r="A41" s="23" t="n"/>
      <c r="G41" s="25" t="n"/>
      <c r="H41" s="563" t="n"/>
      <c r="I41" s="36" t="n"/>
      <c r="J41" s="36" t="n"/>
      <c r="K41" s="36" t="n"/>
      <c r="L41" s="36" t="n"/>
      <c r="M41" s="36" t="n"/>
      <c r="N41" s="36" t="n"/>
      <c r="S41" s="36" t="n"/>
      <c r="T41" s="36" t="n"/>
      <c r="U41" s="36" t="n"/>
      <c r="V41" s="36" t="n"/>
      <c r="W41" s="36" t="n"/>
      <c r="Z41" s="36" t="n"/>
      <c r="AA41" s="36" t="n"/>
      <c r="AB41" s="36" t="n"/>
      <c r="AC41" s="36" t="n"/>
      <c r="AD41" s="36" t="n"/>
      <c r="AE41" s="36" t="n"/>
      <c r="AF41" s="36" t="n"/>
      <c r="AG41" s="36" t="n"/>
      <c r="AL41" s="36" t="n"/>
      <c r="AM41" s="36" t="n"/>
      <c r="AN41" s="36" t="n"/>
      <c r="AO41" s="27" t="n"/>
    </row>
    <row r="42">
      <c r="A42" s="23" t="n"/>
      <c r="G42" s="25" t="n"/>
      <c r="H42" s="563" t="inlineStr">
        <is>
          <t>Ship's location</t>
        </is>
      </c>
      <c r="I42" s="35" t="n"/>
      <c r="J42" s="539">
        <f>+General!H16</f>
        <v/>
      </c>
      <c r="K42" s="203" t="n"/>
      <c r="L42" s="203" t="n"/>
      <c r="M42" s="203" t="n"/>
      <c r="N42" s="203" t="n"/>
      <c r="O42" s="203" t="n"/>
      <c r="P42" s="203" t="n"/>
      <c r="Q42" s="203" t="n"/>
      <c r="R42" s="203" t="n"/>
      <c r="S42" s="203" t="n"/>
      <c r="T42" s="203" t="n"/>
      <c r="U42" s="203" t="n"/>
      <c r="V42" s="203" t="n"/>
      <c r="W42" s="1003" t="n"/>
      <c r="Z42" s="35" t="n"/>
      <c r="AA42" s="539">
        <f>+General!AB16</f>
        <v/>
      </c>
      <c r="AB42" s="203" t="n"/>
      <c r="AC42" s="203" t="n"/>
      <c r="AD42" s="203" t="n"/>
      <c r="AE42" s="203" t="n"/>
      <c r="AF42" s="203" t="n"/>
      <c r="AG42" s="203" t="n"/>
      <c r="AH42" s="203" t="n"/>
      <c r="AI42" s="203" t="n"/>
      <c r="AJ42" s="203" t="n"/>
      <c r="AK42" s="203" t="n"/>
      <c r="AL42" s="203" t="n"/>
      <c r="AM42" s="203" t="n"/>
      <c r="AN42" s="1003" t="n"/>
      <c r="AO42" s="27" t="n"/>
    </row>
    <row r="43">
      <c r="A43" s="23" t="n"/>
      <c r="G43" s="25" t="n"/>
      <c r="H43" s="563" t="inlineStr">
        <is>
          <t>Weather temperature</t>
        </is>
      </c>
      <c r="I43" s="35" t="n"/>
      <c r="J43" s="539" t="n"/>
      <c r="K43" s="203" t="n"/>
      <c r="L43" s="203" t="n"/>
      <c r="M43" s="203" t="n"/>
      <c r="N43" s="203" t="n"/>
      <c r="O43" s="203" t="n"/>
      <c r="P43" s="203" t="n"/>
      <c r="Q43" s="203" t="n"/>
      <c r="R43" s="203" t="n"/>
      <c r="S43" s="203" t="n"/>
      <c r="T43" s="203" t="n"/>
      <c r="U43" s="203" t="n"/>
      <c r="V43" s="203" t="n"/>
      <c r="W43" s="1003" t="n"/>
      <c r="Z43" s="35" t="n"/>
      <c r="AA43" s="539" t="n">
        <v>0</v>
      </c>
      <c r="AB43" s="203" t="n"/>
      <c r="AC43" s="203" t="n"/>
      <c r="AD43" s="203" t="n"/>
      <c r="AE43" s="203" t="n"/>
      <c r="AF43" s="203" t="n"/>
      <c r="AG43" s="203" t="n"/>
      <c r="AH43" s="203" t="n"/>
      <c r="AI43" s="203" t="n"/>
      <c r="AJ43" s="203" t="n"/>
      <c r="AK43" s="203" t="n"/>
      <c r="AL43" s="203" t="n"/>
      <c r="AM43" s="203" t="n"/>
      <c r="AN43" s="1003" t="n"/>
      <c r="AO43" s="27" t="n"/>
    </row>
    <row r="44">
      <c r="A44" s="23" t="n"/>
      <c r="G44" s="25" t="n"/>
      <c r="H44" s="37" t="n"/>
      <c r="I44" s="35" t="n"/>
      <c r="J44" s="539" t="n"/>
      <c r="K44" s="203" t="n"/>
      <c r="L44" s="203" t="n"/>
      <c r="M44" s="203" t="n"/>
      <c r="N44" s="203" t="n"/>
      <c r="O44" s="203" t="n"/>
      <c r="P44" s="203" t="n"/>
      <c r="Q44" s="203" t="n"/>
      <c r="R44" s="203" t="n"/>
      <c r="S44" s="203" t="n"/>
      <c r="T44" s="203" t="n"/>
      <c r="U44" s="203" t="n"/>
      <c r="V44" s="203" t="n"/>
      <c r="W44" s="1003" t="n"/>
      <c r="Z44" s="35" t="n"/>
      <c r="AA44" s="539" t="n"/>
      <c r="AB44" s="203" t="n"/>
      <c r="AC44" s="203" t="n"/>
      <c r="AD44" s="203" t="n"/>
      <c r="AE44" s="203" t="n"/>
      <c r="AF44" s="203" t="n"/>
      <c r="AG44" s="203" t="n"/>
      <c r="AH44" s="203" t="n"/>
      <c r="AI44" s="203" t="n"/>
      <c r="AJ44" s="203" t="n"/>
      <c r="AK44" s="203" t="n"/>
      <c r="AL44" s="203" t="n"/>
      <c r="AM44" s="203" t="n"/>
      <c r="AN44" s="1003" t="n"/>
      <c r="AO44" s="27" t="n"/>
    </row>
    <row r="45">
      <c r="A45" s="23" t="n"/>
      <c r="G45" s="25" t="n"/>
      <c r="H45" s="563" t="inlineStr">
        <is>
          <t>Sea condition</t>
        </is>
      </c>
      <c r="I45" s="35" t="n"/>
      <c r="J45" s="539">
        <f>IF(Draft!I32="x","GOOD",IF(Draft!J32="X","LIGHT SHOPPY",IF(Draft!K32="X","HEAVY SHOPPY / SWELL"," ")))</f>
        <v/>
      </c>
      <c r="K45" s="203" t="n"/>
      <c r="L45" s="203" t="n"/>
      <c r="M45" s="203" t="n"/>
      <c r="N45" s="203" t="n"/>
      <c r="O45" s="203" t="n"/>
      <c r="P45" s="203" t="n"/>
      <c r="Q45" s="203" t="n"/>
      <c r="R45" s="203" t="n"/>
      <c r="S45" s="203" t="n"/>
      <c r="T45" s="203" t="n"/>
      <c r="U45" s="203" t="n"/>
      <c r="V45" s="203" t="n"/>
      <c r="W45" s="1003" t="n"/>
      <c r="Z45" s="35" t="n"/>
      <c r="AA45" s="539">
        <f>IF(Draft!I33="x","GOOD",IF(Draft!J33="X","LIGHT SHOPPY",IF(Draft!K33="X","HEAVY SHOPPY / SWELL"," ")))</f>
        <v/>
      </c>
      <c r="AB45" s="203" t="n"/>
      <c r="AC45" s="203" t="n"/>
      <c r="AD45" s="203" t="n"/>
      <c r="AE45" s="203" t="n"/>
      <c r="AF45" s="203" t="n"/>
      <c r="AG45" s="203" t="n"/>
      <c r="AH45" s="203" t="n"/>
      <c r="AI45" s="203" t="n"/>
      <c r="AJ45" s="203" t="n"/>
      <c r="AK45" s="203" t="n"/>
      <c r="AL45" s="203" t="n"/>
      <c r="AM45" s="203" t="n"/>
      <c r="AN45" s="1003" t="n"/>
      <c r="AO45" s="27" t="n"/>
    </row>
    <row r="46">
      <c r="A46" s="23" t="n"/>
      <c r="G46" s="25" t="n"/>
      <c r="H46" s="563" t="inlineStr">
        <is>
          <t>Heading of ship</t>
        </is>
      </c>
      <c r="I46" s="35" t="n"/>
      <c r="J46" s="539">
        <f>IF(Draft!A8=0,0,"ALONGSIDE BERTH")</f>
        <v/>
      </c>
      <c r="K46" s="203" t="n"/>
      <c r="L46" s="203" t="n"/>
      <c r="M46" s="203" t="n"/>
      <c r="N46" s="203" t="n"/>
      <c r="O46" s="203" t="n"/>
      <c r="P46" s="203" t="n"/>
      <c r="Q46" s="203" t="n"/>
      <c r="R46" s="203" t="n"/>
      <c r="S46" s="203" t="n"/>
      <c r="T46" s="203" t="n"/>
      <c r="U46" s="203" t="n"/>
      <c r="V46" s="203" t="n"/>
      <c r="W46" s="1003" t="n"/>
      <c r="Z46" s="35" t="n"/>
      <c r="AA46" s="539">
        <f>IF(Draft!Z8=0,0,"ALONGSIDE BERTH")</f>
        <v/>
      </c>
      <c r="AB46" s="203" t="n"/>
      <c r="AC46" s="203" t="n"/>
      <c r="AD46" s="203" t="n"/>
      <c r="AE46" s="203" t="n"/>
      <c r="AF46" s="203" t="n"/>
      <c r="AG46" s="203" t="n"/>
      <c r="AH46" s="203" t="n"/>
      <c r="AI46" s="203" t="n"/>
      <c r="AJ46" s="203" t="n"/>
      <c r="AK46" s="203" t="n"/>
      <c r="AL46" s="203" t="n"/>
      <c r="AM46" s="203" t="n"/>
      <c r="AN46" s="1003" t="n"/>
      <c r="AO46" s="27" t="n"/>
    </row>
    <row r="47">
      <c r="A47" s="23" t="n"/>
      <c r="G47" s="25" t="n"/>
      <c r="H47" s="37" t="n"/>
      <c r="I47" s="35" t="n"/>
      <c r="J47" s="539" t="n"/>
      <c r="K47" s="203" t="n"/>
      <c r="L47" s="203" t="n"/>
      <c r="M47" s="203" t="n"/>
      <c r="N47" s="203" t="n"/>
      <c r="O47" s="203" t="n"/>
      <c r="P47" s="203" t="n"/>
      <c r="Q47" s="203" t="n"/>
      <c r="R47" s="203" t="n"/>
      <c r="S47" s="203" t="n"/>
      <c r="T47" s="203" t="n"/>
      <c r="U47" s="203" t="n"/>
      <c r="V47" s="203" t="n"/>
      <c r="W47" s="1003" t="n"/>
      <c r="Z47" s="35" t="n"/>
      <c r="AA47" s="539" t="n"/>
      <c r="AB47" s="203" t="n"/>
      <c r="AC47" s="203" t="n"/>
      <c r="AD47" s="203" t="n"/>
      <c r="AE47" s="203" t="n"/>
      <c r="AF47" s="203" t="n"/>
      <c r="AG47" s="203" t="n"/>
      <c r="AH47" s="203" t="n"/>
      <c r="AI47" s="203" t="n"/>
      <c r="AJ47" s="203" t="n"/>
      <c r="AK47" s="203" t="n"/>
      <c r="AL47" s="203" t="n"/>
      <c r="AM47" s="203" t="n"/>
      <c r="AN47" s="1003" t="n"/>
      <c r="AO47" s="27" t="n"/>
    </row>
    <row r="48">
      <c r="A48" s="23" t="n"/>
      <c r="G48" s="25" t="n"/>
      <c r="H48" s="563" t="inlineStr">
        <is>
          <t>Direction wind</t>
        </is>
      </c>
      <c r="I48" s="35" t="n"/>
      <c r="J48" s="539" t="n"/>
      <c r="K48" s="203" t="n"/>
      <c r="L48" s="203" t="n"/>
      <c r="M48" s="203" t="n"/>
      <c r="N48" s="203" t="n"/>
      <c r="O48" s="203" t="n"/>
      <c r="P48" s="203" t="n"/>
      <c r="Q48" s="203" t="n"/>
      <c r="R48" s="203" t="n"/>
      <c r="S48" s="203" t="n"/>
      <c r="T48" s="203" t="n"/>
      <c r="U48" s="203" t="n"/>
      <c r="V48" s="203" t="n"/>
      <c r="W48" s="1003" t="n"/>
      <c r="Z48" s="35" t="n"/>
      <c r="AA48" s="539" t="n"/>
      <c r="AB48" s="203" t="n"/>
      <c r="AC48" s="203" t="n"/>
      <c r="AD48" s="203" t="n"/>
      <c r="AE48" s="203" t="n"/>
      <c r="AF48" s="203" t="n"/>
      <c r="AG48" s="203" t="n"/>
      <c r="AH48" s="203" t="n"/>
      <c r="AI48" s="203" t="n"/>
      <c r="AJ48" s="203" t="n"/>
      <c r="AK48" s="203" t="n"/>
      <c r="AL48" s="203" t="n"/>
      <c r="AM48" s="203" t="n"/>
      <c r="AN48" s="1003" t="n"/>
      <c r="AO48" s="27" t="n"/>
    </row>
    <row r="49">
      <c r="A49" s="23" t="n"/>
      <c r="G49" s="25" t="n"/>
      <c r="H49" s="563" t="inlineStr">
        <is>
          <t>Stream speed Km /h</t>
        </is>
      </c>
      <c r="I49" s="35" t="n"/>
      <c r="J49" s="539" t="n"/>
      <c r="K49" s="203" t="n"/>
      <c r="L49" s="203" t="n"/>
      <c r="M49" s="203" t="n"/>
      <c r="N49" s="203" t="n"/>
      <c r="O49" s="203" t="n"/>
      <c r="P49" s="203" t="n"/>
      <c r="Q49" s="203" t="n"/>
      <c r="R49" s="203" t="n"/>
      <c r="S49" s="203" t="n"/>
      <c r="T49" s="203" t="n"/>
      <c r="U49" s="203" t="n"/>
      <c r="V49" s="203" t="n"/>
      <c r="W49" s="1003" t="n"/>
      <c r="Z49" s="35" t="n"/>
      <c r="AA49" s="539" t="n"/>
      <c r="AB49" s="203" t="n"/>
      <c r="AC49" s="203" t="n"/>
      <c r="AD49" s="203" t="n"/>
      <c r="AE49" s="203" t="n"/>
      <c r="AF49" s="203" t="n"/>
      <c r="AG49" s="203" t="n"/>
      <c r="AH49" s="203" t="n"/>
      <c r="AI49" s="203" t="n"/>
      <c r="AJ49" s="203" t="n"/>
      <c r="AK49" s="203" t="n"/>
      <c r="AL49" s="203" t="n"/>
      <c r="AM49" s="203" t="n"/>
      <c r="AN49" s="1003" t="n"/>
      <c r="AO49" s="27" t="n"/>
    </row>
    <row r="50">
      <c r="A50" s="23" t="n"/>
      <c r="G50" s="25" t="n"/>
      <c r="H50" s="563" t="inlineStr">
        <is>
          <t>Tide</t>
        </is>
      </c>
      <c r="I50" s="35" t="n"/>
      <c r="J50" s="539" t="n"/>
      <c r="K50" s="203" t="n"/>
      <c r="L50" s="203" t="n"/>
      <c r="M50" s="203" t="n"/>
      <c r="N50" s="203" t="n"/>
      <c r="O50" s="203" t="n"/>
      <c r="P50" s="203" t="n"/>
      <c r="Q50" s="203" t="n"/>
      <c r="R50" s="203" t="n"/>
      <c r="S50" s="203" t="n"/>
      <c r="T50" s="203" t="n"/>
      <c r="U50" s="203" t="n"/>
      <c r="V50" s="203" t="n"/>
      <c r="W50" s="1003" t="n"/>
      <c r="Z50" s="35" t="n"/>
      <c r="AA50" s="539" t="n"/>
      <c r="AB50" s="203" t="n"/>
      <c r="AC50" s="203" t="n"/>
      <c r="AD50" s="203" t="n"/>
      <c r="AE50" s="203" t="n"/>
      <c r="AF50" s="203" t="n"/>
      <c r="AG50" s="203" t="n"/>
      <c r="AH50" s="203" t="n"/>
      <c r="AI50" s="203" t="n"/>
      <c r="AJ50" s="203" t="n"/>
      <c r="AK50" s="203" t="n"/>
      <c r="AL50" s="203" t="n"/>
      <c r="AM50" s="203" t="n"/>
      <c r="AN50" s="1003" t="n"/>
      <c r="AO50" s="27" t="n"/>
    </row>
    <row r="51">
      <c r="A51" s="23" t="n"/>
      <c r="G51" s="25" t="n"/>
      <c r="H51" s="563" t="inlineStr">
        <is>
          <t>Ice</t>
        </is>
      </c>
      <c r="I51" s="35" t="n"/>
      <c r="J51" s="539" t="n"/>
      <c r="K51" s="203" t="n"/>
      <c r="L51" s="203" t="n"/>
      <c r="M51" s="203" t="n"/>
      <c r="N51" s="203" t="n"/>
      <c r="O51" s="203" t="n"/>
      <c r="P51" s="203" t="n"/>
      <c r="Q51" s="203" t="n"/>
      <c r="R51" s="203" t="n"/>
      <c r="S51" s="203" t="n"/>
      <c r="T51" s="203" t="n"/>
      <c r="U51" s="203" t="n"/>
      <c r="V51" s="203" t="n"/>
      <c r="W51" s="1003" t="n"/>
      <c r="Z51" s="35" t="n"/>
      <c r="AA51" s="539" t="n"/>
      <c r="AB51" s="203" t="n"/>
      <c r="AC51" s="203" t="n"/>
      <c r="AD51" s="203" t="n"/>
      <c r="AE51" s="203" t="n"/>
      <c r="AF51" s="203" t="n"/>
      <c r="AG51" s="203" t="n"/>
      <c r="AH51" s="203" t="n"/>
      <c r="AI51" s="203" t="n"/>
      <c r="AJ51" s="203" t="n"/>
      <c r="AK51" s="203" t="n"/>
      <c r="AL51" s="203" t="n"/>
      <c r="AM51" s="203" t="n"/>
      <c r="AN51" s="1003" t="n"/>
      <c r="AO51" s="27" t="n"/>
    </row>
    <row r="52" ht="4.5" customHeight="1">
      <c r="A52" s="8" t="n"/>
      <c r="B52" s="15" t="n"/>
      <c r="C52" s="15" t="n"/>
      <c r="D52" s="16" t="n"/>
      <c r="E52" s="934" t="n"/>
      <c r="F52" s="934" t="n"/>
      <c r="G52" s="934" t="n"/>
      <c r="H52" s="934" t="n"/>
      <c r="I52" s="934" t="n"/>
      <c r="J52" s="934" t="n"/>
      <c r="K52" s="934" t="n"/>
      <c r="L52" s="934" t="n"/>
      <c r="M52" s="934" t="n"/>
      <c r="N52" s="934" t="n"/>
      <c r="O52" s="934" t="n"/>
      <c r="P52" s="16" t="n"/>
      <c r="Q52" s="38" t="n"/>
      <c r="R52" s="16" t="n"/>
      <c r="S52" s="16" t="n"/>
      <c r="T52" s="16" t="n"/>
      <c r="U52" s="16" t="n"/>
      <c r="V52" s="16" t="n"/>
      <c r="W52" s="16" t="n"/>
      <c r="X52" s="16" t="n"/>
      <c r="Y52" s="16" t="n"/>
      <c r="Z52" s="16" t="n"/>
      <c r="AA52" s="16" t="n"/>
      <c r="AB52" s="16" t="n"/>
      <c r="AC52" s="16" t="n"/>
      <c r="AD52" s="16" t="n"/>
      <c r="AE52" s="16" t="n"/>
      <c r="AF52" s="16" t="n"/>
      <c r="AG52" s="16" t="n"/>
      <c r="AH52" s="16" t="n"/>
      <c r="AI52" s="16" t="n"/>
      <c r="AJ52" s="16" t="n"/>
      <c r="AK52" s="16" t="n"/>
      <c r="AL52" s="16" t="n"/>
      <c r="AM52" s="16" t="n"/>
      <c r="AN52" s="16" t="n"/>
      <c r="AO52" s="20" t="n"/>
    </row>
    <row r="53">
      <c r="A53" s="6" t="n"/>
      <c r="B53" s="546" t="inlineStr">
        <is>
          <t>Cargo handling equipment T, brought on board:</t>
        </is>
      </c>
      <c r="C53" s="11" t="n"/>
      <c r="D53" s="12" t="n"/>
      <c r="E53" s="13" t="n"/>
      <c r="F53" s="13" t="n"/>
      <c r="G53" s="13" t="n"/>
      <c r="H53" s="13" t="n"/>
      <c r="I53" s="13" t="n"/>
      <c r="J53" s="13" t="n"/>
      <c r="K53" s="13" t="n"/>
      <c r="L53" s="13" t="n"/>
      <c r="M53" s="13" t="n"/>
      <c r="N53" s="13" t="n"/>
      <c r="O53" s="13"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4" t="n"/>
    </row>
    <row r="54">
      <c r="A54" s="8" t="n"/>
      <c r="B54" s="15" t="n"/>
      <c r="C54" s="15" t="n"/>
      <c r="D54" s="16" t="n"/>
      <c r="E54" s="934" t="n"/>
      <c r="F54" s="934" t="n"/>
      <c r="G54" s="934" t="n"/>
      <c r="H54" s="934" t="n"/>
      <c r="I54" s="934" t="n"/>
      <c r="J54" s="934" t="n"/>
      <c r="K54" s="934" t="n"/>
      <c r="L54" s="934" t="n"/>
      <c r="M54" s="934" t="n"/>
      <c r="N54" s="934" t="n"/>
      <c r="O54" s="934"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20" t="n"/>
    </row>
    <row r="55">
      <c r="A55" s="6" t="n"/>
      <c r="B55" s="546" t="inlineStr">
        <is>
          <t>Missing ship's equipment:</t>
        </is>
      </c>
      <c r="C55" s="11" t="n"/>
      <c r="D55" s="12" t="n"/>
      <c r="E55" s="13" t="n"/>
      <c r="F55" s="13" t="n"/>
      <c r="G55" s="13" t="n"/>
      <c r="H55" s="13" t="n"/>
      <c r="I55" s="13" t="n"/>
      <c r="J55" s="13" t="n"/>
      <c r="K55" s="13" t="n"/>
      <c r="L55" s="13" t="n"/>
      <c r="M55" s="13" t="n"/>
      <c r="N55" s="13" t="n"/>
      <c r="O55" s="13"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4" t="n"/>
    </row>
    <row r="56" ht="5.25" customHeight="1">
      <c r="A56" s="8" t="n"/>
      <c r="B56" s="15" t="n"/>
      <c r="C56" s="15" t="n"/>
      <c r="D56" s="16" t="n"/>
      <c r="E56" s="934" t="n"/>
      <c r="F56" s="934" t="n"/>
      <c r="G56" s="934" t="n"/>
      <c r="H56" s="934" t="n"/>
      <c r="I56" s="934" t="n"/>
      <c r="J56" s="934" t="n"/>
      <c r="K56" s="934" t="n"/>
      <c r="L56" s="934" t="n"/>
      <c r="M56" s="934" t="n"/>
      <c r="N56" s="934" t="n"/>
      <c r="O56" s="934"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20" t="n"/>
    </row>
    <row r="57" ht="13.5" customHeight="1">
      <c r="A57" s="528"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row>
    <row r="58" ht="24.75" customHeight="1">
      <c r="A58" s="418" t="n"/>
    </row>
  </sheetData>
  <mergeCells count="66">
    <mergeCell ref="B8:AO8"/>
    <mergeCell ref="J39:W39"/>
    <mergeCell ref="J48:W48"/>
    <mergeCell ref="J44:W44"/>
    <mergeCell ref="N31:W31"/>
    <mergeCell ref="AA43:AN43"/>
    <mergeCell ref="J38:W38"/>
    <mergeCell ref="A58:AO58"/>
    <mergeCell ref="AA38:AN38"/>
    <mergeCell ref="J33:W33"/>
    <mergeCell ref="A4:Y4"/>
    <mergeCell ref="Z32:AD32"/>
    <mergeCell ref="J37:W37"/>
    <mergeCell ref="AA44:AN44"/>
    <mergeCell ref="J40:W40"/>
    <mergeCell ref="AA40:AN40"/>
    <mergeCell ref="AK32:AN32"/>
    <mergeCell ref="AA48:AN48"/>
    <mergeCell ref="AA34:AN34"/>
    <mergeCell ref="A2:X2"/>
    <mergeCell ref="AA39:AN39"/>
    <mergeCell ref="AA37:AN37"/>
    <mergeCell ref="J34:W34"/>
    <mergeCell ref="I32:M32"/>
    <mergeCell ref="A1:AO1"/>
    <mergeCell ref="B5:AO5"/>
    <mergeCell ref="AI2:AO4"/>
    <mergeCell ref="AA33:AN33"/>
    <mergeCell ref="N32:Q32"/>
    <mergeCell ref="AA36:AN36"/>
    <mergeCell ref="AA49:AN49"/>
    <mergeCell ref="J49:W49"/>
    <mergeCell ref="T32:W32"/>
    <mergeCell ref="AA45:AN45"/>
    <mergeCell ref="J45:W45"/>
    <mergeCell ref="AE32:AH32"/>
    <mergeCell ref="J36:W36"/>
    <mergeCell ref="F19:AO22"/>
    <mergeCell ref="AA4:AH4"/>
    <mergeCell ref="J35:W35"/>
    <mergeCell ref="AE31:AN31"/>
    <mergeCell ref="B7:AO7"/>
    <mergeCell ref="AI32:AJ32"/>
    <mergeCell ref="R32:S32"/>
    <mergeCell ref="A3:Y3"/>
    <mergeCell ref="AA35:AN35"/>
    <mergeCell ref="B16:D16"/>
    <mergeCell ref="Y2:AH2"/>
    <mergeCell ref="AA46:AN46"/>
    <mergeCell ref="A57:AO57"/>
    <mergeCell ref="I30:W30"/>
    <mergeCell ref="Z30:AN30"/>
    <mergeCell ref="J47:W47"/>
    <mergeCell ref="I31:M31"/>
    <mergeCell ref="B6:AO6"/>
    <mergeCell ref="AA50:AN50"/>
    <mergeCell ref="AA3:AH3"/>
    <mergeCell ref="J43:W43"/>
    <mergeCell ref="J50:W50"/>
    <mergeCell ref="AA42:AN42"/>
    <mergeCell ref="J51:W51"/>
    <mergeCell ref="AA51:AN51"/>
    <mergeCell ref="J46:W46"/>
    <mergeCell ref="J42:W42"/>
    <mergeCell ref="Z31:AD31"/>
    <mergeCell ref="AA47:AN47"/>
  </mergeCells>
  <printOptions horizontalCentered="1" verticalCentered="1"/>
  <pageMargins left="0.3937007874015748" right="0.3937007874015748" top="0.2362204724409449" bottom="0.2362204724409449" header="0" footer="0.2362204724409449"/>
  <pageSetup orientation="portrait" paperSize="122" horizontalDpi="300" verticalDpi="300"/>
  <headerFooter alignWithMargins="0">
    <oddHeader/>
    <oddFooter>&amp;RPage 1 of 5</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O59"/>
  <sheetViews>
    <sheetView showGridLines="0" showZeros="0" zoomScale="108" workbookViewId="0">
      <selection activeCell="BD32" sqref="BD32"/>
    </sheetView>
  </sheetViews>
  <sheetFormatPr baseColWidth="8" defaultColWidth="11.5546875" defaultRowHeight="13.2"/>
  <cols>
    <col width="2.44140625" customWidth="1" min="1" max="178"/>
    <col width="2.44140625" customWidth="1" min="257" max="434"/>
    <col width="2.44140625" customWidth="1" min="513" max="690"/>
    <col width="2.44140625" customWidth="1" min="769" max="946"/>
    <col width="2.44140625" customWidth="1" min="1025" max="1202"/>
    <col width="2.44140625" customWidth="1" min="1281" max="1458"/>
    <col width="2.44140625" customWidth="1" min="1537" max="1714"/>
    <col width="2.44140625" customWidth="1" min="1793" max="1970"/>
    <col width="2.44140625" customWidth="1" min="2049" max="2226"/>
    <col width="2.44140625" customWidth="1" min="2305" max="2482"/>
    <col width="2.44140625" customWidth="1" min="2561" max="2738"/>
    <col width="2.44140625" customWidth="1" min="2817" max="2994"/>
    <col width="2.44140625" customWidth="1" min="3073" max="3250"/>
    <col width="2.44140625" customWidth="1" min="3329" max="3506"/>
    <col width="2.44140625" customWidth="1" min="3585" max="3762"/>
    <col width="2.44140625" customWidth="1" min="3841" max="4018"/>
    <col width="2.44140625" customWidth="1" min="4097" max="4274"/>
    <col width="2.44140625" customWidth="1" min="4353" max="4530"/>
    <col width="2.44140625" customWidth="1" min="4609" max="4786"/>
    <col width="2.44140625" customWidth="1" min="4865" max="5042"/>
    <col width="2.44140625" customWidth="1" min="5121" max="5298"/>
    <col width="2.44140625" customWidth="1" min="5377" max="5554"/>
    <col width="2.44140625" customWidth="1" min="5633" max="5810"/>
    <col width="2.44140625" customWidth="1" min="5889" max="6066"/>
    <col width="2.44140625" customWidth="1" min="6145" max="6322"/>
    <col width="2.44140625" customWidth="1" min="6401" max="6578"/>
    <col width="2.44140625" customWidth="1" min="6657" max="6834"/>
    <col width="2.44140625" customWidth="1" min="6913" max="7090"/>
    <col width="2.44140625" customWidth="1" min="7169" max="7346"/>
    <col width="2.44140625" customWidth="1" min="7425" max="7602"/>
    <col width="2.44140625" customWidth="1" min="7681" max="7858"/>
    <col width="2.44140625" customWidth="1" min="7937" max="8114"/>
    <col width="2.44140625" customWidth="1" min="8193" max="8370"/>
    <col width="2.44140625" customWidth="1" min="8449" max="8626"/>
    <col width="2.44140625" customWidth="1" min="8705" max="8882"/>
    <col width="2.44140625" customWidth="1" min="8961" max="9138"/>
    <col width="2.44140625" customWidth="1" min="9217" max="9394"/>
    <col width="2.44140625" customWidth="1" min="9473" max="9650"/>
    <col width="2.44140625" customWidth="1" min="9729" max="9906"/>
    <col width="2.44140625" customWidth="1" min="9985" max="10162"/>
    <col width="2.44140625" customWidth="1" min="10241" max="10418"/>
    <col width="2.44140625" customWidth="1" min="10497" max="10674"/>
    <col width="2.44140625" customWidth="1" min="10753" max="10930"/>
    <col width="2.44140625" customWidth="1" min="11009" max="11186"/>
    <col width="2.44140625" customWidth="1" min="11265" max="11442"/>
    <col width="2.44140625" customWidth="1" min="11521" max="11698"/>
    <col width="2.44140625" customWidth="1" min="11777" max="11954"/>
    <col width="2.44140625" customWidth="1" min="12033" max="12210"/>
    <col width="2.44140625" customWidth="1" min="12289" max="12466"/>
    <col width="2.44140625" customWidth="1" min="12545" max="12722"/>
    <col width="2.44140625" customWidth="1" min="12801" max="12978"/>
    <col width="2.44140625" customWidth="1" min="13057" max="13234"/>
    <col width="2.44140625" customWidth="1" min="13313" max="13490"/>
    <col width="2.44140625" customWidth="1" min="13569" max="13746"/>
    <col width="2.44140625" customWidth="1" min="13825" max="14002"/>
    <col width="2.44140625" customWidth="1" min="14081" max="14258"/>
    <col width="2.44140625" customWidth="1" min="14337" max="14514"/>
    <col width="2.44140625" customWidth="1" min="14593" max="14770"/>
    <col width="2.44140625" customWidth="1" min="14849" max="15026"/>
    <col width="2.44140625" customWidth="1" min="15105" max="15282"/>
    <col width="2.44140625" customWidth="1" min="15361" max="15538"/>
    <col width="2.44140625" customWidth="1" min="15617" max="15794"/>
    <col width="2.44140625" customWidth="1" min="15873" max="16050"/>
    <col width="2.44140625" customWidth="1" min="16129" max="16306"/>
  </cols>
  <sheetData>
    <row r="1" ht="12.75" customHeight="1">
      <c r="A1" s="494" t="inlineStr">
        <is>
          <t>U.N. , ECE - DRAUGHT SURVEY CODE</t>
        </is>
      </c>
    </row>
    <row r="2" ht="12.75" customHeight="1">
      <c r="A2" s="495" t="n"/>
      <c r="B2" s="13" t="n"/>
      <c r="C2" s="13" t="n"/>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498" t="n"/>
      <c r="Z2" s="13" t="n"/>
      <c r="AA2" s="13" t="n"/>
      <c r="AB2" s="13" t="n"/>
      <c r="AC2" s="13" t="n"/>
      <c r="AD2" s="13" t="n"/>
      <c r="AE2" s="13" t="n"/>
      <c r="AF2" s="13" t="n"/>
      <c r="AG2" s="13" t="n"/>
      <c r="AH2" s="184" t="n"/>
      <c r="AI2" s="1004" t="inlineStr">
        <is>
          <t>FORM "B"</t>
        </is>
      </c>
      <c r="AJ2" s="13" t="n"/>
      <c r="AK2" s="13" t="n"/>
      <c r="AL2" s="13" t="n"/>
      <c r="AM2" s="13" t="n"/>
      <c r="AN2" s="13" t="n"/>
      <c r="AO2" s="184" t="n"/>
    </row>
    <row r="3" ht="12.75" customHeight="1">
      <c r="A3" s="997" t="inlineStr">
        <is>
          <t>DRAUGHT SURVEY REPORT OF CARGO IN BULK</t>
        </is>
      </c>
      <c r="Y3" s="30" t="n"/>
      <c r="Z3" s="2">
        <f>+A!Z3</f>
        <v/>
      </c>
      <c r="AA3" s="998" t="inlineStr">
        <is>
          <t>LOADED</t>
        </is>
      </c>
      <c r="AH3" s="30" t="n"/>
      <c r="AI3" s="45" t="n"/>
      <c r="AO3" s="30" t="n"/>
    </row>
    <row r="4" ht="12.75" customHeight="1">
      <c r="A4" s="859" t="n"/>
      <c r="B4" s="934" t="n"/>
      <c r="C4" s="934" t="n"/>
      <c r="D4" s="934" t="n"/>
      <c r="E4" s="934" t="n"/>
      <c r="F4" s="934" t="n"/>
      <c r="G4" s="934" t="n"/>
      <c r="H4" s="934" t="n"/>
      <c r="I4" s="934" t="n"/>
      <c r="J4" s="934" t="n"/>
      <c r="K4" s="934" t="n"/>
      <c r="L4" s="934" t="n"/>
      <c r="M4" s="934" t="n"/>
      <c r="N4" s="934" t="n"/>
      <c r="O4" s="934" t="n"/>
      <c r="P4" s="934" t="n"/>
      <c r="Q4" s="934" t="n"/>
      <c r="R4" s="934" t="n"/>
      <c r="S4" s="934" t="n"/>
      <c r="T4" s="934" t="n"/>
      <c r="U4" s="934" t="n"/>
      <c r="V4" s="934" t="n"/>
      <c r="W4" s="934" t="n"/>
      <c r="X4" s="934" t="n"/>
      <c r="Y4" s="935" t="n"/>
      <c r="Z4" s="2">
        <f>+A!Z4</f>
        <v/>
      </c>
      <c r="AA4" s="999" t="inlineStr">
        <is>
          <t>UNLOADED</t>
        </is>
      </c>
      <c r="AB4" s="934" t="n"/>
      <c r="AC4" s="934" t="n"/>
      <c r="AD4" s="934" t="n"/>
      <c r="AE4" s="934" t="n"/>
      <c r="AF4" s="934" t="n"/>
      <c r="AG4" s="934" t="n"/>
      <c r="AH4" s="935" t="n"/>
      <c r="AI4" s="1000" t="n"/>
      <c r="AJ4" s="934" t="n"/>
      <c r="AK4" s="934" t="n"/>
      <c r="AL4" s="934" t="n"/>
      <c r="AM4" s="934" t="n"/>
      <c r="AN4" s="934" t="n"/>
      <c r="AO4" s="935" t="n"/>
    </row>
    <row r="5" ht="12.75" customHeight="1">
      <c r="A5" s="6" t="n"/>
      <c r="B5" s="521" t="inlineStr">
        <is>
          <t>Corporate identification:</t>
        </is>
      </c>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84" t="n"/>
    </row>
    <row r="6" ht="12.75" customHeight="1">
      <c r="A6" s="859">
        <f>A!B6</f>
        <v/>
      </c>
      <c r="B6" s="934" t="n"/>
      <c r="C6" s="934" t="n"/>
      <c r="D6" s="934" t="n"/>
      <c r="E6" s="934" t="n"/>
      <c r="F6" s="934" t="n"/>
      <c r="G6" s="934" t="n"/>
      <c r="H6" s="934" t="n"/>
      <c r="I6" s="934" t="n"/>
      <c r="J6" s="934" t="n"/>
      <c r="K6" s="934" t="n"/>
      <c r="L6" s="934" t="n"/>
      <c r="M6" s="934" t="n"/>
      <c r="N6" s="934" t="n"/>
      <c r="O6" s="934" t="n"/>
      <c r="P6" s="934" t="n"/>
      <c r="Q6" s="934" t="n"/>
      <c r="R6" s="934" t="n"/>
      <c r="S6" s="934" t="n"/>
      <c r="T6" s="934" t="n"/>
      <c r="U6" s="934" t="n"/>
      <c r="V6" s="934" t="n"/>
      <c r="W6" s="934" t="n"/>
      <c r="X6" s="934" t="n"/>
      <c r="Y6" s="934" t="n"/>
      <c r="Z6" s="934" t="n"/>
      <c r="AA6" s="934" t="n"/>
      <c r="AB6" s="934" t="n"/>
      <c r="AC6" s="934" t="n"/>
      <c r="AD6" s="934" t="n"/>
      <c r="AE6" s="934" t="n"/>
      <c r="AF6" s="934" t="n"/>
      <c r="AG6" s="934" t="n"/>
      <c r="AH6" s="934" t="n"/>
      <c r="AI6" s="934" t="n"/>
      <c r="AJ6" s="934" t="n"/>
      <c r="AK6" s="934" t="n"/>
      <c r="AL6" s="934" t="n"/>
      <c r="AM6" s="934" t="n"/>
      <c r="AN6" s="934" t="n"/>
      <c r="AO6" s="935" t="n"/>
    </row>
    <row r="7" ht="12.75" customHeight="1">
      <c r="A7" s="6" t="n"/>
      <c r="B7" s="520" t="inlineStr">
        <is>
          <t>Vessel M/V :</t>
        </is>
      </c>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521" t="inlineStr">
        <is>
          <t>Survey no:</t>
        </is>
      </c>
      <c r="AA7" s="13" t="n"/>
      <c r="AB7" s="13" t="n"/>
      <c r="AC7" s="13" t="n"/>
      <c r="AD7" s="13" t="n"/>
      <c r="AE7" s="13" t="n"/>
      <c r="AF7" s="13" t="n"/>
      <c r="AG7" s="13" t="n"/>
      <c r="AH7" s="13" t="n"/>
      <c r="AI7" s="13" t="n"/>
      <c r="AJ7" s="13" t="n"/>
      <c r="AK7" s="13" t="n"/>
      <c r="AL7" s="13" t="n"/>
      <c r="AM7" s="13" t="n"/>
      <c r="AN7" s="13" t="n"/>
      <c r="AO7" s="184" t="n"/>
    </row>
    <row r="8" ht="12.75" customHeight="1">
      <c r="A8" s="514" t="n"/>
      <c r="B8" s="934" t="n"/>
      <c r="C8" s="934" t="n"/>
      <c r="D8" s="934" t="n"/>
      <c r="E8" s="934" t="n"/>
      <c r="F8" s="541">
        <f>+A!G12</f>
        <v/>
      </c>
      <c r="G8" s="934" t="n"/>
      <c r="H8" s="934" t="n"/>
      <c r="I8" s="934" t="n"/>
      <c r="J8" s="934" t="n"/>
      <c r="K8" s="934" t="n"/>
      <c r="L8" s="934" t="n"/>
      <c r="M8" s="934" t="n"/>
      <c r="N8" s="934" t="n"/>
      <c r="O8" s="934" t="n"/>
      <c r="P8" s="934" t="n"/>
      <c r="Q8" s="934" t="n"/>
      <c r="R8" s="934" t="n"/>
      <c r="S8" s="934" t="n"/>
      <c r="T8" s="934" t="n"/>
      <c r="U8" s="934" t="n"/>
      <c r="V8" s="934" t="n"/>
      <c r="W8" s="934" t="n"/>
      <c r="X8" s="934" t="n"/>
      <c r="Y8" s="934" t="n"/>
      <c r="Z8" s="934" t="n"/>
      <c r="AA8" s="934" t="n"/>
      <c r="AB8" s="934" t="n"/>
      <c r="AC8" s="525">
        <f>+A!AG12</f>
        <v/>
      </c>
      <c r="AD8" s="934" t="n"/>
      <c r="AE8" s="934" t="n"/>
      <c r="AF8" s="934" t="n"/>
      <c r="AG8" s="934" t="n"/>
      <c r="AH8" s="934" t="n"/>
      <c r="AI8" s="934" t="n"/>
      <c r="AJ8" s="934" t="n"/>
      <c r="AK8" s="934" t="n"/>
      <c r="AL8" s="934" t="n"/>
      <c r="AM8" s="934" t="n"/>
      <c r="AN8" s="934" t="n"/>
      <c r="AO8" s="935" t="n"/>
    </row>
    <row r="9" ht="12.75" customHeight="1">
      <c r="A9" s="1001" t="inlineStr">
        <is>
          <t>General remarks by the surveyor/s</t>
        </is>
      </c>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84" t="n"/>
    </row>
    <row r="10" ht="12.75" customHeight="1">
      <c r="A10" s="858" t="n"/>
      <c r="AO10" s="30" t="n"/>
    </row>
    <row r="11" ht="12.75" customHeight="1">
      <c r="A11" s="543" t="n"/>
      <c r="E11" s="513" t="inlineStr">
        <is>
          <t>Correction for stem and stern obtained by:</t>
        </is>
      </c>
      <c r="X11" s="30" t="n"/>
      <c r="Y11" s="42">
        <f>+General!W34</f>
        <v/>
      </c>
      <c r="Z11" s="998" t="inlineStr">
        <is>
          <t>calculation</t>
        </is>
      </c>
      <c r="AE11" s="30" t="n"/>
      <c r="AF11" s="42">
        <f>+General!AC34</f>
        <v/>
      </c>
      <c r="AG11" s="998" t="inlineStr">
        <is>
          <t>tables</t>
        </is>
      </c>
      <c r="AO11" s="30" t="n"/>
    </row>
    <row r="12" ht="12.75" customHeight="1">
      <c r="A12" s="45" t="n"/>
      <c r="E12" s="513" t="inlineStr">
        <is>
          <t>Correction for trim (1) obtained by:</t>
        </is>
      </c>
      <c r="X12" s="30" t="n"/>
      <c r="Y12" s="42">
        <f>+General!W35</f>
        <v/>
      </c>
      <c r="Z12" s="998" t="inlineStr">
        <is>
          <t>calculation</t>
        </is>
      </c>
      <c r="AE12" s="30" t="n"/>
      <c r="AF12" s="42">
        <f>+General!AC35</f>
        <v/>
      </c>
      <c r="AG12" s="998" t="inlineStr">
        <is>
          <t>tables</t>
        </is>
      </c>
      <c r="AO12" s="30" t="n"/>
    </row>
    <row r="13" ht="12.75" customHeight="1">
      <c r="A13" s="45" t="n"/>
      <c r="E13" s="513" t="inlineStr">
        <is>
          <t>Correction for trim (2) obtained by:</t>
        </is>
      </c>
      <c r="X13" s="30" t="n"/>
      <c r="Y13" s="42">
        <f>+General!W36</f>
        <v/>
      </c>
      <c r="Z13" s="998" t="inlineStr">
        <is>
          <t>calculation</t>
        </is>
      </c>
      <c r="AE13" s="30" t="n"/>
      <c r="AF13" s="42">
        <f>+General!AC36</f>
        <v/>
      </c>
      <c r="AG13" s="998" t="inlineStr">
        <is>
          <t>tables</t>
        </is>
      </c>
      <c r="AO13" s="30" t="n"/>
    </row>
    <row r="14" ht="12.75" customHeight="1">
      <c r="A14" s="45" t="n"/>
      <c r="E14" s="513" t="inlineStr">
        <is>
          <t>Correction due to trim for liquid applied at:</t>
        </is>
      </c>
      <c r="X14" s="30" t="n"/>
      <c r="Y14" s="42">
        <f>+General!W37</f>
        <v/>
      </c>
      <c r="Z14" s="998" t="inlineStr">
        <is>
          <t>soundings</t>
        </is>
      </c>
      <c r="AE14" s="30" t="n"/>
      <c r="AF14" s="42">
        <f>+General!AC37</f>
        <v/>
      </c>
      <c r="AG14" s="998" t="inlineStr">
        <is>
          <t>volumes</t>
        </is>
      </c>
      <c r="AO14" s="30" t="n"/>
    </row>
    <row r="15" ht="12.75" customHeight="1">
      <c r="A15" s="45" t="n"/>
      <c r="E15" s="513" t="inlineStr">
        <is>
          <t>Correction due to trim for liquid obtained by:</t>
        </is>
      </c>
      <c r="X15" s="30" t="n"/>
      <c r="Y15" s="42">
        <f>+General!W38</f>
        <v/>
      </c>
      <c r="Z15" s="998" t="inlineStr">
        <is>
          <t>calculation</t>
        </is>
      </c>
      <c r="AE15" s="30" t="n"/>
      <c r="AF15" s="42">
        <f>+General!AC38</f>
        <v/>
      </c>
      <c r="AG15" s="998" t="inlineStr">
        <is>
          <t>tables</t>
        </is>
      </c>
      <c r="AO15" s="30" t="n"/>
    </row>
    <row r="16" ht="12.75" customHeight="1">
      <c r="A16" s="859" t="n"/>
      <c r="B16" s="934" t="n"/>
      <c r="C16" s="934" t="n"/>
      <c r="D16" s="934" t="n"/>
      <c r="E16" s="934" t="n"/>
      <c r="F16" s="934" t="n"/>
      <c r="G16" s="934" t="n"/>
      <c r="H16" s="934" t="n"/>
      <c r="I16" s="934" t="n"/>
      <c r="J16" s="934" t="n"/>
      <c r="K16" s="934" t="n"/>
      <c r="L16" s="934" t="n"/>
      <c r="M16" s="934" t="n"/>
      <c r="N16" s="934" t="n"/>
      <c r="O16" s="934" t="n"/>
      <c r="P16" s="934" t="n"/>
      <c r="Q16" s="934" t="n"/>
      <c r="R16" s="934" t="n"/>
      <c r="S16" s="934" t="n"/>
      <c r="T16" s="934" t="n"/>
      <c r="U16" s="934" t="n"/>
      <c r="V16" s="934" t="n"/>
      <c r="W16" s="934" t="n"/>
      <c r="X16" s="934" t="n"/>
      <c r="Y16" s="934" t="n"/>
      <c r="Z16" s="934" t="n"/>
      <c r="AA16" s="934" t="n"/>
      <c r="AB16" s="934" t="n"/>
      <c r="AC16" s="934" t="n"/>
      <c r="AD16" s="934" t="n"/>
      <c r="AE16" s="934" t="n"/>
      <c r="AF16" s="934" t="n"/>
      <c r="AG16" s="934" t="n"/>
      <c r="AH16" s="934" t="n"/>
      <c r="AI16" s="934" t="n"/>
      <c r="AJ16" s="934" t="n"/>
      <c r="AK16" s="934" t="n"/>
      <c r="AL16" s="934" t="n"/>
      <c r="AM16" s="934" t="n"/>
      <c r="AN16" s="934" t="n"/>
      <c r="AO16" s="935" t="n"/>
    </row>
    <row r="17" ht="12.75" customHeight="1">
      <c r="A17" s="43" t="n"/>
      <c r="B17" s="547" t="inlineStr">
        <is>
          <t>Initial Draft Survey Remarks</t>
        </is>
      </c>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84" t="n"/>
    </row>
    <row r="18" ht="12.75" customHeight="1">
      <c r="A18" s="45" t="n"/>
      <c r="B18" s="46">
        <f>+Draft!A38</f>
        <v/>
      </c>
      <c r="AO18" s="30" t="n"/>
    </row>
    <row r="19" ht="12.75" customHeight="1">
      <c r="A19" s="43" t="n"/>
      <c r="B19" s="521" t="inlineStr">
        <is>
          <t>Final Draft Survey Remarks</t>
        </is>
      </c>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84" t="n"/>
    </row>
    <row r="20" ht="12.75" customHeight="1">
      <c r="A20" s="514" t="n"/>
      <c r="B20" s="46">
        <f>+Draft!AB37</f>
        <v/>
      </c>
      <c r="C20" s="934" t="n"/>
      <c r="D20" s="934" t="n"/>
      <c r="E20" s="934" t="n"/>
      <c r="F20" s="934" t="n"/>
      <c r="G20" s="934" t="n"/>
      <c r="H20" s="934" t="n"/>
      <c r="I20" s="934" t="n"/>
      <c r="J20" s="934" t="n"/>
      <c r="K20" s="934" t="n"/>
      <c r="L20" s="934" t="n"/>
      <c r="M20" s="934" t="n"/>
      <c r="N20" s="934" t="n"/>
      <c r="O20" s="934" t="n"/>
      <c r="P20" s="934" t="n"/>
      <c r="Q20" s="934" t="n"/>
      <c r="R20" s="934" t="n"/>
      <c r="S20" s="934" t="n"/>
      <c r="T20" s="934" t="n"/>
      <c r="U20" s="934" t="n"/>
      <c r="V20" s="934" t="n"/>
      <c r="W20" s="934" t="n"/>
      <c r="X20" s="934" t="n"/>
      <c r="Y20" s="934" t="n"/>
      <c r="Z20" s="934" t="n"/>
      <c r="AA20" s="934" t="n"/>
      <c r="AB20" s="934" t="n"/>
      <c r="AC20" s="934" t="n"/>
      <c r="AD20" s="934" t="n"/>
      <c r="AE20" s="934" t="n"/>
      <c r="AF20" s="934" t="n"/>
      <c r="AG20" s="934" t="n"/>
      <c r="AH20" s="934" t="n"/>
      <c r="AI20" s="934" t="n"/>
      <c r="AJ20" s="934" t="n"/>
      <c r="AK20" s="934" t="n"/>
      <c r="AL20" s="934" t="n"/>
      <c r="AM20" s="934" t="n"/>
      <c r="AN20" s="934" t="n"/>
      <c r="AO20" s="935" t="n"/>
    </row>
    <row r="21" ht="12.75" customHeight="1">
      <c r="A21" s="1005" t="inlineStr">
        <is>
          <t>Ship's approved hydrostatic tables and lightship information issued by and dated:</t>
        </is>
      </c>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84" t="n"/>
    </row>
    <row r="22" ht="12.75" customHeight="1">
      <c r="A22" s="514" t="n"/>
      <c r="B22" s="551">
        <f>+General!A28</f>
        <v/>
      </c>
      <c r="AO22" s="30" t="n"/>
    </row>
    <row r="23" ht="7.95" customHeight="1">
      <c r="A23" s="1001"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84" t="n"/>
    </row>
    <row r="24" ht="12.75" customHeight="1">
      <c r="A24" s="23" t="n"/>
      <c r="B24" s="555" t="inlineStr">
        <is>
          <t>Degree of tank calibration complies with code:</t>
        </is>
      </c>
      <c r="V24" s="30" t="n"/>
      <c r="W24" s="49">
        <f>+General!W39</f>
        <v/>
      </c>
      <c r="X24" s="998" t="inlineStr">
        <is>
          <t>Yes</t>
        </is>
      </c>
      <c r="Z24" s="30" t="n"/>
      <c r="AA24" s="50">
        <f>+General!AC39</f>
        <v/>
      </c>
      <c r="AB24" s="998" t="inlineStr">
        <is>
          <t>No</t>
        </is>
      </c>
      <c r="AO24" s="30" t="n"/>
    </row>
    <row r="25" ht="6.6" customHeight="1">
      <c r="A25" s="859" t="n"/>
      <c r="B25" s="934" t="n"/>
      <c r="C25" s="934" t="n"/>
      <c r="D25" s="934" t="n"/>
      <c r="E25" s="934" t="n"/>
      <c r="F25" s="934" t="n"/>
      <c r="G25" s="934" t="n"/>
      <c r="H25" s="934" t="n"/>
      <c r="I25" s="934" t="n"/>
      <c r="J25" s="934" t="n"/>
      <c r="K25" s="934" t="n"/>
      <c r="L25" s="934" t="n"/>
      <c r="M25" s="934" t="n"/>
      <c r="N25" s="934" t="n"/>
      <c r="O25" s="934" t="n"/>
      <c r="P25" s="934" t="n"/>
      <c r="Q25" s="934" t="n"/>
      <c r="R25" s="934" t="n"/>
      <c r="S25" s="934" t="n"/>
      <c r="T25" s="934" t="n"/>
      <c r="U25" s="934" t="n"/>
      <c r="V25" s="934" t="n"/>
      <c r="W25" s="934" t="n"/>
      <c r="X25" s="934" t="n"/>
      <c r="Y25" s="934" t="n"/>
      <c r="Z25" s="934" t="n"/>
      <c r="AA25" s="934" t="n"/>
      <c r="AB25" s="934" t="n"/>
      <c r="AC25" s="934" t="n"/>
      <c r="AD25" s="934" t="n"/>
      <c r="AE25" s="934" t="n"/>
      <c r="AF25" s="934" t="n"/>
      <c r="AG25" s="934" t="n"/>
      <c r="AH25" s="934" t="n"/>
      <c r="AI25" s="934" t="n"/>
      <c r="AJ25" s="934" t="n"/>
      <c r="AK25" s="934" t="n"/>
      <c r="AL25" s="934" t="n"/>
      <c r="AM25" s="934" t="n"/>
      <c r="AN25" s="934" t="n"/>
      <c r="AO25" s="935" t="n"/>
    </row>
    <row r="26" ht="12.75" customHeight="1">
      <c r="A26" s="6" t="n"/>
      <c r="B26" s="547" t="inlineStr">
        <is>
          <t>Range of trim correction tables available</t>
        </is>
      </c>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84" t="n"/>
    </row>
    <row r="27" ht="12.75" customHeight="1">
      <c r="A27" s="51" t="n"/>
      <c r="B27" s="52">
        <f>IF(General!B30="X","YES",General!J30)</f>
        <v/>
      </c>
      <c r="C27" s="518" t="n"/>
      <c r="D27" s="518" t="n"/>
      <c r="E27" s="518" t="n"/>
      <c r="F27" s="518" t="n"/>
      <c r="G27" s="518" t="n"/>
      <c r="H27" s="518" t="n"/>
      <c r="I27" s="518" t="n"/>
      <c r="J27" s="518" t="n"/>
      <c r="K27" s="518" t="n"/>
      <c r="L27" s="518" t="n"/>
      <c r="M27" s="518" t="n"/>
      <c r="N27" s="518" t="n"/>
      <c r="O27" s="524" t="n"/>
      <c r="P27" s="524" t="n"/>
      <c r="Q27" s="524" t="n"/>
      <c r="R27" s="524" t="n"/>
      <c r="S27" s="524" t="n"/>
      <c r="T27" s="524" t="n"/>
      <c r="U27" s="524" t="n"/>
      <c r="V27" s="524" t="n"/>
      <c r="W27" s="524" t="n"/>
      <c r="X27" s="524" t="n"/>
      <c r="Y27" s="524" t="n"/>
      <c r="Z27" s="524" t="n"/>
      <c r="AA27" s="524" t="n"/>
      <c r="AB27" s="524" t="n"/>
      <c r="AC27" s="524" t="n"/>
      <c r="AD27" s="524" t="n"/>
      <c r="AE27" s="524" t="n"/>
      <c r="AF27" s="524" t="n"/>
      <c r="AG27" s="524" t="n"/>
      <c r="AH27" s="524" t="n"/>
      <c r="AI27" s="524" t="n"/>
      <c r="AJ27" s="524" t="n"/>
      <c r="AK27" s="524" t="n"/>
      <c r="AL27" s="524" t="n"/>
      <c r="AM27" s="524" t="n"/>
      <c r="AN27" s="524" t="n"/>
      <c r="AO27" s="525" t="n"/>
    </row>
    <row r="28" ht="12.75" customHeight="1">
      <c r="A28" s="6" t="n"/>
      <c r="B28" s="546" t="inlineStr">
        <is>
          <t>Shipyard no.</t>
        </is>
      </c>
      <c r="C28" s="13" t="n"/>
      <c r="D28" s="13" t="n"/>
      <c r="E28" s="13" t="n"/>
      <c r="F28" s="13" t="n"/>
      <c r="G28" s="13" t="n"/>
      <c r="H28" s="13" t="n"/>
      <c r="I28" s="13" t="n"/>
      <c r="J28" s="13" t="n"/>
      <c r="K28" s="13" t="n"/>
      <c r="L28" s="13" t="n"/>
      <c r="M28" s="13" t="n"/>
      <c r="N28" s="13" t="n"/>
      <c r="O28" s="13" t="n"/>
      <c r="P28" s="13" t="n"/>
      <c r="Q28" s="13" t="n"/>
      <c r="R28" s="13" t="n"/>
      <c r="S28" s="546" t="inlineStr">
        <is>
          <t>Hull no :</t>
        </is>
      </c>
      <c r="T28" s="13" t="n"/>
      <c r="U28" s="13" t="n"/>
      <c r="V28" s="13" t="n"/>
      <c r="W28" s="13" t="n"/>
      <c r="X28" s="13" t="n"/>
      <c r="Y28" s="13" t="n"/>
      <c r="Z28" s="13" t="n"/>
      <c r="AA28" s="13" t="n"/>
      <c r="AB28" s="13" t="n"/>
      <c r="AC28" s="521" t="inlineStr">
        <is>
          <t>Dated at:</t>
        </is>
      </c>
      <c r="AD28" s="13" t="n"/>
      <c r="AE28" s="13" t="n"/>
      <c r="AF28" s="13" t="n"/>
      <c r="AG28" s="13" t="n"/>
      <c r="AH28" s="13" t="n"/>
      <c r="AI28" s="13" t="n"/>
      <c r="AJ28" s="13" t="n"/>
      <c r="AK28" s="13" t="n"/>
      <c r="AL28" s="13" t="n"/>
      <c r="AM28" s="13" t="n"/>
      <c r="AN28" s="13" t="n"/>
      <c r="AO28" s="184" t="n"/>
    </row>
    <row r="29" ht="12.75" customHeight="1">
      <c r="A29" s="8" t="n"/>
      <c r="B29" s="15" t="n"/>
      <c r="C29" s="15" t="n"/>
      <c r="D29" s="16" t="n"/>
      <c r="E29" s="524" t="n"/>
      <c r="F29" s="934" t="n"/>
      <c r="G29" s="934" t="n"/>
      <c r="H29" s="934" t="n"/>
      <c r="I29" s="934" t="n"/>
      <c r="J29" s="934" t="n"/>
      <c r="K29" s="934" t="n"/>
      <c r="L29" s="934" t="n"/>
      <c r="M29" s="934" t="n"/>
      <c r="N29" s="934" t="n"/>
      <c r="O29" s="934" t="n"/>
      <c r="P29" s="934" t="n"/>
      <c r="Q29" s="934" t="n"/>
      <c r="R29" s="934" t="n"/>
      <c r="S29" s="934" t="n"/>
      <c r="T29" s="934" t="n"/>
      <c r="U29" s="524" t="n"/>
      <c r="V29" s="934" t="n"/>
      <c r="W29" s="934" t="n"/>
      <c r="X29" s="934" t="n"/>
      <c r="Y29" s="934" t="n"/>
      <c r="Z29" s="934" t="n"/>
      <c r="AA29" s="934" t="n"/>
      <c r="AB29" s="934" t="n"/>
      <c r="AC29" s="934" t="n"/>
      <c r="AD29" s="934" t="n"/>
      <c r="AE29" s="934" t="n"/>
      <c r="AF29" s="553" t="n"/>
      <c r="AG29" s="934" t="n"/>
      <c r="AH29" s="934" t="n"/>
      <c r="AI29" s="934" t="n"/>
      <c r="AJ29" s="934" t="n"/>
      <c r="AK29" s="934" t="n"/>
      <c r="AL29" s="934" t="n"/>
      <c r="AM29" s="934" t="n"/>
      <c r="AN29" s="934" t="n"/>
      <c r="AO29" s="935" t="n"/>
    </row>
    <row r="30" ht="12.75" customHeight="1">
      <c r="A30" s="1006" t="n"/>
      <c r="B30" s="521" t="inlineStr">
        <is>
          <t>Surveyor remarks on ship's documents</t>
        </is>
      </c>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84" t="n"/>
    </row>
    <row r="31" ht="12.75" customHeight="1">
      <c r="A31" s="1000" t="n"/>
      <c r="B31" s="519" t="n"/>
      <c r="C31" s="934" t="n"/>
      <c r="D31" s="934" t="n"/>
      <c r="E31" s="934" t="n"/>
      <c r="F31" s="934" t="n"/>
      <c r="G31" s="934" t="n"/>
      <c r="H31" s="934" t="n"/>
      <c r="I31" s="934" t="n"/>
      <c r="J31" s="934" t="n"/>
      <c r="K31" s="934" t="n"/>
      <c r="L31" s="934" t="n"/>
      <c r="M31" s="934" t="n"/>
      <c r="N31" s="934" t="n"/>
      <c r="O31" s="934" t="n"/>
      <c r="P31" s="934" t="n"/>
      <c r="Q31" s="934" t="n"/>
      <c r="R31" s="934" t="n"/>
      <c r="S31" s="934" t="n"/>
      <c r="T31" s="934" t="n"/>
      <c r="U31" s="934" t="n"/>
      <c r="V31" s="934" t="n"/>
      <c r="W31" s="934" t="n"/>
      <c r="X31" s="934" t="n"/>
      <c r="Y31" s="934" t="n"/>
      <c r="Z31" s="934" t="n"/>
      <c r="AA31" s="934" t="n"/>
      <c r="AB31" s="934" t="n"/>
      <c r="AC31" s="934" t="n"/>
      <c r="AD31" s="934" t="n"/>
      <c r="AE31" s="934" t="n"/>
      <c r="AF31" s="934" t="n"/>
      <c r="AG31" s="934" t="n"/>
      <c r="AH31" s="934" t="n"/>
      <c r="AI31" s="934" t="n"/>
      <c r="AJ31" s="934" t="n"/>
      <c r="AK31" s="934" t="n"/>
      <c r="AL31" s="934" t="n"/>
      <c r="AM31" s="934" t="n"/>
      <c r="AN31" s="934" t="n"/>
      <c r="AO31" s="935" t="n"/>
    </row>
    <row r="32" ht="12.75" customHeight="1">
      <c r="A32" s="1001" t="n"/>
      <c r="B32" s="13" t="n"/>
      <c r="C32" s="13" t="n"/>
      <c r="D32" s="13" t="n"/>
      <c r="E32" s="13" t="n"/>
      <c r="F32" s="13" t="n"/>
      <c r="G32" s="13" t="n"/>
      <c r="H32" s="13" t="n"/>
      <c r="I32" s="13" t="n"/>
      <c r="J32" s="13" t="n"/>
      <c r="K32" s="13" t="n"/>
      <c r="L32" s="13" t="n"/>
      <c r="M32" s="184" t="n"/>
      <c r="N32" s="1007" t="inlineStr">
        <is>
          <t>metres</t>
        </is>
      </c>
      <c r="O32" s="13" t="n"/>
      <c r="P32" s="13" t="n"/>
      <c r="Q32" s="13" t="n"/>
      <c r="R32" s="13" t="n"/>
      <c r="S32" s="184" t="n"/>
      <c r="T32" s="1008" t="n"/>
      <c r="U32" s="13" t="n"/>
      <c r="V32" s="13" t="n"/>
      <c r="W32" s="13" t="n"/>
      <c r="X32" s="13" t="n"/>
      <c r="Y32" s="13" t="n"/>
      <c r="Z32" s="13" t="n"/>
      <c r="AA32" s="13" t="n"/>
      <c r="AB32" s="13" t="n"/>
      <c r="AC32" s="13" t="n"/>
      <c r="AD32" s="184" t="n"/>
      <c r="AE32" s="1001" t="inlineStr">
        <is>
          <t>metric tonnes</t>
        </is>
      </c>
      <c r="AF32" s="13" t="n"/>
      <c r="AG32" s="13" t="n"/>
      <c r="AH32" s="13" t="n"/>
      <c r="AI32" s="13" t="n"/>
      <c r="AJ32" s="184" t="n"/>
      <c r="AK32" s="1008" t="n"/>
      <c r="AL32" s="13" t="n"/>
      <c r="AM32" s="13" t="n"/>
      <c r="AN32" s="13" t="n"/>
      <c r="AO32" s="184" t="n"/>
    </row>
    <row r="33" ht="12.75" customHeight="1">
      <c r="A33" s="562" t="inlineStr">
        <is>
          <t>Length overall</t>
        </is>
      </c>
      <c r="N33" s="1009">
        <f>+General!M18</f>
        <v/>
      </c>
      <c r="S33" s="53" t="n"/>
      <c r="T33" s="562" t="inlineStr">
        <is>
          <t>Constant declared</t>
        </is>
      </c>
      <c r="AD33" s="25" t="n"/>
      <c r="AE33" s="566">
        <f>+General!AG18</f>
        <v/>
      </c>
      <c r="AJ33" s="53" t="n"/>
      <c r="AK33" s="1010" t="n"/>
      <c r="AO33" s="30" t="n"/>
    </row>
    <row r="34" ht="12.75" customHeight="1">
      <c r="A34" s="562" t="inlineStr">
        <is>
          <t>Length between p.p.</t>
        </is>
      </c>
      <c r="N34" s="1009">
        <f>+General!M19</f>
        <v/>
      </c>
      <c r="S34" s="53" t="n"/>
      <c r="T34" s="562" t="inlineStr">
        <is>
          <t>Constant calculated</t>
        </is>
      </c>
      <c r="AD34" s="25" t="n"/>
      <c r="AE34" s="566">
        <f>+General!AG19</f>
        <v/>
      </c>
      <c r="AJ34" s="53" t="n"/>
      <c r="AK34" s="1010" t="n"/>
      <c r="AO34" s="30" t="n"/>
    </row>
    <row r="35" ht="12.75" customHeight="1">
      <c r="A35" s="562" t="inlineStr">
        <is>
          <t>Extreme breadth</t>
        </is>
      </c>
      <c r="N35" s="1009">
        <f>+General!M20</f>
        <v/>
      </c>
      <c r="S35" s="53" t="n"/>
      <c r="T35" s="562" t="inlineStr">
        <is>
          <t>Light displacement</t>
        </is>
      </c>
      <c r="AD35" s="25" t="n"/>
      <c r="AE35" s="566">
        <f>+General!AG20</f>
        <v/>
      </c>
      <c r="AJ35" s="53" t="n"/>
      <c r="AK35" s="1010" t="n"/>
      <c r="AO35" s="30" t="n"/>
    </row>
    <row r="36" ht="12.75" customHeight="1">
      <c r="A36" s="562" t="inlineStr">
        <is>
          <t>Moulded breadth</t>
        </is>
      </c>
      <c r="N36" s="1009">
        <f>+General!M21</f>
        <v/>
      </c>
      <c r="S36" s="53" t="n"/>
      <c r="T36" s="562" t="inlineStr">
        <is>
          <t>Light shipweight (plan)</t>
        </is>
      </c>
      <c r="AD36" s="25" t="n"/>
      <c r="AE36" s="566">
        <f>+General!AG21</f>
        <v/>
      </c>
      <c r="AJ36" s="53" t="n"/>
      <c r="AK36" s="1010" t="n"/>
      <c r="AO36" s="30" t="n"/>
    </row>
    <row r="37" ht="12.75" customHeight="1">
      <c r="A37" s="570" t="inlineStr">
        <is>
          <t>Depth overall incl.. keel plate</t>
        </is>
      </c>
      <c r="N37" s="1009">
        <f>+General!M22</f>
        <v/>
      </c>
      <c r="S37" s="53" t="n"/>
      <c r="T37" s="562" t="inlineStr">
        <is>
          <t>Summer displacement</t>
        </is>
      </c>
      <c r="AD37" s="25" t="n"/>
      <c r="AE37" s="566">
        <f>+General!AG22</f>
        <v/>
      </c>
      <c r="AJ37" s="53" t="n"/>
      <c r="AK37" s="1010" t="n"/>
      <c r="AO37" s="30" t="n"/>
    </row>
    <row r="38" ht="12.75" customHeight="1">
      <c r="A38" s="562" t="inlineStr">
        <is>
          <t>Moulded depth</t>
        </is>
      </c>
      <c r="N38" s="1009">
        <f>+General!M23</f>
        <v/>
      </c>
      <c r="S38" s="53" t="n"/>
      <c r="T38" s="562" t="inlineStr">
        <is>
          <t>Summer deadweight</t>
        </is>
      </c>
      <c r="AD38" s="25" t="n"/>
      <c r="AE38" s="578">
        <f>+General!AG23</f>
        <v/>
      </c>
      <c r="AF38" s="934" t="n"/>
      <c r="AG38" s="934" t="n"/>
      <c r="AH38" s="934" t="n"/>
      <c r="AI38" s="934" t="n"/>
      <c r="AJ38" s="55" t="n"/>
      <c r="AK38" s="1010" t="n"/>
      <c r="AO38" s="30" t="n"/>
    </row>
    <row r="39" ht="12.75" customHeight="1">
      <c r="A39" s="562" t="inlineStr">
        <is>
          <t>Summer draught</t>
        </is>
      </c>
      <c r="N39" s="1009">
        <f>+General!M24</f>
        <v/>
      </c>
      <c r="S39" s="53" t="n"/>
      <c r="T39" s="562" t="inlineStr">
        <is>
          <t>Net register tons</t>
        </is>
      </c>
      <c r="AD39" s="25" t="n"/>
      <c r="AE39" s="580">
        <f>+General!AG24</f>
        <v/>
      </c>
      <c r="AF39" s="13" t="n"/>
      <c r="AG39" s="13" t="n"/>
      <c r="AH39" s="13" t="n"/>
      <c r="AI39" s="13" t="n"/>
      <c r="AJ39" s="56" t="n"/>
      <c r="AK39" s="1010" t="n"/>
      <c r="AO39" s="30" t="n"/>
    </row>
    <row r="40" ht="12.75" customHeight="1">
      <c r="A40" s="570" t="inlineStr">
        <is>
          <t>Summer freeboard</t>
        </is>
      </c>
      <c r="N40" s="1009">
        <f>+General!M25</f>
        <v/>
      </c>
      <c r="S40" s="53" t="n"/>
      <c r="T40" s="562" t="inlineStr">
        <is>
          <t>Gross register Tons</t>
        </is>
      </c>
      <c r="AD40" s="25" t="n"/>
      <c r="AE40" s="566">
        <f>+General!AG25</f>
        <v/>
      </c>
      <c r="AJ40" s="53" t="n"/>
      <c r="AK40" s="1010" t="n"/>
      <c r="AO40" s="30" t="n"/>
    </row>
    <row r="41" ht="12.75" customHeight="1">
      <c r="A41" s="859" t="n"/>
      <c r="B41" s="934" t="n"/>
      <c r="C41" s="934" t="n"/>
      <c r="D41" s="934" t="n"/>
      <c r="E41" s="934" t="n"/>
      <c r="F41" s="934" t="n"/>
      <c r="G41" s="934" t="n"/>
      <c r="H41" s="934" t="n"/>
      <c r="I41" s="934" t="n"/>
      <c r="J41" s="934" t="n"/>
      <c r="K41" s="934" t="n"/>
      <c r="L41" s="934" t="n"/>
      <c r="M41" s="935" t="n"/>
      <c r="N41" s="1011" t="n"/>
      <c r="O41" s="934" t="n"/>
      <c r="P41" s="934" t="n"/>
      <c r="Q41" s="934" t="n"/>
      <c r="R41" s="934" t="n"/>
      <c r="S41" s="935" t="n"/>
      <c r="T41" s="934" t="n"/>
      <c r="U41" s="934" t="n"/>
      <c r="V41" s="934" t="n"/>
      <c r="W41" s="934" t="n"/>
      <c r="X41" s="934" t="n"/>
      <c r="Y41" s="16" t="n"/>
      <c r="Z41" s="16" t="n"/>
      <c r="AA41" s="16" t="n"/>
      <c r="AB41" s="16" t="n"/>
      <c r="AC41" s="57" t="n"/>
      <c r="AD41" s="16" t="n"/>
      <c r="AE41" s="58" t="n"/>
      <c r="AF41" s="59" t="n"/>
      <c r="AG41" s="934" t="n"/>
      <c r="AH41" s="934" t="n"/>
      <c r="AI41" s="59" t="n"/>
      <c r="AJ41" s="55" t="n"/>
      <c r="AK41" s="1012" t="n"/>
      <c r="AL41" s="934" t="n"/>
      <c r="AM41" s="934" t="n"/>
      <c r="AN41" s="934" t="n"/>
      <c r="AO41" s="935" t="n"/>
    </row>
    <row r="42" ht="12.75" customHeight="1">
      <c r="A42" s="527" t="n"/>
      <c r="B42" s="13" t="n"/>
      <c r="C42" s="13" t="n"/>
      <c r="D42" s="13" t="n"/>
      <c r="E42" s="13" t="n"/>
      <c r="F42" s="13" t="n"/>
      <c r="G42" s="13" t="n"/>
      <c r="H42" s="13" t="n"/>
      <c r="I42" s="13" t="n"/>
      <c r="J42" s="13" t="n"/>
      <c r="K42" s="13" t="n"/>
      <c r="L42" s="13" t="n"/>
      <c r="M42" s="13" t="n"/>
      <c r="N42" s="13" t="n"/>
      <c r="O42" s="13" t="n"/>
      <c r="P42" s="13" t="n"/>
      <c r="Q42" s="13" t="n"/>
      <c r="R42" s="13" t="n"/>
      <c r="S42" s="528" t="inlineStr">
        <is>
          <t>STARTING SURVEY</t>
        </is>
      </c>
      <c r="T42" s="13" t="n"/>
      <c r="U42" s="13" t="n"/>
      <c r="V42" s="13" t="n"/>
      <c r="W42" s="13" t="n"/>
      <c r="X42" s="13" t="n"/>
      <c r="Y42" s="13" t="n"/>
      <c r="Z42" s="560" t="n"/>
      <c r="AA42" s="13" t="n"/>
      <c r="AB42" s="13" t="n"/>
      <c r="AC42" s="528" t="inlineStr">
        <is>
          <t>FINISHING SURVEY</t>
        </is>
      </c>
      <c r="AD42" s="13" t="n"/>
      <c r="AE42" s="13" t="n"/>
      <c r="AF42" s="13" t="n"/>
      <c r="AG42" s="13" t="n"/>
      <c r="AH42" s="13" t="n"/>
      <c r="AI42" s="13" t="n"/>
      <c r="AJ42" s="561" t="n"/>
      <c r="AK42" s="13" t="n"/>
      <c r="AL42" s="13" t="n"/>
      <c r="AM42" s="13" t="n"/>
      <c r="AN42" s="13" t="n"/>
      <c r="AO42" s="184" t="n"/>
    </row>
    <row r="43" ht="12.75" customHeight="1">
      <c r="A43" s="570" t="inlineStr">
        <is>
          <t>Tonnes per Centimetre Immersion</t>
        </is>
      </c>
      <c r="S43" s="582">
        <f>+Draft!E16</f>
        <v/>
      </c>
      <c r="T43" s="934" t="n"/>
      <c r="U43" s="934" t="n"/>
      <c r="V43" s="934" t="n"/>
      <c r="W43" s="934" t="n"/>
      <c r="X43" s="576" t="n"/>
      <c r="Y43" s="934" t="n"/>
      <c r="AC43" s="582">
        <f>+Draft!AD16</f>
        <v/>
      </c>
      <c r="AD43" s="934" t="n"/>
      <c r="AE43" s="934" t="n"/>
      <c r="AF43" s="934" t="n"/>
      <c r="AG43" s="934" t="n"/>
      <c r="AH43" s="576" t="n"/>
      <c r="AI43" s="934" t="n"/>
      <c r="AO43" s="30" t="n"/>
    </row>
    <row r="44" ht="12.75" customHeight="1">
      <c r="A44" s="562" t="inlineStr">
        <is>
          <t>Longitudinal Centre of Flotation</t>
        </is>
      </c>
      <c r="S44" s="582">
        <f>+Draft!A16</f>
        <v/>
      </c>
      <c r="T44" s="934" t="n"/>
      <c r="U44" s="934" t="n"/>
      <c r="V44" s="934" t="n"/>
      <c r="W44" s="934" t="n"/>
      <c r="X44" s="576" t="n"/>
      <c r="Y44" s="934" t="n"/>
      <c r="AC44" s="582">
        <f>+Draft!Z16</f>
        <v/>
      </c>
      <c r="AD44" s="934" t="n"/>
      <c r="AE44" s="934" t="n"/>
      <c r="AF44" s="934" t="n"/>
      <c r="AG44" s="934" t="n"/>
      <c r="AH44" s="576" t="n"/>
      <c r="AI44" s="934" t="n"/>
      <c r="AO44" s="30" t="n"/>
    </row>
    <row r="45" ht="12.75" customHeight="1">
      <c r="A45" s="562" t="inlineStr">
        <is>
          <t>Distance marks forward pp. (forward - aft+)</t>
        </is>
      </c>
      <c r="S45" s="582">
        <f>+Draft!V8</f>
        <v/>
      </c>
      <c r="T45" s="934" t="n"/>
      <c r="U45" s="934" t="n"/>
      <c r="V45" s="934" t="n"/>
      <c r="W45" s="934" t="n"/>
      <c r="X45" s="576" t="n"/>
      <c r="Y45" s="934" t="n"/>
      <c r="AC45" s="582">
        <f>+Draft!AU8</f>
        <v/>
      </c>
      <c r="AD45" s="934" t="n"/>
      <c r="AE45" s="934" t="n"/>
      <c r="AF45" s="934" t="n"/>
      <c r="AG45" s="934" t="n"/>
      <c r="AH45" s="576" t="n"/>
      <c r="AI45" s="934" t="n"/>
      <c r="AO45" s="30" t="n"/>
    </row>
    <row r="46" ht="12.75" customHeight="1">
      <c r="A46" s="562" t="inlineStr">
        <is>
          <t>Distance marks after pp. (forward - aft+)</t>
        </is>
      </c>
      <c r="S46" s="582">
        <f>+Draft!V10</f>
        <v/>
      </c>
      <c r="T46" s="934" t="n"/>
      <c r="U46" s="934" t="n"/>
      <c r="V46" s="934" t="n"/>
      <c r="W46" s="934" t="n"/>
      <c r="X46" s="576" t="n"/>
      <c r="Y46" s="934" t="n"/>
      <c r="AC46" s="582">
        <f>+Draft!AU10</f>
        <v/>
      </c>
      <c r="AD46" s="934" t="n"/>
      <c r="AE46" s="934" t="n"/>
      <c r="AF46" s="934" t="n"/>
      <c r="AG46" s="934" t="n"/>
      <c r="AH46" s="576" t="n"/>
      <c r="AI46" s="934" t="n"/>
      <c r="AO46" s="30" t="n"/>
    </row>
    <row r="47" ht="12.75" customHeight="1">
      <c r="A47" s="562" t="inlineStr">
        <is>
          <t>Distance marks midship pp. (forward - aft+)</t>
        </is>
      </c>
      <c r="S47" s="582">
        <f>+Draft!V9</f>
        <v/>
      </c>
      <c r="T47" s="934" t="n"/>
      <c r="U47" s="934" t="n"/>
      <c r="V47" s="934" t="n"/>
      <c r="W47" s="934" t="n"/>
      <c r="X47" s="576" t="n"/>
      <c r="Y47" s="934" t="n"/>
      <c r="AC47" s="582">
        <f>+Draft!AU9</f>
        <v/>
      </c>
      <c r="AD47" s="934" t="n"/>
      <c r="AE47" s="934" t="n"/>
      <c r="AF47" s="934" t="n"/>
      <c r="AG47" s="934" t="n"/>
      <c r="AH47" s="576" t="n"/>
      <c r="AI47" s="934" t="n"/>
      <c r="AO47" s="30" t="n"/>
    </row>
    <row r="48" ht="12.75" customHeight="1">
      <c r="A48" s="570" t="inlineStr">
        <is>
          <t>Moment to Trim One Centimetre +50</t>
        </is>
      </c>
      <c r="S48" s="582">
        <f>+Draft!I16</f>
        <v/>
      </c>
      <c r="T48" s="934" t="n"/>
      <c r="U48" s="934" t="n"/>
      <c r="V48" s="934" t="n"/>
      <c r="W48" s="934" t="n"/>
      <c r="X48" s="576" t="n"/>
      <c r="Y48" s="934" t="n"/>
      <c r="AC48" s="582">
        <f>+Draft!AH16</f>
        <v/>
      </c>
      <c r="AD48" s="934" t="n"/>
      <c r="AE48" s="934" t="n"/>
      <c r="AF48" s="934" t="n"/>
      <c r="AG48" s="934" t="n"/>
      <c r="AH48" s="576" t="n"/>
      <c r="AI48" s="934" t="n"/>
      <c r="AO48" s="30" t="n"/>
    </row>
    <row r="49" ht="12.75" customHeight="1">
      <c r="A49" s="562" t="inlineStr">
        <is>
          <t>Moment to Trim One Centimetre -50</t>
        </is>
      </c>
      <c r="S49" s="582">
        <f>+Draft!M16</f>
        <v/>
      </c>
      <c r="T49" s="934" t="n"/>
      <c r="U49" s="934" t="n"/>
      <c r="V49" s="934" t="n"/>
      <c r="W49" s="934" t="n"/>
      <c r="X49" s="576" t="n"/>
      <c r="Y49" s="934" t="n"/>
      <c r="AC49" s="582">
        <f>+Draft!AL16</f>
        <v/>
      </c>
      <c r="AD49" s="934" t="n"/>
      <c r="AE49" s="934" t="n"/>
      <c r="AF49" s="934" t="n"/>
      <c r="AG49" s="934" t="n"/>
      <c r="AH49" s="576" t="n"/>
      <c r="AI49" s="934" t="n"/>
      <c r="AO49" s="30" t="n"/>
    </row>
    <row r="50" ht="12.75" customHeight="1">
      <c r="A50" s="562" t="inlineStr">
        <is>
          <t>Vessel list</t>
        </is>
      </c>
      <c r="S50" s="583">
        <f>+Draft!E23</f>
        <v/>
      </c>
      <c r="T50" s="934" t="n"/>
      <c r="U50" s="934" t="n"/>
      <c r="V50" s="934" t="n"/>
      <c r="W50" s="934" t="n"/>
      <c r="X50" s="576" t="n"/>
      <c r="Y50" s="934" t="n"/>
      <c r="AC50" s="583">
        <f>+Draft!O23</f>
        <v/>
      </c>
      <c r="AD50" s="934" t="n"/>
      <c r="AE50" s="934" t="n"/>
      <c r="AF50" s="934" t="n"/>
      <c r="AG50" s="934" t="n"/>
      <c r="AH50" s="576" t="n"/>
      <c r="AI50" s="934" t="n"/>
      <c r="AO50" s="30" t="n"/>
    </row>
    <row r="51" ht="12.75" customHeight="1">
      <c r="A51" s="562" t="inlineStr">
        <is>
          <t>Accessibility of sounding pipes</t>
        </is>
      </c>
      <c r="S51" s="583">
        <f>IF(Draft!A8=0,0,IF(Draft!I30="x","GOOD",IF(Draft!J30="X","REGULAR","BAD")))</f>
        <v/>
      </c>
      <c r="T51" s="934" t="n"/>
      <c r="U51" s="934" t="n"/>
      <c r="V51" s="934" t="n"/>
      <c r="W51" s="934" t="n"/>
      <c r="X51" s="576" t="n"/>
      <c r="Y51" s="934" t="n"/>
      <c r="AC51" s="583">
        <f>IF(Draft!Z8=0,0,IF(Draft!I30="x","GOOD",IF(Draft!J30="X","REGULAR","BAD")))</f>
        <v/>
      </c>
      <c r="AD51" s="934" t="n"/>
      <c r="AE51" s="934" t="n"/>
      <c r="AF51" s="934" t="n"/>
      <c r="AG51" s="934" t="n"/>
      <c r="AH51" s="576" t="n"/>
      <c r="AI51" s="934" t="n"/>
      <c r="AO51" s="30" t="n"/>
    </row>
    <row r="52" ht="12.75" customHeight="1">
      <c r="A52" s="562" t="inlineStr">
        <is>
          <t>Working order of gauges</t>
        </is>
      </c>
      <c r="S52" s="583">
        <f>+Draft!E25</f>
        <v/>
      </c>
      <c r="T52" s="934" t="n"/>
      <c r="U52" s="934" t="n"/>
      <c r="V52" s="934" t="n"/>
      <c r="W52" s="934" t="n"/>
      <c r="X52" s="576" t="n"/>
      <c r="Y52" s="934" t="n"/>
      <c r="AC52" s="583">
        <f>+Draft!O25</f>
        <v/>
      </c>
      <c r="AD52" s="934" t="n"/>
      <c r="AE52" s="934" t="n"/>
      <c r="AF52" s="934" t="n"/>
      <c r="AG52" s="934" t="n"/>
      <c r="AH52" s="576" t="n"/>
      <c r="AI52" s="934" t="n"/>
      <c r="AO52" s="30" t="n"/>
    </row>
    <row r="53" ht="12.75" customHeight="1">
      <c r="A53" s="562" t="inlineStr">
        <is>
          <t>Legibility of draught marks</t>
        </is>
      </c>
      <c r="S53" s="583">
        <f>IF(Draft!A8=0,0,IF(Draft!I31="x","GOOD",IF(Draft!J31="X","REGULAR","BAD")))</f>
        <v/>
      </c>
      <c r="T53" s="934" t="n"/>
      <c r="U53" s="934" t="n"/>
      <c r="V53" s="934" t="n"/>
      <c r="W53" s="934" t="n"/>
      <c r="X53" s="576" t="n"/>
      <c r="Y53" s="934" t="n"/>
      <c r="AC53" s="583">
        <f>IF(Draft!Z8=0,0,IF(Draft!I31="x","GOOD",IF(Draft!J31="X","REGULAR","BAD")))</f>
        <v/>
      </c>
      <c r="AD53" s="934" t="n"/>
      <c r="AE53" s="934" t="n"/>
      <c r="AF53" s="934" t="n"/>
      <c r="AG53" s="934" t="n"/>
      <c r="AH53" s="576" t="n"/>
      <c r="AI53" s="934" t="n"/>
      <c r="AO53" s="30" t="n"/>
    </row>
    <row r="54" ht="12.75" customHeight="1">
      <c r="A54" s="859" t="n"/>
      <c r="AO54" s="30" t="n"/>
    </row>
    <row r="55" ht="3" customHeight="1">
      <c r="A55" s="1000" t="n"/>
      <c r="B55" s="934" t="n"/>
      <c r="C55" s="934" t="n"/>
      <c r="D55" s="934" t="n"/>
      <c r="E55" s="934" t="n"/>
      <c r="F55" s="934" t="n"/>
      <c r="G55" s="934" t="n"/>
      <c r="H55" s="934" t="n"/>
      <c r="I55" s="934" t="n"/>
      <c r="J55" s="934" t="n"/>
      <c r="K55" s="934" t="n"/>
      <c r="L55" s="934" t="n"/>
      <c r="M55" s="934" t="n"/>
      <c r="N55" s="934" t="n"/>
      <c r="O55" s="934" t="n"/>
      <c r="P55" s="934" t="n"/>
      <c r="Q55" s="934" t="n"/>
      <c r="R55" s="934" t="n"/>
      <c r="S55" s="934" t="n"/>
      <c r="T55" s="934" t="n"/>
      <c r="U55" s="934" t="n"/>
      <c r="V55" s="934" t="n"/>
      <c r="W55" s="934" t="n"/>
      <c r="X55" s="934" t="n"/>
      <c r="Y55" s="934" t="n"/>
      <c r="Z55" s="934" t="n"/>
      <c r="AA55" s="934" t="n"/>
      <c r="AB55" s="934" t="n"/>
      <c r="AC55" s="934" t="n"/>
      <c r="AD55" s="934" t="n"/>
      <c r="AE55" s="934" t="n"/>
      <c r="AF55" s="934" t="n"/>
      <c r="AG55" s="934" t="n"/>
      <c r="AH55" s="934" t="n"/>
      <c r="AI55" s="934" t="n"/>
      <c r="AJ55" s="934" t="n"/>
      <c r="AK55" s="934" t="n"/>
      <c r="AL55" s="934" t="n"/>
      <c r="AM55" s="934" t="n"/>
      <c r="AN55" s="934" t="n"/>
      <c r="AO55" s="935" t="n"/>
    </row>
    <row r="56" ht="12.75" customHeight="1">
      <c r="A56" s="1006" t="n"/>
      <c r="B56" s="585" t="inlineStr">
        <is>
          <t>This form should be filled with pertinent shipyard-registry data by the Master in advance of survey start to</t>
        </is>
      </c>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84" t="n"/>
    </row>
    <row r="57" ht="12.75" customHeight="1">
      <c r="A57" s="1000" t="n"/>
      <c r="B57" s="586" t="inlineStr">
        <is>
          <t>reduce time/inconvenience.</t>
        </is>
      </c>
      <c r="C57" s="934" t="n"/>
      <c r="D57" s="934" t="n"/>
      <c r="E57" s="934" t="n"/>
      <c r="F57" s="934" t="n"/>
      <c r="G57" s="934" t="n"/>
      <c r="H57" s="934" t="n"/>
      <c r="I57" s="934" t="n"/>
      <c r="J57" s="934" t="n"/>
      <c r="K57" s="934" t="n"/>
      <c r="L57" s="934" t="n"/>
      <c r="M57" s="934" t="n"/>
      <c r="N57" s="934" t="n"/>
      <c r="O57" s="934" t="n"/>
      <c r="P57" s="934" t="n"/>
      <c r="Q57" s="934" t="n"/>
      <c r="R57" s="934" t="n"/>
      <c r="S57" s="934" t="n"/>
      <c r="T57" s="934" t="n"/>
      <c r="U57" s="934" t="n"/>
      <c r="V57" s="934" t="n"/>
      <c r="W57" s="934" t="n"/>
      <c r="X57" s="934" t="n"/>
      <c r="Y57" s="934" t="n"/>
      <c r="Z57" s="934" t="n"/>
      <c r="AA57" s="934" t="n"/>
      <c r="AB57" s="934" t="n"/>
      <c r="AC57" s="934" t="n"/>
      <c r="AD57" s="934" t="n"/>
      <c r="AE57" s="934" t="n"/>
      <c r="AF57" s="934" t="n"/>
      <c r="AG57" s="934" t="n"/>
      <c r="AH57" s="934" t="n"/>
      <c r="AI57" s="934" t="n"/>
      <c r="AJ57" s="934" t="n"/>
      <c r="AK57" s="934" t="n"/>
      <c r="AL57" s="934" t="n"/>
      <c r="AM57" s="934" t="n"/>
      <c r="AN57" s="934" t="n"/>
      <c r="AO57" s="935" t="n"/>
    </row>
    <row r="58" ht="12.75" customHeight="1">
      <c r="A58" s="528"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row>
    <row r="59" ht="25.5" customHeight="1">
      <c r="A59" s="418" t="n"/>
    </row>
  </sheetData>
  <mergeCells count="167">
    <mergeCell ref="S47:W47"/>
    <mergeCell ref="A32:M32"/>
    <mergeCell ref="A37:L37"/>
    <mergeCell ref="B19:AO19"/>
    <mergeCell ref="AE35:AI35"/>
    <mergeCell ref="S46:W46"/>
    <mergeCell ref="X52:Y52"/>
    <mergeCell ref="A49:Q49"/>
    <mergeCell ref="T34:AC34"/>
    <mergeCell ref="S52:W52"/>
    <mergeCell ref="A59:AO59"/>
    <mergeCell ref="T37:AC37"/>
    <mergeCell ref="AK39:AO39"/>
    <mergeCell ref="S48:W48"/>
    <mergeCell ref="B30:AO30"/>
    <mergeCell ref="AC53:AG53"/>
    <mergeCell ref="A42:R42"/>
    <mergeCell ref="N33:R33"/>
    <mergeCell ref="B5:AO5"/>
    <mergeCell ref="AK38:AO38"/>
    <mergeCell ref="AH48:AI48"/>
    <mergeCell ref="AE38:AI38"/>
    <mergeCell ref="AH46:AI46"/>
    <mergeCell ref="A11:D15"/>
    <mergeCell ref="AK41:AO41"/>
    <mergeCell ref="B31:AO31"/>
    <mergeCell ref="AC46:AG46"/>
    <mergeCell ref="A41:M41"/>
    <mergeCell ref="A34:L34"/>
    <mergeCell ref="AE40:AI40"/>
    <mergeCell ref="Y2:AH2"/>
    <mergeCell ref="AE32:AJ32"/>
    <mergeCell ref="Z11:AE11"/>
    <mergeCell ref="S28:AB28"/>
    <mergeCell ref="AC8:AO8"/>
    <mergeCell ref="AH45:AI45"/>
    <mergeCell ref="A36:L36"/>
    <mergeCell ref="AK37:AO37"/>
    <mergeCell ref="AK36:AO36"/>
    <mergeCell ref="S50:W50"/>
    <mergeCell ref="T40:AC40"/>
    <mergeCell ref="AH47:AI47"/>
    <mergeCell ref="S51:W51"/>
    <mergeCell ref="X43:Y43"/>
    <mergeCell ref="A10:AO10"/>
    <mergeCell ref="S43:W43"/>
    <mergeCell ref="E12:X12"/>
    <mergeCell ref="AB24:AO24"/>
    <mergeCell ref="A9:AO9"/>
    <mergeCell ref="E14:X14"/>
    <mergeCell ref="Z42:AB53"/>
    <mergeCell ref="AH53:AI53"/>
    <mergeCell ref="A56:A57"/>
    <mergeCell ref="A2:X2"/>
    <mergeCell ref="A1:AO1"/>
    <mergeCell ref="T39:AC39"/>
    <mergeCell ref="Z13:AE13"/>
    <mergeCell ref="AI2:AO4"/>
    <mergeCell ref="AH50:AI50"/>
    <mergeCell ref="AE39:AI39"/>
    <mergeCell ref="A38:L38"/>
    <mergeCell ref="S42:Y42"/>
    <mergeCell ref="Z15:AE15"/>
    <mergeCell ref="A50:Q50"/>
    <mergeCell ref="F8:AB8"/>
    <mergeCell ref="AH49:AI49"/>
    <mergeCell ref="S53:W53"/>
    <mergeCell ref="X45:Y45"/>
    <mergeCell ref="A40:L40"/>
    <mergeCell ref="AC44:AG44"/>
    <mergeCell ref="B22:AO22"/>
    <mergeCell ref="Z7:AO7"/>
    <mergeCell ref="AF29:AO29"/>
    <mergeCell ref="A47:Q47"/>
    <mergeCell ref="E29:T29"/>
    <mergeCell ref="A21:AO21"/>
    <mergeCell ref="AK40:AO40"/>
    <mergeCell ref="N34:R34"/>
    <mergeCell ref="AE37:AI37"/>
    <mergeCell ref="AA3:AH3"/>
    <mergeCell ref="AC42:AI42"/>
    <mergeCell ref="AC51:AG51"/>
    <mergeCell ref="X44:Y44"/>
    <mergeCell ref="A23:AO23"/>
    <mergeCell ref="X46:Y46"/>
    <mergeCell ref="N36:R36"/>
    <mergeCell ref="AK32:AO32"/>
    <mergeCell ref="A44:Q44"/>
    <mergeCell ref="X48:Y48"/>
    <mergeCell ref="A51:Q51"/>
    <mergeCell ref="Z12:AE12"/>
    <mergeCell ref="A4:Y4"/>
    <mergeCell ref="N37:R37"/>
    <mergeCell ref="X24:Z24"/>
    <mergeCell ref="T36:AC36"/>
    <mergeCell ref="AH43:AI43"/>
    <mergeCell ref="Z14:AE14"/>
    <mergeCell ref="AE33:AI33"/>
    <mergeCell ref="AG13:AO13"/>
    <mergeCell ref="A6:AO6"/>
    <mergeCell ref="T33:AC33"/>
    <mergeCell ref="AC43:AG43"/>
    <mergeCell ref="B26:AO26"/>
    <mergeCell ref="E13:X13"/>
    <mergeCell ref="A25:AO25"/>
    <mergeCell ref="AG15:AO15"/>
    <mergeCell ref="AC28:AO28"/>
    <mergeCell ref="T35:AC35"/>
    <mergeCell ref="E15:X15"/>
    <mergeCell ref="X50:Y50"/>
    <mergeCell ref="X51:Y51"/>
    <mergeCell ref="S45:W45"/>
    <mergeCell ref="N32:S32"/>
    <mergeCell ref="B7:Y7"/>
    <mergeCell ref="N41:S41"/>
    <mergeCell ref="A53:Q53"/>
    <mergeCell ref="AC52:AG52"/>
    <mergeCell ref="S44:W44"/>
    <mergeCell ref="A3:Y3"/>
    <mergeCell ref="N35:R35"/>
    <mergeCell ref="AC48:AG48"/>
    <mergeCell ref="AJ42:AO53"/>
    <mergeCell ref="A54:AO55"/>
    <mergeCell ref="AC45:AG45"/>
    <mergeCell ref="A48:Q48"/>
    <mergeCell ref="AG11:AO11"/>
    <mergeCell ref="A58:AO58"/>
    <mergeCell ref="T32:AD32"/>
    <mergeCell ref="AH52:AI52"/>
    <mergeCell ref="A45:Q45"/>
    <mergeCell ref="AC47:AG47"/>
    <mergeCell ref="A33:L33"/>
    <mergeCell ref="X53:Y53"/>
    <mergeCell ref="AK33:AO33"/>
    <mergeCell ref="X47:Y47"/>
    <mergeCell ref="AH44:AI44"/>
    <mergeCell ref="AG12:AO12"/>
    <mergeCell ref="T38:AC38"/>
    <mergeCell ref="A46:Q46"/>
    <mergeCell ref="A35:L35"/>
    <mergeCell ref="N39:R39"/>
    <mergeCell ref="X49:Y49"/>
    <mergeCell ref="A16:AO16"/>
    <mergeCell ref="AA4:AH4"/>
    <mergeCell ref="S49:W49"/>
    <mergeCell ref="AK35:AO35"/>
    <mergeCell ref="B24:V24"/>
    <mergeCell ref="AG14:AO14"/>
    <mergeCell ref="N38:R38"/>
    <mergeCell ref="AH51:AI51"/>
    <mergeCell ref="AK34:AO34"/>
    <mergeCell ref="AC50:AG50"/>
    <mergeCell ref="B28:R28"/>
    <mergeCell ref="A8:E8"/>
    <mergeCell ref="E11:X11"/>
    <mergeCell ref="A39:L39"/>
    <mergeCell ref="B56:AO56"/>
    <mergeCell ref="N40:R40"/>
    <mergeCell ref="AE34:AI34"/>
    <mergeCell ref="AC49:AG49"/>
    <mergeCell ref="A43:Q43"/>
    <mergeCell ref="U29:AE29"/>
    <mergeCell ref="A52:Q52"/>
    <mergeCell ref="AE36:AI36"/>
    <mergeCell ref="B17:AO17"/>
    <mergeCell ref="A30:A31"/>
    <mergeCell ref="B57:AO57"/>
  </mergeCells>
  <printOptions horizontalCentered="1" verticalCentered="1"/>
  <pageMargins left="0.3937007874015748" right="0.3937007874015748" top="0.2362204724409449" bottom="0.2362204724409449" header="0" footer="0.2362204724409449"/>
  <pageSetup orientation="portrait" paperSize="122" horizontalDpi="300" verticalDpi="300"/>
  <headerFooter alignWithMargins="0">
    <oddHeader/>
    <oddFooter>&amp;RPage 2 of 5</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AO58"/>
  <sheetViews>
    <sheetView showGridLines="0" showZeros="0" topLeftCell="A4" zoomScale="108" workbookViewId="0">
      <selection activeCell="BD32" sqref="BD32"/>
    </sheetView>
  </sheetViews>
  <sheetFormatPr baseColWidth="8" defaultColWidth="11.5546875" defaultRowHeight="13.2"/>
  <cols>
    <col width="2.44140625" customWidth="1" min="1" max="178"/>
    <col width="2.44140625" customWidth="1" min="257" max="434"/>
    <col width="2.44140625" customWidth="1" min="513" max="690"/>
    <col width="2.44140625" customWidth="1" min="769" max="946"/>
    <col width="2.44140625" customWidth="1" min="1025" max="1202"/>
    <col width="2.44140625" customWidth="1" min="1281" max="1458"/>
    <col width="2.44140625" customWidth="1" min="1537" max="1714"/>
    <col width="2.44140625" customWidth="1" min="1793" max="1970"/>
    <col width="2.44140625" customWidth="1" min="2049" max="2226"/>
    <col width="2.44140625" customWidth="1" min="2305" max="2482"/>
    <col width="2.44140625" customWidth="1" min="2561" max="2738"/>
    <col width="2.44140625" customWidth="1" min="2817" max="2994"/>
    <col width="2.44140625" customWidth="1" min="3073" max="3250"/>
    <col width="2.44140625" customWidth="1" min="3329" max="3506"/>
    <col width="2.44140625" customWidth="1" min="3585" max="3762"/>
    <col width="2.44140625" customWidth="1" min="3841" max="4018"/>
    <col width="2.44140625" customWidth="1" min="4097" max="4274"/>
    <col width="2.44140625" customWidth="1" min="4353" max="4530"/>
    <col width="2.44140625" customWidth="1" min="4609" max="4786"/>
    <col width="2.44140625" customWidth="1" min="4865" max="5042"/>
    <col width="2.44140625" customWidth="1" min="5121" max="5298"/>
    <col width="2.44140625" customWidth="1" min="5377" max="5554"/>
    <col width="2.44140625" customWidth="1" min="5633" max="5810"/>
    <col width="2.44140625" customWidth="1" min="5889" max="6066"/>
    <col width="2.44140625" customWidth="1" min="6145" max="6322"/>
    <col width="2.44140625" customWidth="1" min="6401" max="6578"/>
    <col width="2.44140625" customWidth="1" min="6657" max="6834"/>
    <col width="2.44140625" customWidth="1" min="6913" max="7090"/>
    <col width="2.44140625" customWidth="1" min="7169" max="7346"/>
    <col width="2.44140625" customWidth="1" min="7425" max="7602"/>
    <col width="2.44140625" customWidth="1" min="7681" max="7858"/>
    <col width="2.44140625" customWidth="1" min="7937" max="8114"/>
    <col width="2.44140625" customWidth="1" min="8193" max="8370"/>
    <col width="2.44140625" customWidth="1" min="8449" max="8626"/>
    <col width="2.44140625" customWidth="1" min="8705" max="8882"/>
    <col width="2.44140625" customWidth="1" min="8961" max="9138"/>
    <col width="2.44140625" customWidth="1" min="9217" max="9394"/>
    <col width="2.44140625" customWidth="1" min="9473" max="9650"/>
    <col width="2.44140625" customWidth="1" min="9729" max="9906"/>
    <col width="2.44140625" customWidth="1" min="9985" max="10162"/>
    <col width="2.44140625" customWidth="1" min="10241" max="10418"/>
    <col width="2.44140625" customWidth="1" min="10497" max="10674"/>
    <col width="2.44140625" customWidth="1" min="10753" max="10930"/>
    <col width="2.44140625" customWidth="1" min="11009" max="11186"/>
    <col width="2.44140625" customWidth="1" min="11265" max="11442"/>
    <col width="2.44140625" customWidth="1" min="11521" max="11698"/>
    <col width="2.44140625" customWidth="1" min="11777" max="11954"/>
    <col width="2.44140625" customWidth="1" min="12033" max="12210"/>
    <col width="2.44140625" customWidth="1" min="12289" max="12466"/>
    <col width="2.44140625" customWidth="1" min="12545" max="12722"/>
    <col width="2.44140625" customWidth="1" min="12801" max="12978"/>
    <col width="2.44140625" customWidth="1" min="13057" max="13234"/>
    <col width="2.44140625" customWidth="1" min="13313" max="13490"/>
    <col width="2.44140625" customWidth="1" min="13569" max="13746"/>
    <col width="2.44140625" customWidth="1" min="13825" max="14002"/>
    <col width="2.44140625" customWidth="1" min="14081" max="14258"/>
    <col width="2.44140625" customWidth="1" min="14337" max="14514"/>
    <col width="2.44140625" customWidth="1" min="14593" max="14770"/>
    <col width="2.44140625" customWidth="1" min="14849" max="15026"/>
    <col width="2.44140625" customWidth="1" min="15105" max="15282"/>
    <col width="2.44140625" customWidth="1" min="15361" max="15538"/>
    <col width="2.44140625" customWidth="1" min="15617" max="15794"/>
    <col width="2.44140625" customWidth="1" min="15873" max="16050"/>
    <col width="2.44140625" customWidth="1" min="16129" max="16306"/>
  </cols>
  <sheetData>
    <row r="1" ht="12.75" customHeight="1">
      <c r="A1" s="494" t="inlineStr">
        <is>
          <t>U.N. , ECE - DRAUGHT SURVEY CODE</t>
        </is>
      </c>
    </row>
    <row r="2" ht="12.75" customHeight="1">
      <c r="A2" s="495" t="n"/>
      <c r="B2" s="13" t="n"/>
      <c r="C2" s="13" t="n"/>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498" t="n"/>
      <c r="Z2" s="13" t="n"/>
      <c r="AA2" s="13" t="n"/>
      <c r="AB2" s="13" t="n"/>
      <c r="AC2" s="13" t="n"/>
      <c r="AD2" s="13" t="n"/>
      <c r="AE2" s="13" t="n"/>
      <c r="AF2" s="13" t="n"/>
      <c r="AG2" s="13" t="n"/>
      <c r="AH2" s="184" t="n"/>
      <c r="AI2" s="1004" t="inlineStr">
        <is>
          <t>FORM "C"</t>
        </is>
      </c>
      <c r="AJ2" s="13" t="n"/>
      <c r="AK2" s="13" t="n"/>
      <c r="AL2" s="13" t="n"/>
      <c r="AM2" s="13" t="n"/>
      <c r="AN2" s="13" t="n"/>
      <c r="AO2" s="184" t="n"/>
    </row>
    <row r="3" ht="12.75" customHeight="1">
      <c r="A3" s="997" t="inlineStr">
        <is>
          <t>DRAUGHT SURVEY REPORT OF CARGO IN BULK</t>
        </is>
      </c>
      <c r="Y3" s="30" t="n"/>
      <c r="Z3" s="2">
        <f>+A!Z3</f>
        <v/>
      </c>
      <c r="AA3" s="998" t="inlineStr">
        <is>
          <t>LOADED</t>
        </is>
      </c>
      <c r="AH3" s="30" t="n"/>
      <c r="AI3" s="45" t="n"/>
      <c r="AO3" s="30" t="n"/>
    </row>
    <row r="4" ht="12.75" customHeight="1">
      <c r="A4" s="859" t="n"/>
      <c r="B4" s="934" t="n"/>
      <c r="C4" s="934" t="n"/>
      <c r="D4" s="934" t="n"/>
      <c r="E4" s="934" t="n"/>
      <c r="F4" s="934" t="n"/>
      <c r="G4" s="934" t="n"/>
      <c r="H4" s="934" t="n"/>
      <c r="I4" s="934" t="n"/>
      <c r="J4" s="934" t="n"/>
      <c r="K4" s="934" t="n"/>
      <c r="L4" s="934" t="n"/>
      <c r="M4" s="934" t="n"/>
      <c r="N4" s="934" t="n"/>
      <c r="O4" s="934" t="n"/>
      <c r="P4" s="934" t="n"/>
      <c r="Q4" s="934" t="n"/>
      <c r="R4" s="934" t="n"/>
      <c r="S4" s="934" t="n"/>
      <c r="T4" s="934" t="n"/>
      <c r="U4" s="934" t="n"/>
      <c r="V4" s="934" t="n"/>
      <c r="W4" s="934" t="n"/>
      <c r="X4" s="934" t="n"/>
      <c r="Y4" s="935" t="n"/>
      <c r="Z4" s="2">
        <f>+A!Z4</f>
        <v/>
      </c>
      <c r="AA4" s="999" t="inlineStr">
        <is>
          <t>UNLOADED</t>
        </is>
      </c>
      <c r="AB4" s="934" t="n"/>
      <c r="AC4" s="934" t="n"/>
      <c r="AD4" s="934" t="n"/>
      <c r="AE4" s="934" t="n"/>
      <c r="AF4" s="934" t="n"/>
      <c r="AG4" s="934" t="n"/>
      <c r="AH4" s="935" t="n"/>
      <c r="AI4" s="1000" t="n"/>
      <c r="AJ4" s="934" t="n"/>
      <c r="AK4" s="934" t="n"/>
      <c r="AL4" s="934" t="n"/>
      <c r="AM4" s="934" t="n"/>
      <c r="AN4" s="934" t="n"/>
      <c r="AO4" s="935" t="n"/>
    </row>
    <row r="5" ht="12.75" customHeight="1">
      <c r="A5" s="6" t="n"/>
      <c r="B5" s="521" t="inlineStr">
        <is>
          <t>Corporate identification:</t>
        </is>
      </c>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84" t="n"/>
    </row>
    <row r="6" ht="12.75" customHeight="1">
      <c r="A6" s="859">
        <f>A!B6</f>
        <v/>
      </c>
      <c r="B6" s="934" t="n"/>
      <c r="C6" s="934" t="n"/>
      <c r="D6" s="934" t="n"/>
      <c r="E6" s="934" t="n"/>
      <c r="F6" s="934" t="n"/>
      <c r="G6" s="934" t="n"/>
      <c r="H6" s="934" t="n"/>
      <c r="I6" s="934" t="n"/>
      <c r="J6" s="934" t="n"/>
      <c r="K6" s="934" t="n"/>
      <c r="L6" s="934" t="n"/>
      <c r="M6" s="934" t="n"/>
      <c r="N6" s="934" t="n"/>
      <c r="O6" s="934" t="n"/>
      <c r="P6" s="934" t="n"/>
      <c r="Q6" s="934" t="n"/>
      <c r="R6" s="934" t="n"/>
      <c r="S6" s="934" t="n"/>
      <c r="T6" s="934" t="n"/>
      <c r="U6" s="934" t="n"/>
      <c r="V6" s="934" t="n"/>
      <c r="W6" s="934" t="n"/>
      <c r="X6" s="934" t="n"/>
      <c r="Y6" s="934" t="n"/>
      <c r="Z6" s="934" t="n"/>
      <c r="AA6" s="934" t="n"/>
      <c r="AB6" s="934" t="n"/>
      <c r="AC6" s="934" t="n"/>
      <c r="AD6" s="934" t="n"/>
      <c r="AE6" s="934" t="n"/>
      <c r="AF6" s="934" t="n"/>
      <c r="AG6" s="934" t="n"/>
      <c r="AH6" s="934" t="n"/>
      <c r="AI6" s="934" t="n"/>
      <c r="AJ6" s="934" t="n"/>
      <c r="AK6" s="934" t="n"/>
      <c r="AL6" s="934" t="n"/>
      <c r="AM6" s="934" t="n"/>
      <c r="AN6" s="934" t="n"/>
      <c r="AO6" s="935" t="n"/>
    </row>
    <row r="7" ht="12.75" customHeight="1">
      <c r="A7" s="6" t="n"/>
      <c r="B7" s="520" t="inlineStr">
        <is>
          <t>Vessel M/V :</t>
        </is>
      </c>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521" t="inlineStr">
        <is>
          <t>Survey no:</t>
        </is>
      </c>
      <c r="AA7" s="13" t="n"/>
      <c r="AB7" s="13" t="n"/>
      <c r="AC7" s="13" t="n"/>
      <c r="AD7" s="13" t="n"/>
      <c r="AE7" s="13" t="n"/>
      <c r="AF7" s="13" t="n"/>
      <c r="AG7" s="13" t="n"/>
      <c r="AH7" s="13" t="n"/>
      <c r="AI7" s="13" t="n"/>
      <c r="AJ7" s="13" t="n"/>
      <c r="AK7" s="13" t="n"/>
      <c r="AL7" s="13" t="n"/>
      <c r="AM7" s="13" t="n"/>
      <c r="AN7" s="13" t="n"/>
      <c r="AO7" s="184" t="n"/>
    </row>
    <row r="8" ht="12.75" customHeight="1">
      <c r="A8" s="514" t="n"/>
      <c r="B8" s="934" t="n"/>
      <c r="C8" s="934" t="n"/>
      <c r="D8" s="934" t="n"/>
      <c r="E8" s="934" t="n"/>
      <c r="F8" s="541">
        <f>+A!G12</f>
        <v/>
      </c>
      <c r="G8" s="934" t="n"/>
      <c r="H8" s="934" t="n"/>
      <c r="I8" s="934" t="n"/>
      <c r="J8" s="934" t="n"/>
      <c r="K8" s="934" t="n"/>
      <c r="L8" s="934" t="n"/>
      <c r="M8" s="934" t="n"/>
      <c r="N8" s="934" t="n"/>
      <c r="O8" s="934" t="n"/>
      <c r="P8" s="934" t="n"/>
      <c r="Q8" s="934" t="n"/>
      <c r="R8" s="934" t="n"/>
      <c r="S8" s="934" t="n"/>
      <c r="T8" s="934" t="n"/>
      <c r="U8" s="934" t="n"/>
      <c r="V8" s="934" t="n"/>
      <c r="W8" s="934" t="n"/>
      <c r="X8" s="934" t="n"/>
      <c r="Y8" s="934" t="n"/>
      <c r="Z8" s="934" t="n"/>
      <c r="AA8" s="934" t="n"/>
      <c r="AB8" s="934" t="n"/>
      <c r="AC8" s="525">
        <f>+A!AG12</f>
        <v/>
      </c>
      <c r="AD8" s="934" t="n"/>
      <c r="AE8" s="934" t="n"/>
      <c r="AF8" s="934" t="n"/>
      <c r="AG8" s="934" t="n"/>
      <c r="AH8" s="934" t="n"/>
      <c r="AI8" s="934" t="n"/>
      <c r="AJ8" s="934" t="n"/>
      <c r="AK8" s="934" t="n"/>
      <c r="AL8" s="934" t="n"/>
      <c r="AM8" s="934" t="n"/>
      <c r="AN8" s="934" t="n"/>
      <c r="AO8" s="935" t="n"/>
    </row>
    <row r="9" ht="12.75" customHeight="1">
      <c r="A9" s="1001" t="inlineStr">
        <is>
          <t>DRAUGHT STATEMENT</t>
        </is>
      </c>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84" t="n"/>
    </row>
    <row r="10" ht="12.75" customHeight="1">
      <c r="A10" s="858" t="n"/>
      <c r="AO10" s="30" t="n"/>
    </row>
    <row r="11" ht="12.75" customHeight="1">
      <c r="A11" s="587" t="inlineStr">
        <is>
          <t>DRAUGHT READINGS HOURS:</t>
        </is>
      </c>
      <c r="S11" s="588" t="inlineStr">
        <is>
          <t>STARTING SURVEY</t>
        </is>
      </c>
      <c r="AB11" s="287" t="n"/>
      <c r="AE11" s="544" t="inlineStr">
        <is>
          <t>FINISHING SURVEY</t>
        </is>
      </c>
      <c r="AN11" s="569" t="n"/>
      <c r="AO11" s="30" t="n"/>
    </row>
    <row r="12" ht="12.75" customHeight="1">
      <c r="A12" s="543" t="n"/>
      <c r="S12" s="425" t="inlineStr">
        <is>
          <t>From</t>
        </is>
      </c>
      <c r="U12" s="589">
        <f>Draft!T3</f>
        <v/>
      </c>
      <c r="X12" s="61" t="inlineStr">
        <is>
          <t>To</t>
        </is>
      </c>
      <c r="Y12" s="590">
        <f>Draft!T4</f>
        <v/>
      </c>
      <c r="AB12" s="287" t="n"/>
      <c r="AE12" s="425" t="inlineStr">
        <is>
          <t>From</t>
        </is>
      </c>
      <c r="AG12" s="589">
        <f>Draft!AS3</f>
        <v/>
      </c>
      <c r="AJ12" s="61" t="inlineStr">
        <is>
          <t>To</t>
        </is>
      </c>
      <c r="AK12" s="590">
        <f>Draft!AS4</f>
        <v/>
      </c>
      <c r="AN12" s="569" t="n"/>
      <c r="AO12" s="30" t="n"/>
    </row>
    <row r="13" ht="12.75" customHeight="1">
      <c r="A13" s="45" t="n"/>
      <c r="S13" s="588" t="inlineStr">
        <is>
          <t>metres</t>
        </is>
      </c>
      <c r="AB13" s="287" t="n"/>
      <c r="AE13" s="588" t="inlineStr">
        <is>
          <t>metres</t>
        </is>
      </c>
      <c r="AN13" s="569" t="n"/>
      <c r="AO13" s="30" t="n"/>
    </row>
    <row r="14" ht="12.75" customHeight="1">
      <c r="A14" s="23" t="n"/>
      <c r="B14" s="563" t="inlineStr">
        <is>
          <t>Draught forward port</t>
        </is>
      </c>
      <c r="S14" s="1013">
        <f>+Draft!A8</f>
        <v/>
      </c>
      <c r="T14" s="203" t="n"/>
      <c r="U14" s="203" t="n"/>
      <c r="V14" s="203" t="n"/>
      <c r="W14" s="203" t="n"/>
      <c r="X14" s="203" t="n"/>
      <c r="Y14" s="203" t="n"/>
      <c r="Z14" s="203" t="n"/>
      <c r="AA14" s="1014" t="n"/>
      <c r="AB14" s="287" t="n"/>
      <c r="AE14" s="1013">
        <f>+Draft!Z8</f>
        <v/>
      </c>
      <c r="AF14" s="203" t="n"/>
      <c r="AG14" s="203" t="n"/>
      <c r="AH14" s="203" t="n"/>
      <c r="AI14" s="203" t="n"/>
      <c r="AJ14" s="203" t="n"/>
      <c r="AK14" s="203" t="n"/>
      <c r="AL14" s="203" t="n"/>
      <c r="AM14" s="1014" t="n"/>
      <c r="AN14" s="1010" t="n"/>
      <c r="AO14" s="30" t="n"/>
    </row>
    <row r="15" ht="12.75" customHeight="1">
      <c r="A15" s="23" t="n"/>
      <c r="B15" s="563" t="inlineStr">
        <is>
          <t>Draught forward starboard</t>
        </is>
      </c>
      <c r="S15" s="1013">
        <f>+Draft!E8</f>
        <v/>
      </c>
      <c r="T15" s="203" t="n"/>
      <c r="U15" s="203" t="n"/>
      <c r="V15" s="203" t="n"/>
      <c r="W15" s="203" t="n"/>
      <c r="X15" s="203" t="n"/>
      <c r="Y15" s="203" t="n"/>
      <c r="Z15" s="203" t="n"/>
      <c r="AA15" s="1014" t="n"/>
      <c r="AB15" s="287" t="n"/>
      <c r="AE15" s="1013">
        <f>+Draft!AD8</f>
        <v/>
      </c>
      <c r="AF15" s="203" t="n"/>
      <c r="AG15" s="203" t="n"/>
      <c r="AH15" s="203" t="n"/>
      <c r="AI15" s="203" t="n"/>
      <c r="AJ15" s="203" t="n"/>
      <c r="AK15" s="203" t="n"/>
      <c r="AL15" s="203" t="n"/>
      <c r="AM15" s="1014" t="n"/>
      <c r="AN15" s="1010" t="n"/>
      <c r="AO15" s="30" t="n"/>
    </row>
    <row r="16" ht="12.75" customHeight="1">
      <c r="A16" s="23" t="n"/>
      <c r="B16" s="563" t="inlineStr">
        <is>
          <t>Draught forward mean</t>
        </is>
      </c>
      <c r="S16" s="1013">
        <f>+Draft!J8</f>
        <v/>
      </c>
      <c r="T16" s="203" t="n"/>
      <c r="U16" s="203" t="n"/>
      <c r="V16" s="203" t="n"/>
      <c r="W16" s="203" t="n"/>
      <c r="X16" s="203" t="n"/>
      <c r="Y16" s="203" t="n"/>
      <c r="Z16" s="203" t="n"/>
      <c r="AA16" s="1014" t="n"/>
      <c r="AB16" s="287" t="n"/>
      <c r="AE16" s="1013">
        <f>+Draft!AI8</f>
        <v/>
      </c>
      <c r="AF16" s="203" t="n"/>
      <c r="AG16" s="203" t="n"/>
      <c r="AH16" s="203" t="n"/>
      <c r="AI16" s="203" t="n"/>
      <c r="AJ16" s="203" t="n"/>
      <c r="AK16" s="203" t="n"/>
      <c r="AL16" s="203" t="n"/>
      <c r="AM16" s="1014" t="n"/>
      <c r="AN16" s="1010" t="n"/>
      <c r="AO16" s="30" t="n"/>
    </row>
    <row r="17" ht="12.75" customHeight="1">
      <c r="A17" s="23" t="n"/>
      <c r="B17" s="563" t="inlineStr">
        <is>
          <t>Stem correction</t>
        </is>
      </c>
      <c r="S17" s="1013">
        <f>+Draft!N8</f>
        <v/>
      </c>
      <c r="T17" s="203" t="n"/>
      <c r="U17" s="203" t="n"/>
      <c r="V17" s="203" t="n"/>
      <c r="W17" s="203" t="n"/>
      <c r="X17" s="203" t="n"/>
      <c r="Y17" s="203" t="n"/>
      <c r="Z17" s="203" t="n"/>
      <c r="AA17" s="1014" t="n"/>
      <c r="AB17" s="287" t="n"/>
      <c r="AE17" s="1013">
        <f>+Draft!AM8</f>
        <v/>
      </c>
      <c r="AF17" s="203" t="n"/>
      <c r="AG17" s="203" t="n"/>
      <c r="AH17" s="203" t="n"/>
      <c r="AI17" s="203" t="n"/>
      <c r="AJ17" s="203" t="n"/>
      <c r="AK17" s="203" t="n"/>
      <c r="AL17" s="203" t="n"/>
      <c r="AM17" s="1014" t="n"/>
      <c r="AN17" s="1010" t="n"/>
      <c r="AO17" s="30" t="n"/>
    </row>
    <row r="18" ht="12.75" customHeight="1">
      <c r="A18" s="23" t="n"/>
      <c r="B18" s="563" t="inlineStr">
        <is>
          <t>Draught forward (corrected to fore pp.)</t>
        </is>
      </c>
      <c r="S18" s="1013">
        <f>+Draft!R8</f>
        <v/>
      </c>
      <c r="T18" s="203" t="n"/>
      <c r="U18" s="203" t="n"/>
      <c r="V18" s="203" t="n"/>
      <c r="W18" s="203" t="n"/>
      <c r="X18" s="203" t="n"/>
      <c r="Y18" s="203" t="n"/>
      <c r="Z18" s="203" t="n"/>
      <c r="AA18" s="1014" t="n"/>
      <c r="AB18" s="287" t="n"/>
      <c r="AE18" s="1013">
        <f>+Draft!AQ8</f>
        <v/>
      </c>
      <c r="AF18" s="203" t="n"/>
      <c r="AG18" s="203" t="n"/>
      <c r="AH18" s="203" t="n"/>
      <c r="AI18" s="203" t="n"/>
      <c r="AJ18" s="203" t="n"/>
      <c r="AK18" s="203" t="n"/>
      <c r="AL18" s="203" t="n"/>
      <c r="AM18" s="1014" t="n"/>
      <c r="AN18" s="1010" t="n"/>
      <c r="AO18" s="30" t="n"/>
    </row>
    <row r="19" ht="12.75" customHeight="1">
      <c r="A19" s="23" t="n"/>
      <c r="B19" s="563" t="inlineStr">
        <is>
          <t>Draught after port</t>
        </is>
      </c>
      <c r="S19" s="1013">
        <f>+Draft!A10</f>
        <v/>
      </c>
      <c r="T19" s="203" t="n"/>
      <c r="U19" s="203" t="n"/>
      <c r="V19" s="203" t="n"/>
      <c r="W19" s="203" t="n"/>
      <c r="X19" s="203" t="n"/>
      <c r="Y19" s="203" t="n"/>
      <c r="Z19" s="203" t="n"/>
      <c r="AA19" s="1014" t="n"/>
      <c r="AB19" s="287" t="n"/>
      <c r="AE19" s="1013">
        <f>+Draft!Z10</f>
        <v/>
      </c>
      <c r="AF19" s="203" t="n"/>
      <c r="AG19" s="203" t="n"/>
      <c r="AH19" s="203" t="n"/>
      <c r="AI19" s="203" t="n"/>
      <c r="AJ19" s="203" t="n"/>
      <c r="AK19" s="203" t="n"/>
      <c r="AL19" s="203" t="n"/>
      <c r="AM19" s="1014" t="n"/>
      <c r="AN19" s="1010" t="n"/>
      <c r="AO19" s="30" t="n"/>
    </row>
    <row r="20" ht="12.75" customHeight="1">
      <c r="A20" s="23" t="n"/>
      <c r="B20" s="571" t="inlineStr">
        <is>
          <t>Draught after starboard</t>
        </is>
      </c>
      <c r="S20" s="1013">
        <f>+Draft!E10</f>
        <v/>
      </c>
      <c r="T20" s="203" t="n"/>
      <c r="U20" s="203" t="n"/>
      <c r="V20" s="203" t="n"/>
      <c r="W20" s="203" t="n"/>
      <c r="X20" s="203" t="n"/>
      <c r="Y20" s="203" t="n"/>
      <c r="Z20" s="203" t="n"/>
      <c r="AA20" s="1014" t="n"/>
      <c r="AB20" s="287" t="n"/>
      <c r="AE20" s="1013">
        <f>+Draft!AD10</f>
        <v/>
      </c>
      <c r="AF20" s="203" t="n"/>
      <c r="AG20" s="203" t="n"/>
      <c r="AH20" s="203" t="n"/>
      <c r="AI20" s="203" t="n"/>
      <c r="AJ20" s="203" t="n"/>
      <c r="AK20" s="203" t="n"/>
      <c r="AL20" s="203" t="n"/>
      <c r="AM20" s="1014" t="n"/>
      <c r="AN20" s="1010" t="n"/>
      <c r="AO20" s="30" t="n"/>
    </row>
    <row r="21" ht="12.75" customHeight="1">
      <c r="A21" s="23" t="n"/>
      <c r="B21" s="563" t="inlineStr">
        <is>
          <t>Draught after mean</t>
        </is>
      </c>
      <c r="S21" s="1013">
        <f>+Draft!J10</f>
        <v/>
      </c>
      <c r="T21" s="203" t="n"/>
      <c r="U21" s="203" t="n"/>
      <c r="V21" s="203" t="n"/>
      <c r="W21" s="203" t="n"/>
      <c r="X21" s="203" t="n"/>
      <c r="Y21" s="203" t="n"/>
      <c r="Z21" s="203" t="n"/>
      <c r="AA21" s="1014" t="n"/>
      <c r="AB21" s="287" t="n"/>
      <c r="AE21" s="1013">
        <f>+Draft!AI10</f>
        <v/>
      </c>
      <c r="AF21" s="203" t="n"/>
      <c r="AG21" s="203" t="n"/>
      <c r="AH21" s="203" t="n"/>
      <c r="AI21" s="203" t="n"/>
      <c r="AJ21" s="203" t="n"/>
      <c r="AK21" s="203" t="n"/>
      <c r="AL21" s="203" t="n"/>
      <c r="AM21" s="1014" t="n"/>
      <c r="AN21" s="1010" t="n"/>
      <c r="AO21" s="30" t="n"/>
    </row>
    <row r="22" ht="12.75" customHeight="1">
      <c r="A22" s="23" t="n"/>
      <c r="B22" s="563" t="inlineStr">
        <is>
          <t>Stem correction</t>
        </is>
      </c>
      <c r="S22" s="1013">
        <f>+Draft!N10</f>
        <v/>
      </c>
      <c r="T22" s="203" t="n"/>
      <c r="U22" s="203" t="n"/>
      <c r="V22" s="203" t="n"/>
      <c r="W22" s="203" t="n"/>
      <c r="X22" s="203" t="n"/>
      <c r="Y22" s="203" t="n"/>
      <c r="Z22" s="203" t="n"/>
      <c r="AA22" s="1014" t="n"/>
      <c r="AB22" s="287" t="n"/>
      <c r="AE22" s="1013">
        <f>+Draft!AM10</f>
        <v/>
      </c>
      <c r="AF22" s="203" t="n"/>
      <c r="AG22" s="203" t="n"/>
      <c r="AH22" s="203" t="n"/>
      <c r="AI22" s="203" t="n"/>
      <c r="AJ22" s="203" t="n"/>
      <c r="AK22" s="203" t="n"/>
      <c r="AL22" s="203" t="n"/>
      <c r="AM22" s="1014" t="n"/>
      <c r="AN22" s="1010" t="n"/>
      <c r="AO22" s="30" t="n"/>
    </row>
    <row r="23" ht="12.75" customHeight="1">
      <c r="A23" s="23" t="n"/>
      <c r="B23" s="563" t="inlineStr">
        <is>
          <t>Draught after (corrected to after pp.)</t>
        </is>
      </c>
      <c r="S23" s="1013">
        <f>+Draft!R10</f>
        <v/>
      </c>
      <c r="T23" s="203" t="n"/>
      <c r="U23" s="203" t="n"/>
      <c r="V23" s="203" t="n"/>
      <c r="W23" s="203" t="n"/>
      <c r="X23" s="203" t="n"/>
      <c r="Y23" s="203" t="n"/>
      <c r="Z23" s="203" t="n"/>
      <c r="AA23" s="1014" t="n"/>
      <c r="AB23" s="287" t="n"/>
      <c r="AE23" s="1013">
        <f>+Draft!AQ10</f>
        <v/>
      </c>
      <c r="AF23" s="203" t="n"/>
      <c r="AG23" s="203" t="n"/>
      <c r="AH23" s="203" t="n"/>
      <c r="AI23" s="203" t="n"/>
      <c r="AJ23" s="203" t="n"/>
      <c r="AK23" s="203" t="n"/>
      <c r="AL23" s="203" t="n"/>
      <c r="AM23" s="1014" t="n"/>
      <c r="AN23" s="1010" t="n"/>
      <c r="AO23" s="30" t="n"/>
    </row>
    <row r="24" ht="12.75" customHeight="1">
      <c r="A24" s="23" t="n"/>
      <c r="B24" s="563" t="inlineStr">
        <is>
          <t>Drought fore &amp; after mean</t>
        </is>
      </c>
      <c r="S24" s="1013">
        <f>(+S18+S23)/2</f>
        <v/>
      </c>
      <c r="T24" s="203" t="n"/>
      <c r="U24" s="203" t="n"/>
      <c r="V24" s="203" t="n"/>
      <c r="W24" s="203" t="n"/>
      <c r="X24" s="203" t="n"/>
      <c r="Y24" s="203" t="n"/>
      <c r="Z24" s="203" t="n"/>
      <c r="AA24" s="1014" t="n"/>
      <c r="AB24" s="287" t="n"/>
      <c r="AE24" s="1013">
        <f>(+AE18+AE23)/2</f>
        <v/>
      </c>
      <c r="AF24" s="203" t="n"/>
      <c r="AG24" s="203" t="n"/>
      <c r="AH24" s="203" t="n"/>
      <c r="AI24" s="203" t="n"/>
      <c r="AJ24" s="203" t="n"/>
      <c r="AK24" s="203" t="n"/>
      <c r="AL24" s="203" t="n"/>
      <c r="AM24" s="1014" t="n"/>
      <c r="AN24" s="1010" t="n"/>
      <c r="AO24" s="30" t="n"/>
    </row>
    <row r="25" ht="12.75" customHeight="1">
      <c r="A25" s="23" t="n"/>
      <c r="B25" s="563" t="inlineStr">
        <is>
          <t>Draught midship port</t>
        </is>
      </c>
      <c r="S25" s="1013">
        <f>+Draft!A9</f>
        <v/>
      </c>
      <c r="T25" s="203" t="n"/>
      <c r="U25" s="203" t="n"/>
      <c r="V25" s="203" t="n"/>
      <c r="W25" s="203" t="n"/>
      <c r="X25" s="203" t="n"/>
      <c r="Y25" s="203" t="n"/>
      <c r="Z25" s="203" t="n"/>
      <c r="AA25" s="1014" t="n"/>
      <c r="AB25" s="287" t="n"/>
      <c r="AE25" s="1013">
        <f>+Draft!Z9</f>
        <v/>
      </c>
      <c r="AF25" s="203" t="n"/>
      <c r="AG25" s="203" t="n"/>
      <c r="AH25" s="203" t="n"/>
      <c r="AI25" s="203" t="n"/>
      <c r="AJ25" s="203" t="n"/>
      <c r="AK25" s="203" t="n"/>
      <c r="AL25" s="203" t="n"/>
      <c r="AM25" s="1014" t="n"/>
      <c r="AN25" s="1010" t="n"/>
      <c r="AO25" s="30" t="n"/>
    </row>
    <row r="26" ht="12.75" customHeight="1">
      <c r="A26" s="23" t="n"/>
      <c r="B26" s="563" t="inlineStr">
        <is>
          <t>Drought midship starboard</t>
        </is>
      </c>
      <c r="S26" s="1013">
        <f>+Draft!E9</f>
        <v/>
      </c>
      <c r="T26" s="203" t="n"/>
      <c r="U26" s="203" t="n"/>
      <c r="V26" s="203" t="n"/>
      <c r="W26" s="203" t="n"/>
      <c r="X26" s="203" t="n"/>
      <c r="Y26" s="203" t="n"/>
      <c r="Z26" s="203" t="n"/>
      <c r="AA26" s="1014" t="n"/>
      <c r="AB26" s="287" t="n"/>
      <c r="AE26" s="1013">
        <f>+Draft!AD9</f>
        <v/>
      </c>
      <c r="AF26" s="203" t="n"/>
      <c r="AG26" s="203" t="n"/>
      <c r="AH26" s="203" t="n"/>
      <c r="AI26" s="203" t="n"/>
      <c r="AJ26" s="203" t="n"/>
      <c r="AK26" s="203" t="n"/>
      <c r="AL26" s="203" t="n"/>
      <c r="AM26" s="1014" t="n"/>
      <c r="AN26" s="1010" t="n"/>
      <c r="AO26" s="30" t="n"/>
    </row>
    <row r="27" ht="12.75" customHeight="1">
      <c r="A27" s="23" t="n"/>
      <c r="B27" s="563" t="inlineStr">
        <is>
          <t>Draught midship mean</t>
        </is>
      </c>
      <c r="S27" s="1013">
        <f>+Draft!J9</f>
        <v/>
      </c>
      <c r="T27" s="203" t="n"/>
      <c r="U27" s="203" t="n"/>
      <c r="V27" s="203" t="n"/>
      <c r="W27" s="203" t="n"/>
      <c r="X27" s="203" t="n"/>
      <c r="Y27" s="203" t="n"/>
      <c r="Z27" s="203" t="n"/>
      <c r="AA27" s="1014" t="n"/>
      <c r="AB27" s="287" t="n"/>
      <c r="AE27" s="1013">
        <f>+Draft!AI9</f>
        <v/>
      </c>
      <c r="AF27" s="203" t="n"/>
      <c r="AG27" s="203" t="n"/>
      <c r="AH27" s="203" t="n"/>
      <c r="AI27" s="203" t="n"/>
      <c r="AJ27" s="203" t="n"/>
      <c r="AK27" s="203" t="n"/>
      <c r="AL27" s="203" t="n"/>
      <c r="AM27" s="1014" t="n"/>
      <c r="AN27" s="1010" t="n"/>
      <c r="AO27" s="30" t="n"/>
    </row>
    <row r="28" ht="12.75" customHeight="1">
      <c r="A28" s="23" t="n"/>
      <c r="B28" s="563" t="inlineStr">
        <is>
          <t>miadship correction</t>
        </is>
      </c>
      <c r="S28" s="1013">
        <f>+Draft!N9</f>
        <v/>
      </c>
      <c r="T28" s="203" t="n"/>
      <c r="U28" s="203" t="n"/>
      <c r="V28" s="203" t="n"/>
      <c r="W28" s="203" t="n"/>
      <c r="X28" s="203" t="n"/>
      <c r="Y28" s="203" t="n"/>
      <c r="Z28" s="203" t="n"/>
      <c r="AA28" s="1014" t="n"/>
      <c r="AB28" s="287" t="n"/>
      <c r="AE28" s="1013">
        <f>+Draft!AM9</f>
        <v/>
      </c>
      <c r="AF28" s="203" t="n"/>
      <c r="AG28" s="203" t="n"/>
      <c r="AH28" s="203" t="n"/>
      <c r="AI28" s="203" t="n"/>
      <c r="AJ28" s="203" t="n"/>
      <c r="AK28" s="203" t="n"/>
      <c r="AL28" s="203" t="n"/>
      <c r="AM28" s="1014" t="n"/>
      <c r="AN28" s="1010" t="n"/>
      <c r="AO28" s="30" t="n"/>
    </row>
    <row r="29" ht="12.75" customHeight="1">
      <c r="A29" s="23" t="n"/>
      <c r="B29" s="563" t="inlineStr">
        <is>
          <t>Draught midship (corrected to midship pp.)</t>
        </is>
      </c>
      <c r="S29" s="1013">
        <f>+Draft!R9</f>
        <v/>
      </c>
      <c r="T29" s="203" t="n"/>
      <c r="U29" s="203" t="n"/>
      <c r="V29" s="203" t="n"/>
      <c r="W29" s="203" t="n"/>
      <c r="X29" s="203" t="n"/>
      <c r="Y29" s="203" t="n"/>
      <c r="Z29" s="203" t="n"/>
      <c r="AA29" s="1014" t="n"/>
      <c r="AB29" s="287" t="n"/>
      <c r="AE29" s="1013">
        <f>+Draft!AQ9</f>
        <v/>
      </c>
      <c r="AF29" s="203" t="n"/>
      <c r="AG29" s="203" t="n"/>
      <c r="AH29" s="203" t="n"/>
      <c r="AI29" s="203" t="n"/>
      <c r="AJ29" s="203" t="n"/>
      <c r="AK29" s="203" t="n"/>
      <c r="AL29" s="203" t="n"/>
      <c r="AM29" s="1014" t="n"/>
      <c r="AN29" s="1010" t="n"/>
      <c r="AO29" s="30" t="n"/>
    </row>
    <row r="30" ht="12.75" customHeight="1">
      <c r="A30" s="23" t="n"/>
      <c r="B30" s="563" t="inlineStr">
        <is>
          <t>Sag (+) Hog (-)</t>
        </is>
      </c>
      <c r="S30" s="1013">
        <f>+S27-(S16+S21)/2</f>
        <v/>
      </c>
      <c r="T30" s="203" t="n"/>
      <c r="U30" s="203" t="n"/>
      <c r="V30" s="203" t="n"/>
      <c r="W30" s="203" t="n"/>
      <c r="X30" s="203" t="n"/>
      <c r="Y30" s="203" t="n"/>
      <c r="Z30" s="203" t="n"/>
      <c r="AA30" s="1014" t="n"/>
      <c r="AB30" s="287" t="n"/>
      <c r="AE30" s="1013">
        <f>+AE27-(AE16+AE21)/2</f>
        <v/>
      </c>
      <c r="AF30" s="203" t="n"/>
      <c r="AG30" s="203" t="n"/>
      <c r="AH30" s="203" t="n"/>
      <c r="AI30" s="203" t="n"/>
      <c r="AJ30" s="203" t="n"/>
      <c r="AK30" s="203" t="n"/>
      <c r="AL30" s="203" t="n"/>
      <c r="AM30" s="1014" t="n"/>
      <c r="AN30" s="1010" t="n"/>
      <c r="AO30" s="30" t="n"/>
    </row>
    <row r="31" ht="12.75" customHeight="1">
      <c r="A31" s="23" t="n"/>
      <c r="B31" s="563" t="inlineStr">
        <is>
          <t xml:space="preserve">         Mean of means</t>
        </is>
      </c>
      <c r="S31" s="1015">
        <f>+Draft!R13</f>
        <v/>
      </c>
      <c r="T31" s="203" t="n"/>
      <c r="U31" s="203" t="n"/>
      <c r="V31" s="203" t="n"/>
      <c r="W31" s="203" t="n"/>
      <c r="X31" s="203" t="n"/>
      <c r="Y31" s="203" t="n"/>
      <c r="Z31" s="203" t="n"/>
      <c r="AA31" s="1014" t="n"/>
      <c r="AB31" s="287" t="n"/>
      <c r="AE31" s="1015">
        <f>+Draft!AQ13</f>
        <v/>
      </c>
      <c r="AF31" s="203" t="n"/>
      <c r="AG31" s="203" t="n"/>
      <c r="AH31" s="203" t="n"/>
      <c r="AI31" s="203" t="n"/>
      <c r="AJ31" s="203" t="n"/>
      <c r="AK31" s="203" t="n"/>
      <c r="AL31" s="203" t="n"/>
      <c r="AM31" s="1014" t="n"/>
      <c r="AN31" s="1010" t="n"/>
      <c r="AO31" s="30" t="n"/>
    </row>
    <row r="32" ht="12.75" customHeight="1">
      <c r="A32" s="23" t="n"/>
      <c r="B32" s="563" t="inlineStr">
        <is>
          <t>Draughl extreme corrected for hog/sag</t>
        </is>
      </c>
      <c r="S32" s="1016" t="inlineStr">
        <is>
          <t>Nil</t>
        </is>
      </c>
      <c r="T32" s="203" t="n"/>
      <c r="U32" s="203" t="n"/>
      <c r="V32" s="203" t="n"/>
      <c r="W32" s="203" t="n"/>
      <c r="X32" s="203" t="n"/>
      <c r="Y32" s="203" t="n"/>
      <c r="Z32" s="203" t="n"/>
      <c r="AA32" s="1014" t="n"/>
      <c r="AB32" s="287" t="n"/>
      <c r="AE32" s="1016" t="inlineStr">
        <is>
          <t>Nil</t>
        </is>
      </c>
      <c r="AF32" s="203" t="n"/>
      <c r="AG32" s="203" t="n"/>
      <c r="AH32" s="203" t="n"/>
      <c r="AI32" s="203" t="n"/>
      <c r="AJ32" s="203" t="n"/>
      <c r="AK32" s="203" t="n"/>
      <c r="AL32" s="203" t="n"/>
      <c r="AM32" s="1014" t="n"/>
      <c r="AN32" s="1010" t="n"/>
      <c r="AO32" s="30" t="n"/>
    </row>
    <row r="33" ht="12.75" customHeight="1">
      <c r="A33" s="23" t="n"/>
      <c r="B33" s="563" t="inlineStr">
        <is>
          <t>Correction (-) for keel tickness it applicable</t>
        </is>
      </c>
      <c r="S33" s="1016">
        <f>+S32</f>
        <v/>
      </c>
      <c r="T33" s="203" t="n"/>
      <c r="U33" s="203" t="n"/>
      <c r="V33" s="203" t="n"/>
      <c r="W33" s="203" t="n"/>
      <c r="X33" s="203" t="n"/>
      <c r="Y33" s="203" t="n"/>
      <c r="Z33" s="203" t="n"/>
      <c r="AA33" s="1014" t="n"/>
      <c r="AB33" s="287" t="n"/>
      <c r="AE33" s="1016">
        <f>+AE32</f>
        <v/>
      </c>
      <c r="AF33" s="203" t="n"/>
      <c r="AG33" s="203" t="n"/>
      <c r="AH33" s="203" t="n"/>
      <c r="AI33" s="203" t="n"/>
      <c r="AJ33" s="203" t="n"/>
      <c r="AK33" s="203" t="n"/>
      <c r="AL33" s="203" t="n"/>
      <c r="AM33" s="1014" t="n"/>
      <c r="AN33" s="1010" t="n"/>
      <c r="AO33" s="30" t="n"/>
    </row>
    <row r="34" ht="12.75" customHeight="1">
      <c r="A34" s="23" t="n"/>
      <c r="B34" s="563" t="inlineStr">
        <is>
          <t>Draught moulded corrected for hog/sag</t>
        </is>
      </c>
      <c r="S34" s="1016">
        <f>+S33</f>
        <v/>
      </c>
      <c r="T34" s="203" t="n"/>
      <c r="U34" s="203" t="n"/>
      <c r="V34" s="203" t="n"/>
      <c r="W34" s="203" t="n"/>
      <c r="X34" s="203" t="n"/>
      <c r="Y34" s="203" t="n"/>
      <c r="Z34" s="203" t="n"/>
      <c r="AA34" s="1014" t="n"/>
      <c r="AB34" s="287" t="n"/>
      <c r="AE34" s="1016">
        <f>+AE33</f>
        <v/>
      </c>
      <c r="AF34" s="203" t="n"/>
      <c r="AG34" s="203" t="n"/>
      <c r="AH34" s="203" t="n"/>
      <c r="AI34" s="203" t="n"/>
      <c r="AJ34" s="203" t="n"/>
      <c r="AK34" s="203" t="n"/>
      <c r="AL34" s="203" t="n"/>
      <c r="AM34" s="1014" t="n"/>
      <c r="AN34" s="1010" t="n"/>
      <c r="AO34" s="30" t="n"/>
    </row>
    <row r="35" ht="12.75" customHeight="1">
      <c r="A35" s="23" t="n"/>
      <c r="B35" s="563" t="inlineStr">
        <is>
          <t>(Note: Utilize line 152 or line 154)</t>
        </is>
      </c>
      <c r="S35" s="1016">
        <f>+S34</f>
        <v/>
      </c>
      <c r="T35" s="203" t="n"/>
      <c r="U35" s="203" t="n"/>
      <c r="V35" s="203" t="n"/>
      <c r="W35" s="203" t="n"/>
      <c r="X35" s="203" t="n"/>
      <c r="Y35" s="203" t="n"/>
      <c r="Z35" s="203" t="n"/>
      <c r="AA35" s="1014" t="n"/>
      <c r="AB35" s="287" t="n"/>
      <c r="AE35" s="1016">
        <f>+AE34</f>
        <v/>
      </c>
      <c r="AF35" s="203" t="n"/>
      <c r="AG35" s="203" t="n"/>
      <c r="AH35" s="203" t="n"/>
      <c r="AI35" s="203" t="n"/>
      <c r="AJ35" s="203" t="n"/>
      <c r="AK35" s="203" t="n"/>
      <c r="AL35" s="203" t="n"/>
      <c r="AM35" s="1014" t="n"/>
      <c r="AN35" s="1010" t="n"/>
      <c r="AO35" s="30" t="n"/>
    </row>
    <row r="36" ht="12.75" customHeight="1">
      <c r="A36" s="23" t="n"/>
      <c r="B36" s="563" t="inlineStr">
        <is>
          <t>Trim:         fwd(-)     aft(+)</t>
        </is>
      </c>
      <c r="S36" s="1013">
        <f>+Draft!E13</f>
        <v/>
      </c>
      <c r="T36" s="203" t="n"/>
      <c r="U36" s="203" t="n"/>
      <c r="V36" s="203" t="n"/>
      <c r="W36" s="203" t="n"/>
      <c r="X36" s="203" t="n"/>
      <c r="Y36" s="203" t="n"/>
      <c r="Z36" s="203" t="n"/>
      <c r="AA36" s="1014" t="n"/>
      <c r="AB36" s="287" t="n"/>
      <c r="AE36" s="1013">
        <f>+Draft!AD13</f>
        <v/>
      </c>
      <c r="AF36" s="203" t="n"/>
      <c r="AG36" s="203" t="n"/>
      <c r="AH36" s="203" t="n"/>
      <c r="AI36" s="203" t="n"/>
      <c r="AJ36" s="203" t="n"/>
      <c r="AK36" s="203" t="n"/>
      <c r="AL36" s="203" t="n"/>
      <c r="AM36" s="1014" t="n"/>
      <c r="AN36" s="1010" t="n"/>
      <c r="AO36" s="30" t="n"/>
    </row>
    <row r="37" ht="12.75" customHeight="1">
      <c r="A37" s="23" t="n"/>
      <c r="B37" s="24" t="n"/>
      <c r="C37" s="24" t="n"/>
      <c r="D37" s="25" t="n"/>
      <c r="E37" s="24" t="n"/>
      <c r="F37" s="24" t="n"/>
      <c r="G37" s="24" t="n"/>
      <c r="H37" s="24" t="n"/>
      <c r="I37" s="24" t="n"/>
      <c r="J37" s="24" t="n"/>
      <c r="K37" s="24" t="n"/>
      <c r="L37" s="24" t="n"/>
      <c r="M37" s="24" t="n"/>
      <c r="N37" s="563" t="n"/>
      <c r="S37" s="597" t="inlineStr">
        <is>
          <t>Kg/m3</t>
        </is>
      </c>
      <c r="T37" s="13" t="n"/>
      <c r="U37" s="13" t="n"/>
      <c r="V37" s="13" t="n"/>
      <c r="W37" s="13" t="n"/>
      <c r="X37" s="13" t="n"/>
      <c r="Y37" s="13" t="n"/>
      <c r="Z37" s="13" t="n"/>
      <c r="AA37" s="13" t="n"/>
      <c r="AB37" s="287" t="n"/>
      <c r="AE37" s="598" t="inlineStr">
        <is>
          <t>Kg/m3</t>
        </is>
      </c>
      <c r="AF37" s="203" t="n"/>
      <c r="AG37" s="203" t="n"/>
      <c r="AH37" s="203" t="n"/>
      <c r="AI37" s="203" t="n"/>
      <c r="AJ37" s="203" t="n"/>
      <c r="AK37" s="203" t="n"/>
      <c r="AL37" s="203" t="n"/>
      <c r="AM37" s="203" t="n"/>
      <c r="AN37" s="569" t="n"/>
      <c r="AO37" s="30" t="n"/>
    </row>
    <row r="38" ht="12.75" customHeight="1">
      <c r="A38" s="23" t="n"/>
      <c r="B38" s="563" t="inlineStr">
        <is>
          <t>Observed density</t>
        </is>
      </c>
      <c r="S38" s="1013">
        <f>+Draft!I13</f>
        <v/>
      </c>
      <c r="T38" s="203" t="n"/>
      <c r="U38" s="203" t="n"/>
      <c r="V38" s="203" t="n"/>
      <c r="W38" s="203" t="n"/>
      <c r="X38" s="203" t="n"/>
      <c r="Y38" s="203" t="n"/>
      <c r="Z38" s="203" t="n"/>
      <c r="AA38" s="1017" t="n"/>
      <c r="AB38" s="287" t="n"/>
      <c r="AE38" s="1013">
        <f>+Draft!AH13</f>
        <v/>
      </c>
      <c r="AF38" s="203" t="n"/>
      <c r="AG38" s="203" t="n"/>
      <c r="AH38" s="203" t="n"/>
      <c r="AI38" s="203" t="n"/>
      <c r="AJ38" s="203" t="n"/>
      <c r="AK38" s="203" t="n"/>
      <c r="AL38" s="203" t="n"/>
      <c r="AM38" s="1017" t="n"/>
      <c r="AN38" s="1010" t="n"/>
      <c r="AO38" s="30" t="n"/>
    </row>
    <row r="39" ht="12.75" customHeight="1">
      <c r="A39" s="23" t="n"/>
      <c r="B39" s="563" t="inlineStr">
        <is>
          <t>(Ship's tables density Kg/m3  1.025 )</t>
        </is>
      </c>
      <c r="S39" s="599" t="n"/>
      <c r="T39" s="203" t="n"/>
      <c r="U39" s="203" t="n"/>
      <c r="V39" s="203" t="n"/>
      <c r="W39" s="203" t="n"/>
      <c r="X39" s="203" t="n"/>
      <c r="Y39" s="203" t="n"/>
      <c r="Z39" s="203" t="n"/>
      <c r="AA39" s="1017" t="n"/>
      <c r="AB39" s="287" t="n"/>
      <c r="AE39" s="599" t="n"/>
      <c r="AF39" s="203" t="n"/>
      <c r="AG39" s="203" t="n"/>
      <c r="AH39" s="203" t="n"/>
      <c r="AI39" s="203" t="n"/>
      <c r="AJ39" s="203" t="n"/>
      <c r="AK39" s="203" t="n"/>
      <c r="AL39" s="203" t="n"/>
      <c r="AM39" s="1017" t="n"/>
      <c r="AN39" s="1010" t="n"/>
      <c r="AO39" s="30" t="n"/>
    </row>
    <row r="40" ht="12.75" customHeight="1">
      <c r="A40" s="23" t="n"/>
      <c r="B40" s="287" t="n"/>
      <c r="G40" s="588" t="inlineStr">
        <is>
          <t>Hydrometer no</t>
        </is>
      </c>
      <c r="M40" s="601">
        <f>+General!L32</f>
        <v/>
      </c>
      <c r="S40" s="599" t="n"/>
      <c r="T40" s="203" t="n"/>
      <c r="U40" s="203" t="n"/>
      <c r="V40" s="203" t="n"/>
      <c r="W40" s="203" t="n"/>
      <c r="X40" s="203" t="n"/>
      <c r="Y40" s="203" t="n"/>
      <c r="Z40" s="203" t="n"/>
      <c r="AA40" s="1017" t="n"/>
      <c r="AB40" s="287" t="n"/>
      <c r="AE40" s="599" t="n"/>
      <c r="AF40" s="203" t="n"/>
      <c r="AG40" s="203" t="n"/>
      <c r="AH40" s="203" t="n"/>
      <c r="AI40" s="203" t="n"/>
      <c r="AJ40" s="203" t="n"/>
      <c r="AK40" s="203" t="n"/>
      <c r="AL40" s="203" t="n"/>
      <c r="AM40" s="1017" t="n"/>
      <c r="AN40" s="1010" t="n"/>
      <c r="AO40" s="30" t="n"/>
    </row>
    <row r="41" ht="12.75" customHeight="1">
      <c r="A41" s="23" t="n"/>
      <c r="B41" s="24" t="n"/>
      <c r="C41" s="24" t="n"/>
      <c r="D41" s="25" t="n"/>
      <c r="E41" s="24" t="n"/>
      <c r="F41" s="24" t="n"/>
      <c r="G41" s="24" t="n"/>
      <c r="H41" s="24" t="n"/>
      <c r="I41" s="24" t="n"/>
      <c r="J41" s="24" t="n"/>
      <c r="K41" s="24" t="n"/>
      <c r="L41" s="24" t="n"/>
      <c r="M41" s="24" t="n"/>
      <c r="N41" s="563" t="n"/>
      <c r="S41" s="597" t="inlineStr">
        <is>
          <t>Metric tonnes</t>
        </is>
      </c>
      <c r="T41" s="13" t="n"/>
      <c r="U41" s="13" t="n"/>
      <c r="V41" s="13" t="n"/>
      <c r="W41" s="13" t="n"/>
      <c r="X41" s="13" t="n"/>
      <c r="Y41" s="13" t="n"/>
      <c r="Z41" s="13" t="n"/>
      <c r="AA41" s="13" t="n"/>
      <c r="AB41" s="287" t="n"/>
      <c r="AE41" s="598" t="inlineStr">
        <is>
          <t>Metric tonnes</t>
        </is>
      </c>
      <c r="AF41" s="203" t="n"/>
      <c r="AG41" s="203" t="n"/>
      <c r="AH41" s="203" t="n"/>
      <c r="AI41" s="203" t="n"/>
      <c r="AJ41" s="203" t="n"/>
      <c r="AK41" s="203" t="n"/>
      <c r="AL41" s="203" t="n"/>
      <c r="AM41" s="203" t="n"/>
      <c r="AN41" s="569" t="n"/>
      <c r="AO41" s="30" t="n"/>
    </row>
    <row r="42" ht="12.75" customHeight="1">
      <c r="A42" s="23" t="n"/>
      <c r="B42" s="563" t="inlineStr">
        <is>
          <t>Displacement (at 1.025  Kg/m3 density)</t>
        </is>
      </c>
      <c r="S42" s="600">
        <f>+Draft!M20</f>
        <v/>
      </c>
      <c r="T42" s="203" t="n"/>
      <c r="U42" s="203" t="n"/>
      <c r="V42" s="203" t="n"/>
      <c r="W42" s="203" t="n"/>
      <c r="X42" s="203" t="n"/>
      <c r="Y42" s="203" t="n"/>
      <c r="Z42" s="203" t="n"/>
      <c r="AA42" s="64" t="n"/>
      <c r="AB42" s="287" t="n"/>
      <c r="AE42" s="600">
        <f>+Draft!AG20</f>
        <v/>
      </c>
      <c r="AF42" s="203" t="n"/>
      <c r="AG42" s="203" t="n"/>
      <c r="AH42" s="203" t="n"/>
      <c r="AI42" s="203" t="n"/>
      <c r="AJ42" s="203" t="n"/>
      <c r="AK42" s="203" t="n"/>
      <c r="AL42" s="203" t="n"/>
      <c r="AM42" s="64" t="n"/>
      <c r="AN42" s="1010" t="n"/>
      <c r="AO42" s="30" t="n"/>
    </row>
    <row r="43" ht="12.75" customHeight="1">
      <c r="A43" s="23" t="n"/>
      <c r="B43" s="563" t="inlineStr">
        <is>
          <t>First trim correction</t>
        </is>
      </c>
      <c r="S43" s="600">
        <f>+Draft!M21</f>
        <v/>
      </c>
      <c r="T43" s="203" t="n"/>
      <c r="U43" s="203" t="n"/>
      <c r="V43" s="203" t="n"/>
      <c r="W43" s="203" t="n"/>
      <c r="X43" s="203" t="n"/>
      <c r="Y43" s="203" t="n"/>
      <c r="Z43" s="203" t="n"/>
      <c r="AA43" s="64" t="n"/>
      <c r="AB43" s="287" t="n"/>
      <c r="AE43" s="600">
        <f>+Draft!AG21</f>
        <v/>
      </c>
      <c r="AF43" s="203" t="n"/>
      <c r="AG43" s="203" t="n"/>
      <c r="AH43" s="203" t="n"/>
      <c r="AI43" s="203" t="n"/>
      <c r="AJ43" s="203" t="n"/>
      <c r="AK43" s="203" t="n"/>
      <c r="AL43" s="203" t="n"/>
      <c r="AM43" s="64" t="n"/>
      <c r="AN43" s="1010" t="n"/>
      <c r="AO43" s="30" t="n"/>
    </row>
    <row r="44" ht="12.75" customHeight="1">
      <c r="A44" s="23" t="n"/>
      <c r="B44" s="563" t="inlineStr">
        <is>
          <t>Second trim correction</t>
        </is>
      </c>
      <c r="S44" s="600">
        <f>+Draft!M22</f>
        <v/>
      </c>
      <c r="T44" s="203" t="n"/>
      <c r="U44" s="203" t="n"/>
      <c r="V44" s="203" t="n"/>
      <c r="W44" s="203" t="n"/>
      <c r="X44" s="203" t="n"/>
      <c r="Y44" s="203" t="n"/>
      <c r="Z44" s="203" t="n"/>
      <c r="AA44" s="64" t="n"/>
      <c r="AB44" s="287" t="n"/>
      <c r="AE44" s="600">
        <f>+Draft!AG22</f>
        <v/>
      </c>
      <c r="AF44" s="203" t="n"/>
      <c r="AG44" s="203" t="n"/>
      <c r="AH44" s="203" t="n"/>
      <c r="AI44" s="203" t="n"/>
      <c r="AJ44" s="203" t="n"/>
      <c r="AK44" s="203" t="n"/>
      <c r="AL44" s="203" t="n"/>
      <c r="AM44" s="64" t="n"/>
      <c r="AN44" s="1010" t="n"/>
      <c r="AO44" s="30" t="n"/>
    </row>
    <row r="45" ht="12.75" customHeight="1">
      <c r="A45" s="23" t="n"/>
      <c r="B45" s="563" t="inlineStr">
        <is>
          <t>Total trim correction</t>
        </is>
      </c>
      <c r="S45" s="600">
        <f>+S44+S43</f>
        <v/>
      </c>
      <c r="T45" s="203" t="n"/>
      <c r="U45" s="203" t="n"/>
      <c r="V45" s="203" t="n"/>
      <c r="W45" s="203" t="n"/>
      <c r="X45" s="203" t="n"/>
      <c r="Y45" s="203" t="n"/>
      <c r="Z45" s="203" t="n"/>
      <c r="AA45" s="64" t="n"/>
      <c r="AB45" s="287" t="n"/>
      <c r="AE45" s="600">
        <f>+Draft!AG23</f>
        <v/>
      </c>
      <c r="AF45" s="203" t="n"/>
      <c r="AG45" s="203" t="n"/>
      <c r="AH45" s="203" t="n"/>
      <c r="AI45" s="203" t="n"/>
      <c r="AJ45" s="203" t="n"/>
      <c r="AK45" s="203" t="n"/>
      <c r="AL45" s="203" t="n"/>
      <c r="AM45" s="64" t="n"/>
      <c r="AN45" s="1010" t="n"/>
      <c r="AO45" s="30" t="n"/>
    </row>
    <row r="46" ht="12.75" customHeight="1">
      <c r="A46" s="23" t="n"/>
      <c r="B46" s="563" t="inlineStr">
        <is>
          <t>Displacement corrected for trim</t>
        </is>
      </c>
      <c r="S46" s="600">
        <f>+S42+S45</f>
        <v/>
      </c>
      <c r="T46" s="203" t="n"/>
      <c r="U46" s="203" t="n"/>
      <c r="V46" s="203" t="n"/>
      <c r="W46" s="203" t="n"/>
      <c r="X46" s="203" t="n"/>
      <c r="Y46" s="203" t="n"/>
      <c r="Z46" s="203" t="n"/>
      <c r="AA46" s="64" t="n"/>
      <c r="AB46" s="287" t="n"/>
      <c r="AE46" s="600">
        <f>+AE42+AE45</f>
        <v/>
      </c>
      <c r="AF46" s="203" t="n"/>
      <c r="AG46" s="203" t="n"/>
      <c r="AH46" s="203" t="n"/>
      <c r="AI46" s="203" t="n"/>
      <c r="AJ46" s="203" t="n"/>
      <c r="AK46" s="203" t="n"/>
      <c r="AL46" s="203" t="n"/>
      <c r="AM46" s="64" t="n"/>
      <c r="AN46" s="1010" t="n"/>
      <c r="AO46" s="30" t="n"/>
    </row>
    <row r="47" ht="12.75" customHeight="1">
      <c r="A47" s="23" t="n"/>
      <c r="B47" s="563" t="inlineStr">
        <is>
          <t>Displacement corrected for List</t>
        </is>
      </c>
      <c r="S47" s="600">
        <f>+S46-Draft!M24</f>
        <v/>
      </c>
      <c r="T47" s="203" t="n"/>
      <c r="U47" s="203" t="n"/>
      <c r="V47" s="203" t="n"/>
      <c r="W47" s="203" t="n"/>
      <c r="X47" s="203" t="n"/>
      <c r="Y47" s="203" t="n"/>
      <c r="Z47" s="203" t="n"/>
      <c r="AA47" s="64" t="n"/>
      <c r="AB47" s="287" t="n"/>
      <c r="AE47" s="600">
        <f>+AE46-Draft!AG24</f>
        <v/>
      </c>
      <c r="AF47" s="203" t="n"/>
      <c r="AG47" s="203" t="n"/>
      <c r="AH47" s="203" t="n"/>
      <c r="AI47" s="203" t="n"/>
      <c r="AJ47" s="203" t="n"/>
      <c r="AK47" s="203" t="n"/>
      <c r="AL47" s="203" t="n"/>
      <c r="AM47" s="64" t="n"/>
      <c r="AN47" s="1010" t="n"/>
      <c r="AO47" s="30" t="n"/>
    </row>
    <row r="48" ht="12.75" customHeight="1">
      <c r="A48" s="23" t="n"/>
      <c r="B48" s="563" t="inlineStr">
        <is>
          <t>Correction for density average</t>
        </is>
      </c>
      <c r="S48" s="600">
        <f>+Draft!M26</f>
        <v/>
      </c>
      <c r="T48" s="203" t="n"/>
      <c r="U48" s="203" t="n"/>
      <c r="V48" s="203" t="n"/>
      <c r="W48" s="203" t="n"/>
      <c r="X48" s="203" t="n"/>
      <c r="Y48" s="203" t="n"/>
      <c r="Z48" s="203" t="n"/>
      <c r="AA48" s="64" t="n"/>
      <c r="AB48" s="287" t="n"/>
      <c r="AE48" s="600">
        <f>+Draft!AG26</f>
        <v/>
      </c>
      <c r="AF48" s="203" t="n"/>
      <c r="AG48" s="203" t="n"/>
      <c r="AH48" s="203" t="n"/>
      <c r="AI48" s="203" t="n"/>
      <c r="AJ48" s="203" t="n"/>
      <c r="AK48" s="203" t="n"/>
      <c r="AL48" s="203" t="n"/>
      <c r="AM48" s="64" t="n"/>
      <c r="AN48" s="1010" t="n"/>
      <c r="AO48" s="30" t="n"/>
    </row>
    <row r="49" ht="12.75" customHeight="1">
      <c r="A49" s="23" t="n"/>
      <c r="B49" s="563" t="inlineStr">
        <is>
          <t>Displacement corrected for density</t>
        </is>
      </c>
      <c r="S49" s="600">
        <f>+Draft!M27</f>
        <v/>
      </c>
      <c r="T49" s="203" t="n"/>
      <c r="U49" s="203" t="n"/>
      <c r="V49" s="203" t="n"/>
      <c r="W49" s="203" t="n"/>
      <c r="X49" s="203" t="n"/>
      <c r="Y49" s="203" t="n"/>
      <c r="Z49" s="203" t="n"/>
      <c r="AA49" s="64" t="n"/>
      <c r="AB49" s="287" t="n"/>
      <c r="AE49" s="600">
        <f>+Draft!AG27</f>
        <v/>
      </c>
      <c r="AF49" s="203" t="n"/>
      <c r="AG49" s="203" t="n"/>
      <c r="AH49" s="203" t="n"/>
      <c r="AI49" s="203" t="n"/>
      <c r="AJ49" s="203" t="n"/>
      <c r="AK49" s="203" t="n"/>
      <c r="AL49" s="203" t="n"/>
      <c r="AM49" s="64" t="n"/>
      <c r="AN49" s="1010" t="n"/>
      <c r="AO49" s="30" t="n"/>
    </row>
    <row r="50" ht="12.75" customHeight="1">
      <c r="A50" s="23" t="n"/>
      <c r="B50" s="24" t="n"/>
      <c r="C50" s="24" t="n"/>
      <c r="D50" s="25" t="n"/>
      <c r="E50" s="25" t="n"/>
      <c r="F50" s="25" t="n"/>
      <c r="G50" s="25" t="n"/>
      <c r="H50" s="25" t="n"/>
      <c r="I50" s="25" t="n"/>
      <c r="J50" s="25" t="n"/>
      <c r="K50" s="25" t="n"/>
      <c r="L50" s="25" t="n"/>
      <c r="M50" s="24" t="n"/>
      <c r="N50" s="563" t="n"/>
      <c r="S50" s="599" t="n"/>
      <c r="T50" s="203" t="n"/>
      <c r="U50" s="203" t="n"/>
      <c r="V50" s="203" t="n"/>
      <c r="W50" s="203" t="n"/>
      <c r="X50" s="203" t="n"/>
      <c r="Y50" s="203" t="n"/>
      <c r="Z50" s="203" t="n"/>
      <c r="AA50" s="64" t="n"/>
      <c r="AB50" s="287" t="n"/>
      <c r="AE50" s="599" t="n"/>
      <c r="AF50" s="203" t="n"/>
      <c r="AG50" s="203" t="n"/>
      <c r="AH50" s="203" t="n"/>
      <c r="AI50" s="203" t="n"/>
      <c r="AJ50" s="203" t="n"/>
      <c r="AK50" s="203" t="n"/>
      <c r="AL50" s="203" t="n"/>
      <c r="AM50" s="64" t="n"/>
      <c r="AN50" s="1010" t="n"/>
      <c r="AO50" s="30" t="n"/>
    </row>
    <row r="51" ht="12.75" customHeight="1">
      <c r="A51" s="23" t="n"/>
      <c r="B51" s="563" t="inlineStr">
        <is>
          <t>Total deductibles</t>
        </is>
      </c>
      <c r="S51" s="1018">
        <f>+Draft!G26</f>
        <v/>
      </c>
      <c r="T51" s="203" t="n"/>
      <c r="U51" s="203" t="n"/>
      <c r="V51" s="203" t="n"/>
      <c r="W51" s="203" t="n"/>
      <c r="X51" s="203" t="n"/>
      <c r="Y51" s="203" t="n"/>
      <c r="Z51" s="203" t="n"/>
      <c r="AA51" s="64" t="n"/>
      <c r="AB51" s="287" t="n"/>
      <c r="AE51" s="1018">
        <f>+Draft!AS26</f>
        <v/>
      </c>
      <c r="AF51" s="203" t="n"/>
      <c r="AG51" s="203" t="n"/>
      <c r="AH51" s="203" t="n"/>
      <c r="AI51" s="203" t="n"/>
      <c r="AJ51" s="203" t="n"/>
      <c r="AK51" s="203" t="n"/>
      <c r="AL51" s="203" t="n"/>
      <c r="AM51" s="64" t="n"/>
      <c r="AN51" s="1010" t="n"/>
      <c r="AO51" s="30" t="n"/>
    </row>
    <row r="52" ht="12.75" customHeight="1">
      <c r="A52" s="23" t="n"/>
      <c r="B52" s="563" t="inlineStr">
        <is>
          <t>Displacement corrected for deductibles</t>
        </is>
      </c>
      <c r="S52" s="600">
        <f>+Draft!M32</f>
        <v/>
      </c>
      <c r="T52" s="203" t="n"/>
      <c r="U52" s="203" t="n"/>
      <c r="V52" s="203" t="n"/>
      <c r="W52" s="203" t="n"/>
      <c r="X52" s="203" t="n"/>
      <c r="Y52" s="203" t="n"/>
      <c r="Z52" s="203" t="n"/>
      <c r="AA52" s="64" t="n"/>
      <c r="AB52" s="287" t="n"/>
      <c r="AE52" s="600">
        <f>+Draft!AG33</f>
        <v/>
      </c>
      <c r="AF52" s="203" t="n"/>
      <c r="AG52" s="203" t="n"/>
      <c r="AH52" s="203" t="n"/>
      <c r="AI52" s="203" t="n"/>
      <c r="AJ52" s="203" t="n"/>
      <c r="AK52" s="203" t="n"/>
      <c r="AL52" s="203" t="n"/>
      <c r="AM52" s="64" t="n"/>
      <c r="AN52" s="1010" t="n"/>
      <c r="AO52" s="30" t="n"/>
    </row>
    <row r="53" ht="6" customHeight="1">
      <c r="A53" s="859" t="n"/>
      <c r="B53" s="934" t="n"/>
      <c r="C53" s="934" t="n"/>
      <c r="D53" s="934" t="n"/>
      <c r="E53" s="934" t="n"/>
      <c r="F53" s="934" t="n"/>
      <c r="G53" s="934" t="n"/>
      <c r="H53" s="934" t="n"/>
      <c r="I53" s="934" t="n"/>
      <c r="J53" s="934" t="n"/>
      <c r="K53" s="934" t="n"/>
      <c r="L53" s="934" t="n"/>
      <c r="M53" s="934" t="n"/>
      <c r="N53" s="934" t="n"/>
      <c r="O53" s="934" t="n"/>
      <c r="P53" s="934" t="n"/>
      <c r="Q53" s="934" t="n"/>
      <c r="R53" s="934" t="n"/>
      <c r="S53" s="934" t="n"/>
      <c r="T53" s="934" t="n"/>
      <c r="U53" s="934" t="n"/>
      <c r="V53" s="934" t="n"/>
      <c r="W53" s="934" t="n"/>
      <c r="X53" s="934" t="n"/>
      <c r="Y53" s="934" t="n"/>
      <c r="Z53" s="934" t="n"/>
      <c r="AA53" s="934" t="n"/>
      <c r="AB53" s="934" t="n"/>
      <c r="AC53" s="934" t="n"/>
      <c r="AD53" s="934" t="n"/>
      <c r="AE53" s="934" t="n"/>
      <c r="AF53" s="934" t="n"/>
      <c r="AG53" s="934" t="n"/>
      <c r="AH53" s="934" t="n"/>
      <c r="AI53" s="934" t="n"/>
      <c r="AJ53" s="934" t="n"/>
      <c r="AK53" s="934" t="n"/>
      <c r="AL53" s="934" t="n"/>
      <c r="AM53" s="934" t="n"/>
      <c r="AN53" s="934" t="n"/>
      <c r="AO53" s="935" t="n"/>
    </row>
    <row r="54" ht="12.75" customHeight="1">
      <c r="A54" s="1006" t="n"/>
      <c r="B54" s="585" t="inlineStr">
        <is>
          <t>Droughts, densities, fresh water and ballast soundings witnessed and agreed to by the Chief Officer.  Fuel oil</t>
        </is>
      </c>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84" t="n"/>
    </row>
    <row r="55" ht="12.75" customHeight="1">
      <c r="A55" s="45" t="n"/>
      <c r="B55" s="555" t="inlineStr">
        <is>
          <t>soundings,witnessed and agreed to by the Chief Engineer unless otherwise stated in form 'A'</t>
        </is>
      </c>
      <c r="AO55" s="30" t="n"/>
    </row>
    <row r="56" ht="6.75" customHeight="1">
      <c r="A56" s="1000" t="n"/>
      <c r="B56" s="603" t="n"/>
      <c r="C56" s="934" t="n"/>
      <c r="D56" s="934" t="n"/>
      <c r="E56" s="934" t="n"/>
      <c r="F56" s="934" t="n"/>
      <c r="G56" s="934" t="n"/>
      <c r="H56" s="934" t="n"/>
      <c r="I56" s="934" t="n"/>
      <c r="J56" s="934" t="n"/>
      <c r="K56" s="934" t="n"/>
      <c r="L56" s="934" t="n"/>
      <c r="M56" s="934" t="n"/>
      <c r="N56" s="934" t="n"/>
      <c r="O56" s="934" t="n"/>
      <c r="P56" s="934" t="n"/>
      <c r="Q56" s="934" t="n"/>
      <c r="R56" s="934" t="n"/>
      <c r="S56" s="934" t="n"/>
      <c r="T56" s="934" t="n"/>
      <c r="U56" s="934" t="n"/>
      <c r="V56" s="934" t="n"/>
      <c r="W56" s="934" t="n"/>
      <c r="X56" s="934" t="n"/>
      <c r="Y56" s="934" t="n"/>
      <c r="Z56" s="934" t="n"/>
      <c r="AA56" s="934" t="n"/>
      <c r="AB56" s="934" t="n"/>
      <c r="AC56" s="934" t="n"/>
      <c r="AD56" s="934" t="n"/>
      <c r="AE56" s="934" t="n"/>
      <c r="AF56" s="934" t="n"/>
      <c r="AG56" s="934" t="n"/>
      <c r="AH56" s="934" t="n"/>
      <c r="AI56" s="934" t="n"/>
      <c r="AJ56" s="934" t="n"/>
      <c r="AK56" s="934" t="n"/>
      <c r="AL56" s="934" t="n"/>
      <c r="AM56" s="934" t="n"/>
      <c r="AN56" s="934" t="n"/>
      <c r="AO56" s="935" t="n"/>
    </row>
    <row r="57" ht="12.75" customHeight="1">
      <c r="A57" s="528"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row>
    <row r="58" ht="24.75" customHeight="1">
      <c r="A58" s="418" t="n"/>
    </row>
  </sheetData>
  <mergeCells count="236">
    <mergeCell ref="AE26:AL26"/>
    <mergeCell ref="AB25:AD25"/>
    <mergeCell ref="AN34:AO34"/>
    <mergeCell ref="S25:Z25"/>
    <mergeCell ref="S43:Z43"/>
    <mergeCell ref="AE16:AL16"/>
    <mergeCell ref="B49:Q49"/>
    <mergeCell ref="AB27:AD27"/>
    <mergeCell ref="AE25:AL25"/>
    <mergeCell ref="AN49:AO49"/>
    <mergeCell ref="AB36:AD36"/>
    <mergeCell ref="B24:Q24"/>
    <mergeCell ref="S27:Z27"/>
    <mergeCell ref="B33:Q33"/>
    <mergeCell ref="AN36:AO36"/>
    <mergeCell ref="S42:Z42"/>
    <mergeCell ref="AN45:AO45"/>
    <mergeCell ref="B51:Q51"/>
    <mergeCell ref="AB11:AD11"/>
    <mergeCell ref="AE18:AL18"/>
    <mergeCell ref="S17:Z17"/>
    <mergeCell ref="AN20:AO20"/>
    <mergeCell ref="B32:Q32"/>
    <mergeCell ref="AN29:AO29"/>
    <mergeCell ref="AB52:AD52"/>
    <mergeCell ref="B26:Q26"/>
    <mergeCell ref="B35:Q35"/>
    <mergeCell ref="B5:AO5"/>
    <mergeCell ref="B16:Q16"/>
    <mergeCell ref="AN44:AO44"/>
    <mergeCell ref="AN22:AO22"/>
    <mergeCell ref="B25:Q25"/>
    <mergeCell ref="AE52:AL52"/>
    <mergeCell ref="S28:Z28"/>
    <mergeCell ref="AN31:AO31"/>
    <mergeCell ref="AE39:AL39"/>
    <mergeCell ref="AB37:AD37"/>
    <mergeCell ref="AN12:AO12"/>
    <mergeCell ref="B27:Q27"/>
    <mergeCell ref="AN21:AO21"/>
    <mergeCell ref="G40:L40"/>
    <mergeCell ref="B18:Q18"/>
    <mergeCell ref="AE29:AL29"/>
    <mergeCell ref="AE11:AM11"/>
    <mergeCell ref="AN14:AO14"/>
    <mergeCell ref="S45:Z45"/>
    <mergeCell ref="AB15:AD15"/>
    <mergeCell ref="AN23:AO23"/>
    <mergeCell ref="A12:R13"/>
    <mergeCell ref="Y2:AH2"/>
    <mergeCell ref="AB24:AD24"/>
    <mergeCell ref="AC8:AO8"/>
    <mergeCell ref="A11:R11"/>
    <mergeCell ref="AE15:AL15"/>
    <mergeCell ref="B29:Q29"/>
    <mergeCell ref="AB40:AD40"/>
    <mergeCell ref="S32:Z32"/>
    <mergeCell ref="AK12:AM12"/>
    <mergeCell ref="A53:AO53"/>
    <mergeCell ref="S26:Z26"/>
    <mergeCell ref="AN40:AO40"/>
    <mergeCell ref="A10:AO10"/>
    <mergeCell ref="S16:Z16"/>
    <mergeCell ref="S12:T12"/>
    <mergeCell ref="AE32:AL32"/>
    <mergeCell ref="AN33:AO33"/>
    <mergeCell ref="S13:AA13"/>
    <mergeCell ref="AB43:AD43"/>
    <mergeCell ref="A9:AO9"/>
    <mergeCell ref="B15:Q15"/>
    <mergeCell ref="U12:W12"/>
    <mergeCell ref="S18:Z18"/>
    <mergeCell ref="AE12:AF12"/>
    <mergeCell ref="AN35:AO35"/>
    <mergeCell ref="AE43:AL43"/>
    <mergeCell ref="A2:X2"/>
    <mergeCell ref="A1:AO1"/>
    <mergeCell ref="AB17:AD17"/>
    <mergeCell ref="AN25:AO25"/>
    <mergeCell ref="AE33:AL33"/>
    <mergeCell ref="Y12:AA12"/>
    <mergeCell ref="AI2:AO4"/>
    <mergeCell ref="AE42:AL42"/>
    <mergeCell ref="M40:Q40"/>
    <mergeCell ref="AE17:AL17"/>
    <mergeCell ref="S50:Z50"/>
    <mergeCell ref="AB19:AD19"/>
    <mergeCell ref="AB34:AD34"/>
    <mergeCell ref="AB28:AD28"/>
    <mergeCell ref="AB42:AD42"/>
    <mergeCell ref="S19:Z19"/>
    <mergeCell ref="AE44:AL44"/>
    <mergeCell ref="S34:Z34"/>
    <mergeCell ref="F8:AB8"/>
    <mergeCell ref="AN11:AO11"/>
    <mergeCell ref="AN46:AO46"/>
    <mergeCell ref="B43:Q43"/>
    <mergeCell ref="AE19:AL19"/>
    <mergeCell ref="B52:Q52"/>
    <mergeCell ref="A54:A56"/>
    <mergeCell ref="Z7:AO7"/>
    <mergeCell ref="AE28:AL28"/>
    <mergeCell ref="AN52:AO52"/>
    <mergeCell ref="AB30:AD30"/>
    <mergeCell ref="A57:AO57"/>
    <mergeCell ref="AN39:AO39"/>
    <mergeCell ref="B42:Q42"/>
    <mergeCell ref="S36:Z36"/>
    <mergeCell ref="S30:Z30"/>
    <mergeCell ref="AN48:AO48"/>
    <mergeCell ref="AB20:AD20"/>
    <mergeCell ref="AB14:AD14"/>
    <mergeCell ref="AB29:AD29"/>
    <mergeCell ref="AA3:AH3"/>
    <mergeCell ref="B17:Q17"/>
    <mergeCell ref="AE30:AL30"/>
    <mergeCell ref="S20:Z20"/>
    <mergeCell ref="S29:Z29"/>
    <mergeCell ref="AN38:AO38"/>
    <mergeCell ref="B44:Q44"/>
    <mergeCell ref="AE45:AL45"/>
    <mergeCell ref="AN13:AO13"/>
    <mergeCell ref="S44:Z44"/>
    <mergeCell ref="B34:Q34"/>
    <mergeCell ref="S22:Z22"/>
    <mergeCell ref="B19:Q19"/>
    <mergeCell ref="B28:Q28"/>
    <mergeCell ref="S31:Z31"/>
    <mergeCell ref="AB46:AD46"/>
    <mergeCell ref="AN15:AO15"/>
    <mergeCell ref="S46:Z46"/>
    <mergeCell ref="S21:Z21"/>
    <mergeCell ref="AN24:AO24"/>
    <mergeCell ref="S37:AA37"/>
    <mergeCell ref="B30:Q30"/>
    <mergeCell ref="A4:Y4"/>
    <mergeCell ref="AE46:AL46"/>
    <mergeCell ref="AB48:AD48"/>
    <mergeCell ref="B20:Q20"/>
    <mergeCell ref="AE47:AL47"/>
    <mergeCell ref="S48:Z48"/>
    <mergeCell ref="B55:AO55"/>
    <mergeCell ref="AN26:AO26"/>
    <mergeCell ref="AB38:AD38"/>
    <mergeCell ref="AE13:AM13"/>
    <mergeCell ref="S38:Z38"/>
    <mergeCell ref="AN41:AO41"/>
    <mergeCell ref="AN16:AO16"/>
    <mergeCell ref="A6:AO6"/>
    <mergeCell ref="AN50:AO50"/>
    <mergeCell ref="B47:Q47"/>
    <mergeCell ref="AG12:AI12"/>
    <mergeCell ref="AE23:AL23"/>
    <mergeCell ref="AN51:AO51"/>
    <mergeCell ref="AE37:AM37"/>
    <mergeCell ref="B46:Q46"/>
    <mergeCell ref="S40:Z40"/>
    <mergeCell ref="AN43:AO43"/>
    <mergeCell ref="S49:Z49"/>
    <mergeCell ref="AB18:AD18"/>
    <mergeCell ref="AB33:AD33"/>
    <mergeCell ref="AE48:AL48"/>
    <mergeCell ref="S41:AA41"/>
    <mergeCell ref="AN27:AO27"/>
    <mergeCell ref="S24:Z24"/>
    <mergeCell ref="S33:Z33"/>
    <mergeCell ref="B48:Q48"/>
    <mergeCell ref="AN42:AO42"/>
    <mergeCell ref="AN17:AO17"/>
    <mergeCell ref="B7:Y7"/>
    <mergeCell ref="AE34:AL34"/>
    <mergeCell ref="S35:Z35"/>
    <mergeCell ref="AB45:AD45"/>
    <mergeCell ref="AN19:AO19"/>
    <mergeCell ref="AE49:AL49"/>
    <mergeCell ref="AN28:AO28"/>
    <mergeCell ref="AE27:AL27"/>
    <mergeCell ref="A3:Y3"/>
    <mergeCell ref="AE36:AL36"/>
    <mergeCell ref="S51:Z51"/>
    <mergeCell ref="AN37:AO37"/>
    <mergeCell ref="S11:AA11"/>
    <mergeCell ref="AB47:AD47"/>
    <mergeCell ref="AE51:AL51"/>
    <mergeCell ref="AE20:AL20"/>
    <mergeCell ref="AB44:AD44"/>
    <mergeCell ref="S47:Z47"/>
    <mergeCell ref="AN30:AO30"/>
    <mergeCell ref="AB22:AD22"/>
    <mergeCell ref="AB31:AD31"/>
    <mergeCell ref="A58:AO58"/>
    <mergeCell ref="AE35:AL35"/>
    <mergeCell ref="AE50:AL50"/>
    <mergeCell ref="AB12:AD12"/>
    <mergeCell ref="AE22:AL22"/>
    <mergeCell ref="AB21:AD21"/>
    <mergeCell ref="AB39:AD39"/>
    <mergeCell ref="AE31:AL31"/>
    <mergeCell ref="S52:Z52"/>
    <mergeCell ref="B36:Q36"/>
    <mergeCell ref="S39:Z39"/>
    <mergeCell ref="B45:Q45"/>
    <mergeCell ref="AE21:AL21"/>
    <mergeCell ref="AB23:AD23"/>
    <mergeCell ref="S14:Z14"/>
    <mergeCell ref="AN32:AO32"/>
    <mergeCell ref="S23:Z23"/>
    <mergeCell ref="AB13:AD13"/>
    <mergeCell ref="AE14:AL14"/>
    <mergeCell ref="AN47:AO47"/>
    <mergeCell ref="AA4:AH4"/>
    <mergeCell ref="B22:Q22"/>
    <mergeCell ref="B54:AO54"/>
    <mergeCell ref="B31:Q31"/>
    <mergeCell ref="AE38:AL38"/>
    <mergeCell ref="AB49:AD49"/>
    <mergeCell ref="S15:Z15"/>
    <mergeCell ref="B21:Q21"/>
    <mergeCell ref="A8:E8"/>
    <mergeCell ref="AN18:AO18"/>
    <mergeCell ref="B40:F40"/>
    <mergeCell ref="B39:Q39"/>
    <mergeCell ref="B56:AO56"/>
    <mergeCell ref="AE40:AL40"/>
    <mergeCell ref="AB51:AD51"/>
    <mergeCell ref="B14:Q14"/>
    <mergeCell ref="B23:Q23"/>
    <mergeCell ref="AE41:AM41"/>
    <mergeCell ref="AB32:AD32"/>
    <mergeCell ref="AE24:AL24"/>
    <mergeCell ref="AB26:AD26"/>
    <mergeCell ref="AB41:AD41"/>
    <mergeCell ref="AB35:AD35"/>
    <mergeCell ref="AB50:AD50"/>
    <mergeCell ref="B38:Q38"/>
    <mergeCell ref="AB16:AD16"/>
  </mergeCells>
  <printOptions horizontalCentered="1" verticalCentered="1"/>
  <pageMargins left="0.3937007874015748" right="0.3937007874015748" top="0.2362204724409449" bottom="0.2362204724409449" header="0" footer="0.2362204724409449"/>
  <pageSetup orientation="portrait" paperSize="9" scale="96" horizontalDpi="300" verticalDpi="300"/>
  <headerFooter alignWithMargins="0">
    <oddHeader/>
    <oddFooter>&amp;RPage 3 of 5</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N54"/>
  <sheetViews>
    <sheetView showGridLines="0" showZeros="0" zoomScaleNormal="100" workbookViewId="0">
      <selection activeCell="AG20" sqref="AG20:AL20"/>
    </sheetView>
  </sheetViews>
  <sheetFormatPr baseColWidth="8" defaultColWidth="11.5546875" defaultRowHeight="13.2"/>
  <cols>
    <col width="2.44140625" customWidth="1" min="1" max="23"/>
    <col width="3.33203125" customWidth="1" min="24" max="24"/>
    <col width="2.44140625" customWidth="1" min="25" max="37"/>
    <col width="3.33203125" customWidth="1" min="38" max="38"/>
    <col width="2.44140625" customWidth="1" min="39" max="129"/>
    <col width="2.44140625" customWidth="1" min="257" max="279"/>
    <col width="3.33203125" customWidth="1" min="280" max="280"/>
    <col width="2.44140625" customWidth="1" min="281" max="293"/>
    <col width="3.33203125" customWidth="1" min="294" max="294"/>
    <col width="2.44140625" customWidth="1" min="295" max="385"/>
    <col width="2.44140625" customWidth="1" min="513" max="535"/>
    <col width="3.33203125" customWidth="1" min="536" max="536"/>
    <col width="2.44140625" customWidth="1" min="537" max="549"/>
    <col width="3.33203125" customWidth="1" min="550" max="550"/>
    <col width="2.44140625" customWidth="1" min="551" max="641"/>
    <col width="2.44140625" customWidth="1" min="769" max="791"/>
    <col width="3.33203125" customWidth="1" min="792" max="792"/>
    <col width="2.44140625" customWidth="1" min="793" max="805"/>
    <col width="3.33203125" customWidth="1" min="806" max="806"/>
    <col width="2.44140625" customWidth="1" min="807" max="897"/>
    <col width="2.44140625" customWidth="1" min="1025" max="1047"/>
    <col width="3.33203125" customWidth="1" min="1048" max="1048"/>
    <col width="2.44140625" customWidth="1" min="1049" max="1061"/>
    <col width="3.33203125" customWidth="1" min="1062" max="1062"/>
    <col width="2.44140625" customWidth="1" min="1063" max="1153"/>
    <col width="2.44140625" customWidth="1" min="1281" max="1303"/>
    <col width="3.33203125" customWidth="1" min="1304" max="1304"/>
    <col width="2.44140625" customWidth="1" min="1305" max="1317"/>
    <col width="3.33203125" customWidth="1" min="1318" max="1318"/>
    <col width="2.44140625" customWidth="1" min="1319" max="1409"/>
    <col width="2.44140625" customWidth="1" min="1537" max="1559"/>
    <col width="3.33203125" customWidth="1" min="1560" max="1560"/>
    <col width="2.44140625" customWidth="1" min="1561" max="1573"/>
    <col width="3.33203125" customWidth="1" min="1574" max="1574"/>
    <col width="2.44140625" customWidth="1" min="1575" max="1665"/>
    <col width="2.44140625" customWidth="1" min="1793" max="1815"/>
    <col width="3.33203125" customWidth="1" min="1816" max="1816"/>
    <col width="2.44140625" customWidth="1" min="1817" max="1829"/>
    <col width="3.33203125" customWidth="1" min="1830" max="1830"/>
    <col width="2.44140625" customWidth="1" min="1831" max="1921"/>
    <col width="2.44140625" customWidth="1" min="2049" max="2071"/>
    <col width="3.33203125" customWidth="1" min="2072" max="2072"/>
    <col width="2.44140625" customWidth="1" min="2073" max="2085"/>
    <col width="3.33203125" customWidth="1" min="2086" max="2086"/>
    <col width="2.44140625" customWidth="1" min="2087" max="2177"/>
    <col width="2.44140625" customWidth="1" min="2305" max="2327"/>
    <col width="3.33203125" customWidth="1" min="2328" max="2328"/>
    <col width="2.44140625" customWidth="1" min="2329" max="2341"/>
    <col width="3.33203125" customWidth="1" min="2342" max="2342"/>
    <col width="2.44140625" customWidth="1" min="2343" max="2433"/>
    <col width="2.44140625" customWidth="1" min="2561" max="2583"/>
    <col width="3.33203125" customWidth="1" min="2584" max="2584"/>
    <col width="2.44140625" customWidth="1" min="2585" max="2597"/>
    <col width="3.33203125" customWidth="1" min="2598" max="2598"/>
    <col width="2.44140625" customWidth="1" min="2599" max="2689"/>
    <col width="2.44140625" customWidth="1" min="2817" max="2839"/>
    <col width="3.33203125" customWidth="1" min="2840" max="2840"/>
    <col width="2.44140625" customWidth="1" min="2841" max="2853"/>
    <col width="3.33203125" customWidth="1" min="2854" max="2854"/>
    <col width="2.44140625" customWidth="1" min="2855" max="2945"/>
    <col width="2.44140625" customWidth="1" min="3073" max="3095"/>
    <col width="3.33203125" customWidth="1" min="3096" max="3096"/>
    <col width="2.44140625" customWidth="1" min="3097" max="3109"/>
    <col width="3.33203125" customWidth="1" min="3110" max="3110"/>
    <col width="2.44140625" customWidth="1" min="3111" max="3201"/>
    <col width="2.44140625" customWidth="1" min="3329" max="3351"/>
    <col width="3.33203125" customWidth="1" min="3352" max="3352"/>
    <col width="2.44140625" customWidth="1" min="3353" max="3365"/>
    <col width="3.33203125" customWidth="1" min="3366" max="3366"/>
    <col width="2.44140625" customWidth="1" min="3367" max="3457"/>
    <col width="2.44140625" customWidth="1" min="3585" max="3607"/>
    <col width="3.33203125" customWidth="1" min="3608" max="3608"/>
    <col width="2.44140625" customWidth="1" min="3609" max="3621"/>
    <col width="3.33203125" customWidth="1" min="3622" max="3622"/>
    <col width="2.44140625" customWidth="1" min="3623" max="3713"/>
    <col width="2.44140625" customWidth="1" min="3841" max="3863"/>
    <col width="3.33203125" customWidth="1" min="3864" max="3864"/>
    <col width="2.44140625" customWidth="1" min="3865" max="3877"/>
    <col width="3.33203125" customWidth="1" min="3878" max="3878"/>
    <col width="2.44140625" customWidth="1" min="3879" max="3969"/>
    <col width="2.44140625" customWidth="1" min="4097" max="4119"/>
    <col width="3.33203125" customWidth="1" min="4120" max="4120"/>
    <col width="2.44140625" customWidth="1" min="4121" max="4133"/>
    <col width="3.33203125" customWidth="1" min="4134" max="4134"/>
    <col width="2.44140625" customWidth="1" min="4135" max="4225"/>
    <col width="2.44140625" customWidth="1" min="4353" max="4375"/>
    <col width="3.33203125" customWidth="1" min="4376" max="4376"/>
    <col width="2.44140625" customWidth="1" min="4377" max="4389"/>
    <col width="3.33203125" customWidth="1" min="4390" max="4390"/>
    <col width="2.44140625" customWidth="1" min="4391" max="4481"/>
    <col width="2.44140625" customWidth="1" min="4609" max="4631"/>
    <col width="3.33203125" customWidth="1" min="4632" max="4632"/>
    <col width="2.44140625" customWidth="1" min="4633" max="4645"/>
    <col width="3.33203125" customWidth="1" min="4646" max="4646"/>
    <col width="2.44140625" customWidth="1" min="4647" max="4737"/>
    <col width="2.44140625" customWidth="1" min="4865" max="4887"/>
    <col width="3.33203125" customWidth="1" min="4888" max="4888"/>
    <col width="2.44140625" customWidth="1" min="4889" max="4901"/>
    <col width="3.33203125" customWidth="1" min="4902" max="4902"/>
    <col width="2.44140625" customWidth="1" min="4903" max="4993"/>
    <col width="2.44140625" customWidth="1" min="5121" max="5143"/>
    <col width="3.33203125" customWidth="1" min="5144" max="5144"/>
    <col width="2.44140625" customWidth="1" min="5145" max="5157"/>
    <col width="3.33203125" customWidth="1" min="5158" max="5158"/>
    <col width="2.44140625" customWidth="1" min="5159" max="5249"/>
    <col width="2.44140625" customWidth="1" min="5377" max="5399"/>
    <col width="3.33203125" customWidth="1" min="5400" max="5400"/>
    <col width="2.44140625" customWidth="1" min="5401" max="5413"/>
    <col width="3.33203125" customWidth="1" min="5414" max="5414"/>
    <col width="2.44140625" customWidth="1" min="5415" max="5505"/>
    <col width="2.44140625" customWidth="1" min="5633" max="5655"/>
    <col width="3.33203125" customWidth="1" min="5656" max="5656"/>
    <col width="2.44140625" customWidth="1" min="5657" max="5669"/>
    <col width="3.33203125" customWidth="1" min="5670" max="5670"/>
    <col width="2.44140625" customWidth="1" min="5671" max="5761"/>
    <col width="2.44140625" customWidth="1" min="5889" max="5911"/>
    <col width="3.33203125" customWidth="1" min="5912" max="5912"/>
    <col width="2.44140625" customWidth="1" min="5913" max="5925"/>
    <col width="3.33203125" customWidth="1" min="5926" max="5926"/>
    <col width="2.44140625" customWidth="1" min="5927" max="6017"/>
    <col width="2.44140625" customWidth="1" min="6145" max="6167"/>
    <col width="3.33203125" customWidth="1" min="6168" max="6168"/>
    <col width="2.44140625" customWidth="1" min="6169" max="6181"/>
    <col width="3.33203125" customWidth="1" min="6182" max="6182"/>
    <col width="2.44140625" customWidth="1" min="6183" max="6273"/>
    <col width="2.44140625" customWidth="1" min="6401" max="6423"/>
    <col width="3.33203125" customWidth="1" min="6424" max="6424"/>
    <col width="2.44140625" customWidth="1" min="6425" max="6437"/>
    <col width="3.33203125" customWidth="1" min="6438" max="6438"/>
    <col width="2.44140625" customWidth="1" min="6439" max="6529"/>
    <col width="2.44140625" customWidth="1" min="6657" max="6679"/>
    <col width="3.33203125" customWidth="1" min="6680" max="6680"/>
    <col width="2.44140625" customWidth="1" min="6681" max="6693"/>
    <col width="3.33203125" customWidth="1" min="6694" max="6694"/>
    <col width="2.44140625" customWidth="1" min="6695" max="6785"/>
    <col width="2.44140625" customWidth="1" min="6913" max="6935"/>
    <col width="3.33203125" customWidth="1" min="6936" max="6936"/>
    <col width="2.44140625" customWidth="1" min="6937" max="6949"/>
    <col width="3.33203125" customWidth="1" min="6950" max="6950"/>
    <col width="2.44140625" customWidth="1" min="6951" max="7041"/>
    <col width="2.44140625" customWidth="1" min="7169" max="7191"/>
    <col width="3.33203125" customWidth="1" min="7192" max="7192"/>
    <col width="2.44140625" customWidth="1" min="7193" max="7205"/>
    <col width="3.33203125" customWidth="1" min="7206" max="7206"/>
    <col width="2.44140625" customWidth="1" min="7207" max="7297"/>
    <col width="2.44140625" customWidth="1" min="7425" max="7447"/>
    <col width="3.33203125" customWidth="1" min="7448" max="7448"/>
    <col width="2.44140625" customWidth="1" min="7449" max="7461"/>
    <col width="3.33203125" customWidth="1" min="7462" max="7462"/>
    <col width="2.44140625" customWidth="1" min="7463" max="7553"/>
    <col width="2.44140625" customWidth="1" min="7681" max="7703"/>
    <col width="3.33203125" customWidth="1" min="7704" max="7704"/>
    <col width="2.44140625" customWidth="1" min="7705" max="7717"/>
    <col width="3.33203125" customWidth="1" min="7718" max="7718"/>
    <col width="2.44140625" customWidth="1" min="7719" max="7809"/>
    <col width="2.44140625" customWidth="1" min="7937" max="7959"/>
    <col width="3.33203125" customWidth="1" min="7960" max="7960"/>
    <col width="2.44140625" customWidth="1" min="7961" max="7973"/>
    <col width="3.33203125" customWidth="1" min="7974" max="7974"/>
    <col width="2.44140625" customWidth="1" min="7975" max="8065"/>
    <col width="2.44140625" customWidth="1" min="8193" max="8215"/>
    <col width="3.33203125" customWidth="1" min="8216" max="8216"/>
    <col width="2.44140625" customWidth="1" min="8217" max="8229"/>
    <col width="3.33203125" customWidth="1" min="8230" max="8230"/>
    <col width="2.44140625" customWidth="1" min="8231" max="8321"/>
    <col width="2.44140625" customWidth="1" min="8449" max="8471"/>
    <col width="3.33203125" customWidth="1" min="8472" max="8472"/>
    <col width="2.44140625" customWidth="1" min="8473" max="8485"/>
    <col width="3.33203125" customWidth="1" min="8486" max="8486"/>
    <col width="2.44140625" customWidth="1" min="8487" max="8577"/>
    <col width="2.44140625" customWidth="1" min="8705" max="8727"/>
    <col width="3.33203125" customWidth="1" min="8728" max="8728"/>
    <col width="2.44140625" customWidth="1" min="8729" max="8741"/>
    <col width="3.33203125" customWidth="1" min="8742" max="8742"/>
    <col width="2.44140625" customWidth="1" min="8743" max="8833"/>
    <col width="2.44140625" customWidth="1" min="8961" max="8983"/>
    <col width="3.33203125" customWidth="1" min="8984" max="8984"/>
    <col width="2.44140625" customWidth="1" min="8985" max="8997"/>
    <col width="3.33203125" customWidth="1" min="8998" max="8998"/>
    <col width="2.44140625" customWidth="1" min="8999" max="9089"/>
    <col width="2.44140625" customWidth="1" min="9217" max="9239"/>
    <col width="3.33203125" customWidth="1" min="9240" max="9240"/>
    <col width="2.44140625" customWidth="1" min="9241" max="9253"/>
    <col width="3.33203125" customWidth="1" min="9254" max="9254"/>
    <col width="2.44140625" customWidth="1" min="9255" max="9345"/>
    <col width="2.44140625" customWidth="1" min="9473" max="9495"/>
    <col width="3.33203125" customWidth="1" min="9496" max="9496"/>
    <col width="2.44140625" customWidth="1" min="9497" max="9509"/>
    <col width="3.33203125" customWidth="1" min="9510" max="9510"/>
    <col width="2.44140625" customWidth="1" min="9511" max="9601"/>
    <col width="2.44140625" customWidth="1" min="9729" max="9751"/>
    <col width="3.33203125" customWidth="1" min="9752" max="9752"/>
    <col width="2.44140625" customWidth="1" min="9753" max="9765"/>
    <col width="3.33203125" customWidth="1" min="9766" max="9766"/>
    <col width="2.44140625" customWidth="1" min="9767" max="9857"/>
    <col width="2.44140625" customWidth="1" min="9985" max="10007"/>
    <col width="3.33203125" customWidth="1" min="10008" max="10008"/>
    <col width="2.44140625" customWidth="1" min="10009" max="10021"/>
    <col width="3.33203125" customWidth="1" min="10022" max="10022"/>
    <col width="2.44140625" customWidth="1" min="10023" max="10113"/>
    <col width="2.44140625" customWidth="1" min="10241" max="10263"/>
    <col width="3.33203125" customWidth="1" min="10264" max="10264"/>
    <col width="2.44140625" customWidth="1" min="10265" max="10277"/>
    <col width="3.33203125" customWidth="1" min="10278" max="10278"/>
    <col width="2.44140625" customWidth="1" min="10279" max="10369"/>
    <col width="2.44140625" customWidth="1" min="10497" max="10519"/>
    <col width="3.33203125" customWidth="1" min="10520" max="10520"/>
    <col width="2.44140625" customWidth="1" min="10521" max="10533"/>
    <col width="3.33203125" customWidth="1" min="10534" max="10534"/>
    <col width="2.44140625" customWidth="1" min="10535" max="10625"/>
    <col width="2.44140625" customWidth="1" min="10753" max="10775"/>
    <col width="3.33203125" customWidth="1" min="10776" max="10776"/>
    <col width="2.44140625" customWidth="1" min="10777" max="10789"/>
    <col width="3.33203125" customWidth="1" min="10790" max="10790"/>
    <col width="2.44140625" customWidth="1" min="10791" max="10881"/>
    <col width="2.44140625" customWidth="1" min="11009" max="11031"/>
    <col width="3.33203125" customWidth="1" min="11032" max="11032"/>
    <col width="2.44140625" customWidth="1" min="11033" max="11045"/>
    <col width="3.33203125" customWidth="1" min="11046" max="11046"/>
    <col width="2.44140625" customWidth="1" min="11047" max="11137"/>
    <col width="2.44140625" customWidth="1" min="11265" max="11287"/>
    <col width="3.33203125" customWidth="1" min="11288" max="11288"/>
    <col width="2.44140625" customWidth="1" min="11289" max="11301"/>
    <col width="3.33203125" customWidth="1" min="11302" max="11302"/>
    <col width="2.44140625" customWidth="1" min="11303" max="11393"/>
    <col width="2.44140625" customWidth="1" min="11521" max="11543"/>
    <col width="3.33203125" customWidth="1" min="11544" max="11544"/>
    <col width="2.44140625" customWidth="1" min="11545" max="11557"/>
    <col width="3.33203125" customWidth="1" min="11558" max="11558"/>
    <col width="2.44140625" customWidth="1" min="11559" max="11649"/>
    <col width="2.44140625" customWidth="1" min="11777" max="11799"/>
    <col width="3.33203125" customWidth="1" min="11800" max="11800"/>
    <col width="2.44140625" customWidth="1" min="11801" max="11813"/>
    <col width="3.33203125" customWidth="1" min="11814" max="11814"/>
    <col width="2.44140625" customWidth="1" min="11815" max="11905"/>
    <col width="2.44140625" customWidth="1" min="12033" max="12055"/>
    <col width="3.33203125" customWidth="1" min="12056" max="12056"/>
    <col width="2.44140625" customWidth="1" min="12057" max="12069"/>
    <col width="3.33203125" customWidth="1" min="12070" max="12070"/>
    <col width="2.44140625" customWidth="1" min="12071" max="12161"/>
    <col width="2.44140625" customWidth="1" min="12289" max="12311"/>
    <col width="3.33203125" customWidth="1" min="12312" max="12312"/>
    <col width="2.44140625" customWidth="1" min="12313" max="12325"/>
    <col width="3.33203125" customWidth="1" min="12326" max="12326"/>
    <col width="2.44140625" customWidth="1" min="12327" max="12417"/>
    <col width="2.44140625" customWidth="1" min="12545" max="12567"/>
    <col width="3.33203125" customWidth="1" min="12568" max="12568"/>
    <col width="2.44140625" customWidth="1" min="12569" max="12581"/>
    <col width="3.33203125" customWidth="1" min="12582" max="12582"/>
    <col width="2.44140625" customWidth="1" min="12583" max="12673"/>
    <col width="2.44140625" customWidth="1" min="12801" max="12823"/>
    <col width="3.33203125" customWidth="1" min="12824" max="12824"/>
    <col width="2.44140625" customWidth="1" min="12825" max="12837"/>
    <col width="3.33203125" customWidth="1" min="12838" max="12838"/>
    <col width="2.44140625" customWidth="1" min="12839" max="12929"/>
    <col width="2.44140625" customWidth="1" min="13057" max="13079"/>
    <col width="3.33203125" customWidth="1" min="13080" max="13080"/>
    <col width="2.44140625" customWidth="1" min="13081" max="13093"/>
    <col width="3.33203125" customWidth="1" min="13094" max="13094"/>
    <col width="2.44140625" customWidth="1" min="13095" max="13185"/>
    <col width="2.44140625" customWidth="1" min="13313" max="13335"/>
    <col width="3.33203125" customWidth="1" min="13336" max="13336"/>
    <col width="2.44140625" customWidth="1" min="13337" max="13349"/>
    <col width="3.33203125" customWidth="1" min="13350" max="13350"/>
    <col width="2.44140625" customWidth="1" min="13351" max="13441"/>
    <col width="2.44140625" customWidth="1" min="13569" max="13591"/>
    <col width="3.33203125" customWidth="1" min="13592" max="13592"/>
    <col width="2.44140625" customWidth="1" min="13593" max="13605"/>
    <col width="3.33203125" customWidth="1" min="13606" max="13606"/>
    <col width="2.44140625" customWidth="1" min="13607" max="13697"/>
    <col width="2.44140625" customWidth="1" min="13825" max="13847"/>
    <col width="3.33203125" customWidth="1" min="13848" max="13848"/>
    <col width="2.44140625" customWidth="1" min="13849" max="13861"/>
    <col width="3.33203125" customWidth="1" min="13862" max="13862"/>
    <col width="2.44140625" customWidth="1" min="13863" max="13953"/>
    <col width="2.44140625" customWidth="1" min="14081" max="14103"/>
    <col width="3.33203125" customWidth="1" min="14104" max="14104"/>
    <col width="2.44140625" customWidth="1" min="14105" max="14117"/>
    <col width="3.33203125" customWidth="1" min="14118" max="14118"/>
    <col width="2.44140625" customWidth="1" min="14119" max="14209"/>
    <col width="2.44140625" customWidth="1" min="14337" max="14359"/>
    <col width="3.33203125" customWidth="1" min="14360" max="14360"/>
    <col width="2.44140625" customWidth="1" min="14361" max="14373"/>
    <col width="3.33203125" customWidth="1" min="14374" max="14374"/>
    <col width="2.44140625" customWidth="1" min="14375" max="14465"/>
    <col width="2.44140625" customWidth="1" min="14593" max="14615"/>
    <col width="3.33203125" customWidth="1" min="14616" max="14616"/>
    <col width="2.44140625" customWidth="1" min="14617" max="14629"/>
    <col width="3.33203125" customWidth="1" min="14630" max="14630"/>
    <col width="2.44140625" customWidth="1" min="14631" max="14721"/>
    <col width="2.44140625" customWidth="1" min="14849" max="14871"/>
    <col width="3.33203125" customWidth="1" min="14872" max="14872"/>
    <col width="2.44140625" customWidth="1" min="14873" max="14885"/>
    <col width="3.33203125" customWidth="1" min="14886" max="14886"/>
    <col width="2.44140625" customWidth="1" min="14887" max="14977"/>
    <col width="2.44140625" customWidth="1" min="15105" max="15127"/>
    <col width="3.33203125" customWidth="1" min="15128" max="15128"/>
    <col width="2.44140625" customWidth="1" min="15129" max="15141"/>
    <col width="3.33203125" customWidth="1" min="15142" max="15142"/>
    <col width="2.44140625" customWidth="1" min="15143" max="15233"/>
    <col width="2.44140625" customWidth="1" min="15361" max="15383"/>
    <col width="3.33203125" customWidth="1" min="15384" max="15384"/>
    <col width="2.44140625" customWidth="1" min="15385" max="15397"/>
    <col width="3.33203125" customWidth="1" min="15398" max="15398"/>
    <col width="2.44140625" customWidth="1" min="15399" max="15489"/>
    <col width="2.44140625" customWidth="1" min="15617" max="15639"/>
    <col width="3.33203125" customWidth="1" min="15640" max="15640"/>
    <col width="2.44140625" customWidth="1" min="15641" max="15653"/>
    <col width="3.33203125" customWidth="1" min="15654" max="15654"/>
    <col width="2.44140625" customWidth="1" min="15655" max="15745"/>
    <col width="2.44140625" customWidth="1" min="15873" max="15895"/>
    <col width="3.33203125" customWidth="1" min="15896" max="15896"/>
    <col width="2.44140625" customWidth="1" min="15897" max="15909"/>
    <col width="3.33203125" customWidth="1" min="15910" max="15910"/>
    <col width="2.44140625" customWidth="1" min="15911" max="16001"/>
    <col width="2.44140625" customWidth="1" min="16129" max="16151"/>
    <col width="3.33203125" customWidth="1" min="16152" max="16152"/>
    <col width="2.44140625" customWidth="1" min="16153" max="16165"/>
    <col width="3.33203125" customWidth="1" min="16166" max="16166"/>
    <col width="2.44140625" customWidth="1" min="16167" max="16257"/>
  </cols>
  <sheetData>
    <row r="1">
      <c r="S1" s="287" t="inlineStr">
        <is>
          <t>Vessel M/V :</t>
        </is>
      </c>
      <c r="X1" s="608" t="n"/>
      <c r="Y1" s="934" t="n"/>
      <c r="Z1" s="934" t="n"/>
      <c r="AA1" s="934" t="n"/>
      <c r="AB1" s="934" t="n"/>
      <c r="AC1" s="934" t="n"/>
      <c r="AD1" s="934" t="n"/>
      <c r="AE1" s="934" t="n"/>
      <c r="AF1" s="934" t="n"/>
      <c r="AG1" s="934" t="n"/>
      <c r="AH1" s="934" t="n"/>
      <c r="AI1" s="934" t="n"/>
      <c r="AJ1" s="934" t="n"/>
      <c r="AK1" s="934" t="n"/>
      <c r="AL1" s="934" t="n"/>
    </row>
    <row r="3">
      <c r="S3" s="611" t="inlineStr">
        <is>
          <t>Survey no:</t>
        </is>
      </c>
      <c r="W3" s="30" t="n"/>
      <c r="X3" s="1019" t="n"/>
      <c r="Y3" s="1020" t="n"/>
      <c r="Z3" s="1020" t="n"/>
      <c r="AA3" s="1020" t="n"/>
      <c r="AB3" s="1020" t="n"/>
      <c r="AC3" s="1020" t="n"/>
      <c r="AD3" s="1021" t="n"/>
      <c r="AE3" t="inlineStr">
        <is>
          <t>Call letters:</t>
        </is>
      </c>
      <c r="AI3" s="1022" t="n"/>
      <c r="AJ3" s="1020" t="n"/>
      <c r="AK3" s="1020" t="n"/>
      <c r="AL3" s="1021" t="n"/>
    </row>
    <row r="4" ht="12.75" customHeight="1"/>
    <row r="5" ht="12.75" customHeight="1"/>
    <row r="6" ht="12.75" customHeight="1">
      <c r="A6" t="inlineStr">
        <is>
          <t>Vessel previous name/s:</t>
        </is>
      </c>
      <c r="J6" s="1019" t="n"/>
      <c r="K6" s="1020" t="n"/>
      <c r="L6" s="1020" t="n"/>
      <c r="M6" s="1020" t="n"/>
      <c r="N6" s="1020" t="n"/>
      <c r="O6" s="1020" t="n"/>
      <c r="P6" s="1020" t="n"/>
      <c r="Q6" s="1020" t="n"/>
      <c r="R6" s="1020" t="n"/>
      <c r="S6" s="1020" t="n"/>
      <c r="T6" s="1020" t="n"/>
      <c r="U6" s="1020" t="n"/>
      <c r="V6" s="1020" t="n"/>
      <c r="W6" s="1020" t="n"/>
      <c r="X6" s="1020" t="n"/>
      <c r="Y6" s="1020" t="n"/>
      <c r="Z6" s="1020" t="n"/>
      <c r="AA6" s="1020" t="n"/>
      <c r="AB6" s="1020" t="n"/>
      <c r="AC6" s="1020" t="n"/>
      <c r="AD6" s="1020" t="n"/>
      <c r="AE6" s="1020" t="n"/>
      <c r="AF6" s="1020" t="n"/>
      <c r="AG6" s="1020" t="n"/>
      <c r="AH6" s="1020" t="n"/>
      <c r="AI6" s="1020" t="n"/>
      <c r="AJ6" s="1020" t="n"/>
      <c r="AK6" s="1020" t="n"/>
      <c r="AL6" s="1021" t="n"/>
    </row>
    <row r="7" ht="6.75" customHeight="1">
      <c r="J7" s="287" t="n"/>
      <c r="K7" s="287" t="n"/>
      <c r="L7" s="287" t="n"/>
      <c r="M7" s="576" t="n"/>
      <c r="N7" s="576" t="n"/>
      <c r="O7" s="576" t="n"/>
      <c r="P7" s="576" t="n"/>
      <c r="Q7" s="576" t="n"/>
      <c r="R7" s="576" t="n"/>
      <c r="S7" s="287" t="n"/>
      <c r="T7" s="287" t="n"/>
      <c r="U7" s="287" t="n"/>
      <c r="V7" s="287" t="n"/>
      <c r="W7" s="576" t="n"/>
      <c r="X7" s="576" t="n"/>
      <c r="Y7" s="287" t="n"/>
      <c r="Z7" s="287" t="n"/>
      <c r="AA7" s="953" t="n"/>
      <c r="AB7" s="953" t="n"/>
      <c r="AC7" s="953" t="n"/>
      <c r="AD7" s="953" t="n"/>
      <c r="AE7" s="953" t="n"/>
      <c r="AF7" s="953" t="n"/>
      <c r="AG7" s="953" t="n"/>
      <c r="AH7" s="953" t="n"/>
      <c r="AI7" s="953" t="n"/>
      <c r="AJ7" s="953" t="n"/>
      <c r="AK7" s="953" t="n"/>
      <c r="AL7" s="953" t="n"/>
    </row>
    <row r="8" ht="12.75" customHeight="1">
      <c r="A8" t="inlineStr">
        <is>
          <t>Flag:</t>
        </is>
      </c>
      <c r="C8" s="1023" t="n"/>
      <c r="D8" s="1020" t="n"/>
      <c r="E8" s="1020" t="n"/>
      <c r="F8" s="1020" t="n"/>
      <c r="G8" s="1020" t="n"/>
      <c r="H8" s="1021" t="n"/>
      <c r="I8" s="1010" t="inlineStr">
        <is>
          <t>Registry:</t>
        </is>
      </c>
      <c r="L8" s="30" t="n"/>
      <c r="M8" s="1024" t="n"/>
      <c r="N8" s="1025" t="n"/>
      <c r="O8" s="1025" t="n"/>
      <c r="P8" s="1025" t="n"/>
      <c r="Q8" s="1025" t="n"/>
      <c r="R8" s="1026" t="n"/>
      <c r="S8" s="1010" t="inlineStr">
        <is>
          <t>Built year:</t>
        </is>
      </c>
      <c r="V8" s="30" t="n"/>
      <c r="W8" s="1027" t="n"/>
      <c r="X8" s="1026" t="n"/>
      <c r="Y8" s="1010" t="inlineStr">
        <is>
          <t>By:</t>
        </is>
      </c>
      <c r="Z8" s="30" t="n"/>
      <c r="AA8" s="1028" t="n"/>
      <c r="AB8" s="1020" t="n"/>
      <c r="AC8" s="1020" t="n"/>
      <c r="AD8" s="1020" t="n"/>
      <c r="AE8" s="1020" t="n"/>
      <c r="AF8" s="1020" t="n"/>
      <c r="AG8" s="1020" t="n"/>
      <c r="AH8" s="1020" t="n"/>
      <c r="AI8" s="1020" t="n"/>
      <c r="AJ8" s="1020" t="n"/>
      <c r="AK8" s="1020" t="n"/>
      <c r="AL8" s="1021" t="n"/>
    </row>
    <row r="9" ht="12.75" customHeight="1"/>
    <row r="10" ht="12.75" customHeight="1">
      <c r="A10" t="inlineStr">
        <is>
          <t>Master</t>
        </is>
      </c>
      <c r="H10" s="1029" t="n"/>
      <c r="I10" s="1020" t="n"/>
      <c r="J10" s="1020" t="n"/>
      <c r="K10" s="1020" t="n"/>
      <c r="L10" s="1020" t="n"/>
      <c r="M10" s="1020" t="n"/>
      <c r="N10" s="1020" t="n"/>
      <c r="O10" s="1020" t="n"/>
      <c r="P10" s="1020" t="n"/>
      <c r="Q10" s="1020" t="n"/>
      <c r="R10" s="1021" t="n"/>
      <c r="T10" t="inlineStr">
        <is>
          <t>Initial Surveyor/s</t>
        </is>
      </c>
      <c r="AB10" s="1030" t="n"/>
      <c r="AC10" s="1020" t="n"/>
      <c r="AD10" s="1020" t="n"/>
      <c r="AE10" s="1020" t="n"/>
      <c r="AF10" s="1020" t="n"/>
      <c r="AG10" s="1020" t="n"/>
      <c r="AH10" s="1020" t="n"/>
      <c r="AI10" s="1020" t="n"/>
      <c r="AJ10" s="1020" t="n"/>
      <c r="AK10" s="1020" t="n"/>
      <c r="AL10" s="1021" t="n"/>
    </row>
    <row r="11" ht="12.75" customHeight="1">
      <c r="A11" t="inlineStr">
        <is>
          <t>Chief Officer</t>
        </is>
      </c>
      <c r="H11" s="1029" t="n"/>
      <c r="I11" s="1020" t="n"/>
      <c r="J11" s="1020" t="n"/>
      <c r="K11" s="1020" t="n"/>
      <c r="L11" s="1020" t="n"/>
      <c r="M11" s="1020" t="n"/>
      <c r="N11" s="1020" t="n"/>
      <c r="O11" s="1020" t="n"/>
      <c r="P11" s="1020" t="n"/>
      <c r="Q11" s="1020" t="n"/>
      <c r="R11" s="1021" t="n"/>
      <c r="T11" t="inlineStr">
        <is>
          <t>Final Surveyor/s</t>
        </is>
      </c>
      <c r="AB11" s="1030" t="n"/>
      <c r="AC11" s="1020" t="n"/>
      <c r="AD11" s="1020" t="n"/>
      <c r="AE11" s="1020" t="n"/>
      <c r="AF11" s="1020" t="n"/>
      <c r="AG11" s="1020" t="n"/>
      <c r="AH11" s="1020" t="n"/>
      <c r="AI11" s="1020" t="n"/>
      <c r="AJ11" s="1020" t="n"/>
      <c r="AK11" s="1020" t="n"/>
      <c r="AL11" s="1021" t="n"/>
    </row>
    <row r="12" ht="12.75" customHeight="1">
      <c r="A12" t="inlineStr">
        <is>
          <t>Chief Engineer</t>
        </is>
      </c>
      <c r="H12" s="1029" t="n"/>
      <c r="I12" s="1020" t="n"/>
      <c r="J12" s="1020" t="n"/>
      <c r="K12" s="1020" t="n"/>
      <c r="L12" s="1020" t="n"/>
      <c r="M12" s="1020" t="n"/>
      <c r="N12" s="1020" t="n"/>
      <c r="O12" s="1020" t="n"/>
      <c r="P12" s="1020" t="n"/>
      <c r="Q12" s="1020" t="n"/>
      <c r="R12" s="1021" t="n"/>
      <c r="T12" t="inlineStr">
        <is>
          <t>Survey requested by:</t>
        </is>
      </c>
      <c r="AB12" s="1030" t="n"/>
      <c r="AC12" s="1020" t="n"/>
      <c r="AD12" s="1020" t="n"/>
      <c r="AE12" s="1020" t="n"/>
      <c r="AF12" s="1020" t="n"/>
      <c r="AG12" s="1020" t="n"/>
      <c r="AH12" s="1020" t="n"/>
      <c r="AI12" s="1020" t="n"/>
      <c r="AJ12" s="1020" t="n"/>
      <c r="AK12" s="1020" t="n"/>
      <c r="AL12" s="1021" t="n"/>
    </row>
    <row r="13" ht="12.75" customHeight="1">
      <c r="A13" t="inlineStr">
        <is>
          <t>Witness draughts</t>
        </is>
      </c>
      <c r="H13" s="1029" t="n">
        <v>0</v>
      </c>
      <c r="I13" s="1020" t="n"/>
      <c r="J13" s="1020" t="n"/>
      <c r="K13" s="1020" t="n"/>
      <c r="L13" s="1020" t="n"/>
      <c r="M13" s="1020" t="n"/>
      <c r="N13" s="1020" t="n"/>
      <c r="O13" s="1020" t="n"/>
      <c r="P13" s="1020" t="n"/>
      <c r="Q13" s="1020" t="n"/>
      <c r="R13" s="1021" t="n"/>
      <c r="T13" t="inlineStr">
        <is>
          <t>On the account of:</t>
        </is>
      </c>
      <c r="AB13" s="1031" t="n"/>
      <c r="AC13" s="1020" t="n"/>
      <c r="AD13" s="1020" t="n"/>
      <c r="AE13" s="1020" t="n"/>
      <c r="AF13" s="1020" t="n"/>
      <c r="AG13" s="1020" t="n"/>
      <c r="AH13" s="1020" t="n"/>
      <c r="AI13" s="1020" t="n"/>
      <c r="AJ13" s="1020" t="n"/>
      <c r="AK13" s="1020" t="n"/>
      <c r="AL13" s="1021" t="n"/>
    </row>
    <row r="14" ht="12.75" customHeight="1">
      <c r="A14" s="183" t="inlineStr">
        <is>
          <t>Witness sounding</t>
        </is>
      </c>
      <c r="H14" s="1032" t="n">
        <v>0</v>
      </c>
      <c r="I14" s="1020" t="n"/>
      <c r="J14" s="1020" t="n"/>
      <c r="K14" s="1020" t="n"/>
      <c r="L14" s="1020" t="n"/>
      <c r="M14" s="1020" t="n"/>
      <c r="N14" s="1020" t="n"/>
      <c r="O14" s="1020" t="n"/>
      <c r="P14" s="1020" t="n"/>
      <c r="Q14" s="1020" t="n"/>
      <c r="R14" s="1021" t="n"/>
      <c r="T14" t="inlineStr">
        <is>
          <t>Attended also by:</t>
        </is>
      </c>
      <c r="AB14" s="1031" t="n"/>
      <c r="AC14" s="1020" t="n"/>
      <c r="AD14" s="1020" t="n"/>
      <c r="AE14" s="1020" t="n"/>
      <c r="AF14" s="1020" t="n"/>
      <c r="AG14" s="1020" t="n"/>
      <c r="AH14" s="1020" t="n"/>
      <c r="AI14" s="1020" t="n"/>
      <c r="AJ14" s="1020" t="n"/>
      <c r="AK14" s="1020" t="n"/>
      <c r="AL14" s="1021" t="n"/>
    </row>
    <row r="15" ht="12.75" customHeight="1">
      <c r="A15" s="183" t="n"/>
      <c r="H15" s="610" t="n"/>
      <c r="I15" s="610" t="n"/>
      <c r="J15" s="610" t="n"/>
      <c r="K15" s="610" t="n"/>
      <c r="L15" s="610" t="n"/>
      <c r="M15" s="610" t="n"/>
      <c r="N15" s="610" t="n"/>
      <c r="O15" s="610" t="n"/>
      <c r="P15" s="610" t="n"/>
      <c r="Q15" s="610" t="n"/>
      <c r="R15" s="610" t="n"/>
      <c r="AB15" s="610" t="n"/>
      <c r="AC15" s="610" t="n"/>
      <c r="AD15" s="610" t="n"/>
      <c r="AE15" s="610" t="n"/>
      <c r="AF15" s="610" t="n"/>
      <c r="AG15" s="610" t="n"/>
      <c r="AH15" s="610" t="n"/>
      <c r="AI15" s="610" t="n"/>
      <c r="AJ15" s="610" t="n"/>
      <c r="AK15" s="610" t="n"/>
      <c r="AL15" s="610" t="n"/>
    </row>
    <row r="16" ht="12.75" customHeight="1">
      <c r="A16" s="183" t="inlineStr">
        <is>
          <t>Init Ship's location</t>
        </is>
      </c>
      <c r="H16" s="1030" t="n"/>
      <c r="I16" s="1020" t="n"/>
      <c r="J16" s="1020" t="n"/>
      <c r="K16" s="1020" t="n"/>
      <c r="L16" s="1020" t="n"/>
      <c r="M16" s="1020" t="n"/>
      <c r="N16" s="1020" t="n"/>
      <c r="O16" s="1020" t="n"/>
      <c r="P16" s="1020" t="n"/>
      <c r="Q16" s="1020" t="n"/>
      <c r="R16" s="1021" t="n"/>
      <c r="T16" s="610" t="inlineStr">
        <is>
          <t>Final Ship's location</t>
        </is>
      </c>
      <c r="AB16" s="1030" t="n"/>
      <c r="AC16" s="1020" t="n"/>
      <c r="AD16" s="1020" t="n"/>
      <c r="AE16" s="1020" t="n"/>
      <c r="AF16" s="1020" t="n"/>
      <c r="AG16" s="1020" t="n"/>
      <c r="AH16" s="1020" t="n"/>
      <c r="AI16" s="1020" t="n"/>
      <c r="AJ16" s="1020" t="n"/>
      <c r="AK16" s="1020" t="n"/>
      <c r="AL16" s="1021" t="n"/>
    </row>
    <row r="17" ht="12.75" customHeight="1"/>
    <row r="18" ht="12.75" customHeight="1">
      <c r="A18" t="inlineStr">
        <is>
          <t>Length overall</t>
        </is>
      </c>
      <c r="M18" s="1033" t="n"/>
      <c r="N18" s="1020" t="n"/>
      <c r="O18" s="1020" t="n"/>
      <c r="P18" s="1020" t="n"/>
      <c r="Q18" s="1020" t="n"/>
      <c r="R18" s="1021" t="n"/>
      <c r="T18" t="inlineStr">
        <is>
          <t>Constant declared</t>
        </is>
      </c>
      <c r="AG18" s="1034" t="n"/>
      <c r="AH18" s="1020" t="n"/>
      <c r="AI18" s="1020" t="n"/>
      <c r="AJ18" s="1020" t="n"/>
      <c r="AK18" s="1020" t="n"/>
      <c r="AL18" s="1021" t="n"/>
    </row>
    <row r="19" ht="12.75" customHeight="1">
      <c r="A19" t="inlineStr">
        <is>
          <t>Length between p.p.</t>
        </is>
      </c>
      <c r="M19" s="1033" t="n"/>
      <c r="N19" s="1020" t="n"/>
      <c r="O19" s="1020" t="n"/>
      <c r="P19" s="1020" t="n"/>
      <c r="Q19" s="1020" t="n"/>
      <c r="R19" s="1021" t="n"/>
      <c r="T19" t="inlineStr">
        <is>
          <t>Constant calculated</t>
        </is>
      </c>
      <c r="AG19" s="1033" t="n"/>
      <c r="AH19" s="1020" t="n"/>
      <c r="AI19" s="1020" t="n"/>
      <c r="AJ19" s="1020" t="n"/>
      <c r="AK19" s="1020" t="n"/>
      <c r="AL19" s="1021" t="n"/>
    </row>
    <row r="20" ht="12.75" customHeight="1">
      <c r="A20" t="inlineStr">
        <is>
          <t>Extreme breadth</t>
        </is>
      </c>
      <c r="M20" s="1033" t="n"/>
      <c r="N20" s="1020" t="n"/>
      <c r="O20" s="1020" t="n"/>
      <c r="P20" s="1020" t="n"/>
      <c r="Q20" s="1020" t="n"/>
      <c r="R20" s="1021" t="n"/>
      <c r="T20" t="inlineStr">
        <is>
          <t>Light displacement</t>
        </is>
      </c>
      <c r="AG20" s="1034" t="n"/>
      <c r="AH20" s="1020" t="n"/>
      <c r="AI20" s="1020" t="n"/>
      <c r="AJ20" s="1020" t="n"/>
      <c r="AK20" s="1020" t="n"/>
      <c r="AL20" s="1021" t="n"/>
    </row>
    <row r="21" ht="12.75" customHeight="1">
      <c r="A21" t="inlineStr">
        <is>
          <t>Moulded breadth</t>
        </is>
      </c>
      <c r="M21" s="1033" t="n"/>
      <c r="N21" s="1020" t="n"/>
      <c r="O21" s="1020" t="n"/>
      <c r="P21" s="1020" t="n"/>
      <c r="Q21" s="1020" t="n"/>
      <c r="R21" s="1021" t="n"/>
      <c r="T21" t="inlineStr">
        <is>
          <t>Light shipweight (plan)</t>
        </is>
      </c>
      <c r="AG21" s="1033" t="n"/>
      <c r="AH21" s="1020" t="n"/>
      <c r="AI21" s="1020" t="n"/>
      <c r="AJ21" s="1020" t="n"/>
      <c r="AK21" s="1020" t="n"/>
      <c r="AL21" s="1021" t="n"/>
    </row>
    <row r="22" ht="12.75" customHeight="1">
      <c r="A22" t="inlineStr">
        <is>
          <t>Depth overall incl.. keel plate</t>
        </is>
      </c>
      <c r="M22" s="1033" t="n"/>
      <c r="N22" s="1020" t="n"/>
      <c r="O22" s="1020" t="n"/>
      <c r="P22" s="1020" t="n"/>
      <c r="Q22" s="1020" t="n"/>
      <c r="R22" s="1021" t="n"/>
      <c r="T22" t="inlineStr">
        <is>
          <t>Summer displacement</t>
        </is>
      </c>
      <c r="AG22" s="1033" t="n"/>
      <c r="AH22" s="1020" t="n"/>
      <c r="AI22" s="1020" t="n"/>
      <c r="AJ22" s="1020" t="n"/>
      <c r="AK22" s="1020" t="n"/>
      <c r="AL22" s="1021" t="n"/>
    </row>
    <row r="23" ht="12.75" customHeight="1">
      <c r="A23" t="inlineStr">
        <is>
          <t>Moulded depth</t>
        </is>
      </c>
      <c r="M23" s="1033" t="n"/>
      <c r="N23" s="1020" t="n"/>
      <c r="O23" s="1020" t="n"/>
      <c r="P23" s="1020" t="n"/>
      <c r="Q23" s="1020" t="n"/>
      <c r="R23" s="1021" t="n"/>
      <c r="T23" t="inlineStr">
        <is>
          <t>Summer deadweight</t>
        </is>
      </c>
      <c r="AG23" s="1033" t="n"/>
      <c r="AH23" s="1020" t="n"/>
      <c r="AI23" s="1020" t="n"/>
      <c r="AJ23" s="1020" t="n"/>
      <c r="AK23" s="1020" t="n"/>
      <c r="AL23" s="1021" t="n"/>
    </row>
    <row r="24" ht="12.75" customHeight="1">
      <c r="A24" t="inlineStr">
        <is>
          <t>Summer draught</t>
        </is>
      </c>
      <c r="M24" s="1035" t="n"/>
      <c r="N24" s="1020" t="n"/>
      <c r="O24" s="1020" t="n"/>
      <c r="P24" s="1020" t="n"/>
      <c r="Q24" s="1020" t="n"/>
      <c r="R24" s="1021" t="n"/>
      <c r="T24" t="inlineStr">
        <is>
          <t>Net register tons</t>
        </is>
      </c>
      <c r="AG24" s="1033" t="n"/>
      <c r="AH24" s="1020" t="n"/>
      <c r="AI24" s="1020" t="n"/>
      <c r="AJ24" s="1020" t="n"/>
      <c r="AK24" s="1020" t="n"/>
      <c r="AL24" s="1021" t="n"/>
    </row>
    <row r="25" ht="12.75" customHeight="1">
      <c r="A25" t="inlineStr">
        <is>
          <t>Summer freeboard</t>
        </is>
      </c>
      <c r="M25" s="1035" t="n"/>
      <c r="N25" s="1020" t="n"/>
      <c r="O25" s="1020" t="n"/>
      <c r="P25" s="1020" t="n"/>
      <c r="Q25" s="1020" t="n"/>
      <c r="R25" s="1021" t="n"/>
      <c r="T25" t="inlineStr">
        <is>
          <t>Gross register Tons</t>
        </is>
      </c>
      <c r="AG25" s="1033" t="n"/>
      <c r="AH25" s="1020" t="n"/>
      <c r="AI25" s="1020" t="n"/>
      <c r="AJ25" s="1020" t="n"/>
      <c r="AK25" s="1020" t="n"/>
      <c r="AL25" s="1021" t="n"/>
    </row>
    <row r="26" ht="12.75" customHeight="1"/>
    <row r="27" ht="12.75" customHeight="1">
      <c r="A27" s="43" t="inlineStr">
        <is>
          <t>Ship's approved hydrostatic tables and lightship information issued by and dated:</t>
        </is>
      </c>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84" t="n"/>
    </row>
    <row r="28" ht="12.75" customHeight="1">
      <c r="A28" s="1036" t="inlineStr">
        <is>
          <t>ABS  JAN 12 /2001</t>
        </is>
      </c>
      <c r="AL28" s="30" t="n"/>
    </row>
    <row r="29" ht="12.75" customHeight="1">
      <c r="A29" s="6" t="n"/>
      <c r="B29" s="546" t="inlineStr">
        <is>
          <t>Range of trim correction tables available</t>
        </is>
      </c>
      <c r="C29" s="546" t="n"/>
      <c r="D29" s="546" t="n"/>
      <c r="E29" s="546" t="n"/>
      <c r="F29" s="546" t="n"/>
      <c r="G29" s="546" t="n"/>
      <c r="H29" s="546" t="n"/>
      <c r="I29" s="546" t="n"/>
      <c r="J29" s="546" t="n"/>
      <c r="K29" s="546" t="n"/>
      <c r="L29" s="546" t="n"/>
      <c r="M29" s="546" t="n"/>
      <c r="N29" s="546" t="n"/>
      <c r="O29" s="546" t="n"/>
      <c r="P29" s="546" t="n"/>
      <c r="Q29" s="546" t="n"/>
      <c r="R29" s="546" t="n"/>
      <c r="S29" s="546" t="n"/>
      <c r="T29" s="546" t="n"/>
      <c r="U29" s="546" t="n"/>
      <c r="V29" s="546" t="n"/>
      <c r="W29" s="546" t="n"/>
      <c r="X29" s="546" t="n"/>
      <c r="Y29" s="546" t="n"/>
      <c r="Z29" s="546" t="n"/>
      <c r="AA29" s="546" t="n"/>
      <c r="AB29" s="546" t="n"/>
      <c r="AC29" s="546" t="n"/>
      <c r="AD29" s="546" t="n"/>
      <c r="AE29" s="546" t="n"/>
      <c r="AF29" s="546" t="n"/>
      <c r="AG29" s="546" t="n"/>
      <c r="AH29" s="546" t="n"/>
      <c r="AI29" s="546" t="n"/>
      <c r="AJ29" s="546" t="n"/>
      <c r="AK29" s="546" t="n"/>
      <c r="AL29" s="547" t="n"/>
    </row>
    <row r="30" ht="12.75" customHeight="1">
      <c r="A30" s="51" t="n"/>
      <c r="B30" s="185" t="inlineStr">
        <is>
          <t>X</t>
        </is>
      </c>
      <c r="C30" s="518" t="inlineStr">
        <is>
          <t>YES</t>
        </is>
      </c>
      <c r="D30" s="518" t="n"/>
      <c r="E30" s="518" t="n"/>
      <c r="F30" s="518" t="n"/>
      <c r="G30" s="192" t="n"/>
      <c r="H30" s="518" t="inlineStr">
        <is>
          <t>NO</t>
        </is>
      </c>
      <c r="I30" s="934" t="n"/>
      <c r="J30" s="186" t="n"/>
      <c r="K30" s="518" t="n"/>
      <c r="L30" s="518" t="n"/>
      <c r="M30" s="518" t="n"/>
      <c r="N30" s="518" t="n"/>
      <c r="O30" s="524" t="n"/>
      <c r="P30" s="524" t="n"/>
      <c r="Q30" s="524" t="n"/>
      <c r="R30" s="524" t="n"/>
      <c r="S30" s="524" t="n"/>
      <c r="T30" s="524" t="n"/>
      <c r="U30" s="524" t="n"/>
      <c r="V30" s="524" t="n"/>
      <c r="W30" s="524" t="n"/>
      <c r="X30" s="524" t="n"/>
      <c r="Y30" s="524" t="n"/>
      <c r="Z30" s="524" t="n"/>
      <c r="AA30" s="524" t="n"/>
      <c r="AB30" s="524" t="n"/>
      <c r="AC30" s="524" t="n"/>
      <c r="AD30" s="524" t="n"/>
      <c r="AE30" s="524" t="n"/>
      <c r="AF30" s="524" t="n"/>
      <c r="AG30" s="524" t="n"/>
      <c r="AH30" s="524" t="n"/>
      <c r="AI30" s="524" t="n"/>
      <c r="AJ30" s="524" t="n"/>
      <c r="AK30" s="524" t="n"/>
      <c r="AL30" s="525" t="n"/>
    </row>
    <row r="31" ht="12.75" customHeight="1">
      <c r="A31" s="187" t="n"/>
      <c r="B31" s="187" t="n"/>
      <c r="C31" s="187" t="n"/>
      <c r="D31" s="187" t="n"/>
      <c r="E31" s="187" t="n"/>
      <c r="F31" s="187" t="n"/>
      <c r="G31" s="187" t="n"/>
      <c r="H31" s="187" t="n"/>
      <c r="I31" s="187" t="n"/>
      <c r="J31" s="187" t="n"/>
      <c r="K31" s="187" t="n"/>
      <c r="L31" s="187" t="n"/>
      <c r="M31" s="187" t="n"/>
      <c r="N31" s="187" t="n"/>
      <c r="O31" s="187" t="n"/>
      <c r="P31" s="187" t="n"/>
      <c r="Q31" s="187" t="n"/>
      <c r="R31" s="187" t="n"/>
      <c r="S31" s="187" t="n"/>
      <c r="T31" s="187" t="n"/>
      <c r="U31" s="187" t="n"/>
      <c r="V31" s="187" t="n"/>
      <c r="W31" s="187" t="n"/>
      <c r="X31" s="187" t="n"/>
      <c r="Y31" s="187" t="n"/>
      <c r="Z31" s="187" t="n"/>
      <c r="AA31" s="187" t="n"/>
      <c r="AB31" s="187" t="n"/>
      <c r="AC31" s="187" t="n"/>
      <c r="AD31" s="187" t="n"/>
      <c r="AE31" s="187" t="n"/>
      <c r="AF31" s="187" t="n"/>
      <c r="AG31" s="187" t="n"/>
      <c r="AH31" s="187" t="n"/>
      <c r="AI31" s="187" t="n"/>
      <c r="AJ31" s="187" t="n"/>
      <c r="AK31" s="187" t="n"/>
      <c r="AL31" s="187" t="n"/>
    </row>
    <row r="32" ht="12.75" customHeight="1">
      <c r="A32" s="187" t="n"/>
      <c r="B32" s="187" t="n"/>
      <c r="C32" s="187" t="n"/>
      <c r="D32" s="187" t="n"/>
      <c r="E32" s="187" t="n"/>
      <c r="F32" s="642" t="inlineStr">
        <is>
          <t>Hydrometer no</t>
        </is>
      </c>
      <c r="L32" s="643" t="n"/>
      <c r="M32" s="187" t="n"/>
      <c r="N32" s="187" t="n"/>
      <c r="O32" s="187" t="n"/>
      <c r="P32" s="187" t="n"/>
      <c r="Q32" s="187" t="n"/>
      <c r="R32" s="187" t="n"/>
      <c r="S32" s="187" t="n"/>
      <c r="T32" s="187" t="n"/>
      <c r="U32" s="187" t="n"/>
      <c r="V32" s="187" t="n"/>
      <c r="W32" s="187" t="n"/>
      <c r="X32" s="187" t="n"/>
      <c r="Y32" s="187" t="n"/>
      <c r="Z32" s="187" t="n"/>
      <c r="AA32" s="187" t="n"/>
      <c r="AB32" s="187" t="n"/>
      <c r="AC32" s="187" t="n"/>
      <c r="AD32" s="187" t="n"/>
      <c r="AE32" s="187" t="n"/>
      <c r="AF32" s="187" t="n"/>
      <c r="AG32" s="187" t="n"/>
      <c r="AH32" s="187" t="n"/>
      <c r="AI32" s="187" t="n"/>
      <c r="AJ32" s="187" t="n"/>
      <c r="AK32" s="187" t="n"/>
      <c r="AL32" s="187" t="n"/>
    </row>
    <row r="33" ht="12.75" customHeight="1">
      <c r="L33" s="601" t="n"/>
    </row>
    <row r="34" ht="12.75" customHeight="1">
      <c r="F34" t="inlineStr">
        <is>
          <t>Correction for stem and stern obtained by:</t>
        </is>
      </c>
      <c r="W34" s="190" t="inlineStr">
        <is>
          <t>X</t>
        </is>
      </c>
      <c r="X34" t="inlineStr">
        <is>
          <t>calculation</t>
        </is>
      </c>
      <c r="AC34" s="190" t="n"/>
      <c r="AD34" t="inlineStr">
        <is>
          <t>tables</t>
        </is>
      </c>
      <c r="BC34" s="186" t="inlineStr">
        <is>
          <t>ARRIVAL TRIM CORRECTIONS FOR TANKS IS NOT COVERED BY VESSEL´S  TABLES</t>
        </is>
      </c>
    </row>
    <row r="35" ht="12.75" customHeight="1">
      <c r="F35" t="inlineStr">
        <is>
          <t>Correction for trim (1) obtained by:</t>
        </is>
      </c>
      <c r="W35" s="190" t="inlineStr">
        <is>
          <t>X</t>
        </is>
      </c>
      <c r="X35" t="inlineStr">
        <is>
          <t>calculation</t>
        </is>
      </c>
      <c r="AC35" s="190" t="n"/>
      <c r="AD35" t="inlineStr">
        <is>
          <t>tables</t>
        </is>
      </c>
    </row>
    <row r="36" ht="12.75" customHeight="1">
      <c r="F36" t="inlineStr">
        <is>
          <t>Correction for trim (2) obtained by:</t>
        </is>
      </c>
      <c r="W36" s="190" t="inlineStr">
        <is>
          <t>X</t>
        </is>
      </c>
      <c r="X36" t="inlineStr">
        <is>
          <t>calculation</t>
        </is>
      </c>
      <c r="AC36" s="190" t="n"/>
      <c r="AD36" t="inlineStr">
        <is>
          <t>tables</t>
        </is>
      </c>
    </row>
    <row r="37" ht="12.75" customHeight="1">
      <c r="F37" t="inlineStr">
        <is>
          <t>Correction due to trim for liquid applied at:</t>
        </is>
      </c>
      <c r="W37" s="190" t="n"/>
      <c r="X37" t="inlineStr">
        <is>
          <t>soundings</t>
        </is>
      </c>
      <c r="AC37" s="190" t="inlineStr">
        <is>
          <t>X</t>
        </is>
      </c>
      <c r="AD37" t="inlineStr">
        <is>
          <t>volumes</t>
        </is>
      </c>
      <c r="BC37" s="1037" t="inlineStr">
        <is>
          <t xml:space="preserve">The vessel should arrive with a  trim out of the limits of trim covered by the trim corrections of the sounding tables and ballast tanks  in slack conditions, and the Aft draft was not visible and properly referenced; due to previous fails at arrival, THE INITIAL OBTAINED FIGURE IS NOT RELIABLE. In addition, for the Final Draft, some ballast tanks were partially ballasted. THE ABNORMAL ARRIVAL CONDITION CAUSE THAT DRAFT SURVEY FIGURE ARE NOT RELIABLE, AND CAN´T BE USED AS LOADED/DISCHARGED CARGO FIGURE </t>
        </is>
      </c>
      <c r="CN37" s="30" t="n"/>
    </row>
    <row r="38" ht="12.75" customHeight="1">
      <c r="F38" t="inlineStr">
        <is>
          <t>Correction due to trim for liquid obtained by:</t>
        </is>
      </c>
      <c r="W38" s="190" t="inlineStr">
        <is>
          <t>X</t>
        </is>
      </c>
      <c r="X38" t="inlineStr">
        <is>
          <t>calculation</t>
        </is>
      </c>
      <c r="AC38" s="190" t="n"/>
      <c r="AD38" t="inlineStr">
        <is>
          <t>tables</t>
        </is>
      </c>
      <c r="BC38" s="45" t="n"/>
      <c r="CN38" s="30" t="n"/>
    </row>
    <row r="39" ht="12.75" customHeight="1">
      <c r="F39" t="inlineStr">
        <is>
          <t>Degree of tank calibration complies with code:</t>
        </is>
      </c>
      <c r="W39" s="191" t="inlineStr">
        <is>
          <t>X</t>
        </is>
      </c>
      <c r="X39" t="inlineStr">
        <is>
          <t>Yes</t>
        </is>
      </c>
      <c r="AC39" s="190" t="n"/>
      <c r="AD39" t="inlineStr">
        <is>
          <t>No</t>
        </is>
      </c>
      <c r="BC39" s="45" t="n"/>
      <c r="CN39" s="30" t="n"/>
    </row>
    <row r="40" ht="12.75" customHeight="1">
      <c r="BC40" s="45" t="n"/>
      <c r="CN40" s="30" t="n"/>
    </row>
    <row r="41" ht="12.75" customHeight="1">
      <c r="A41" s="43" t="inlineStr">
        <is>
          <t>Remarks regarding reliability of calculations</t>
        </is>
      </c>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84" t="n"/>
      <c r="BC41" s="45" t="n"/>
      <c r="CN41" s="30" t="n"/>
    </row>
    <row r="42" ht="12.75" customHeight="1">
      <c r="A42" s="1037" t="n"/>
      <c r="AL42" s="30" t="n"/>
      <c r="BC42" s="45" t="n"/>
      <c r="CN42" s="30" t="n"/>
    </row>
    <row r="43" ht="12.75" customHeight="1">
      <c r="A43" s="45" t="n"/>
      <c r="AL43" s="30" t="n"/>
      <c r="BC43" s="45" t="n"/>
      <c r="CN43" s="30" t="n"/>
    </row>
    <row r="44" ht="12.75" customHeight="1">
      <c r="A44" s="45" t="n"/>
      <c r="AL44" s="30" t="n"/>
      <c r="BC44" s="1000" t="n"/>
      <c r="BD44" s="934" t="n"/>
      <c r="BE44" s="934" t="n"/>
      <c r="BF44" s="934" t="n"/>
      <c r="BG44" s="934" t="n"/>
      <c r="BH44" s="934" t="n"/>
      <c r="BI44" s="934" t="n"/>
      <c r="BJ44" s="934" t="n"/>
      <c r="BK44" s="934" t="n"/>
      <c r="BL44" s="934" t="n"/>
      <c r="BM44" s="934" t="n"/>
      <c r="BN44" s="934" t="n"/>
      <c r="BO44" s="934" t="n"/>
      <c r="BP44" s="934" t="n"/>
      <c r="BQ44" s="934" t="n"/>
      <c r="BR44" s="934" t="n"/>
      <c r="BS44" s="934" t="n"/>
      <c r="BT44" s="934" t="n"/>
      <c r="BU44" s="934" t="n"/>
      <c r="BV44" s="934" t="n"/>
      <c r="BW44" s="934" t="n"/>
      <c r="BX44" s="934" t="n"/>
      <c r="BY44" s="934" t="n"/>
      <c r="BZ44" s="934" t="n"/>
      <c r="CA44" s="934" t="n"/>
      <c r="CB44" s="934" t="n"/>
      <c r="CC44" s="934" t="n"/>
      <c r="CD44" s="934" t="n"/>
      <c r="CE44" s="934" t="n"/>
      <c r="CF44" s="934" t="n"/>
      <c r="CG44" s="934" t="n"/>
      <c r="CH44" s="934" t="n"/>
      <c r="CI44" s="934" t="n"/>
      <c r="CJ44" s="934" t="n"/>
      <c r="CK44" s="934" t="n"/>
      <c r="CL44" s="934" t="n"/>
      <c r="CM44" s="934" t="n"/>
      <c r="CN44" s="935" t="n"/>
    </row>
    <row r="45" ht="12.75" customHeight="1">
      <c r="A45" s="45" t="n"/>
      <c r="AL45" s="30" t="n"/>
    </row>
    <row r="46" ht="12.75" customHeight="1">
      <c r="A46" s="45" t="n"/>
      <c r="AL46" s="30" t="n"/>
    </row>
    <row r="47" ht="12.75" customHeight="1">
      <c r="A47" s="45" t="n"/>
      <c r="AL47" s="30" t="n"/>
    </row>
    <row r="48" ht="12.75" customHeight="1">
      <c r="A48" s="45" t="n"/>
      <c r="AL48" s="30" t="n"/>
    </row>
    <row r="49" ht="12.75" customHeight="1">
      <c r="A49" s="1000" t="n"/>
      <c r="B49" s="934" t="n"/>
      <c r="C49" s="934" t="n"/>
      <c r="D49" s="934" t="n"/>
      <c r="E49" s="934" t="n"/>
      <c r="F49" s="934" t="n"/>
      <c r="G49" s="934" t="n"/>
      <c r="H49" s="934" t="n"/>
      <c r="I49" s="934" t="n"/>
      <c r="J49" s="934" t="n"/>
      <c r="K49" s="934" t="n"/>
      <c r="L49" s="934" t="n"/>
      <c r="M49" s="934" t="n"/>
      <c r="N49" s="934" t="n"/>
      <c r="O49" s="934" t="n"/>
      <c r="P49" s="934" t="n"/>
      <c r="Q49" s="934" t="n"/>
      <c r="R49" s="934" t="n"/>
      <c r="S49" s="934" t="n"/>
      <c r="T49" s="934" t="n"/>
      <c r="U49" s="934" t="n"/>
      <c r="V49" s="934" t="n"/>
      <c r="W49" s="934" t="n"/>
      <c r="X49" s="934" t="n"/>
      <c r="Y49" s="934" t="n"/>
      <c r="Z49" s="934" t="n"/>
      <c r="AA49" s="934" t="n"/>
      <c r="AB49" s="934" t="n"/>
      <c r="AC49" s="934" t="n"/>
      <c r="AD49" s="934" t="n"/>
      <c r="AE49" s="934" t="n"/>
      <c r="AF49" s="934" t="n"/>
      <c r="AG49" s="934" t="n"/>
      <c r="AH49" s="934" t="n"/>
      <c r="AI49" s="934" t="n"/>
      <c r="AJ49" s="934" t="n"/>
      <c r="AK49" s="934" t="n"/>
      <c r="AL49" s="935" t="n"/>
    </row>
    <row r="50" ht="12.75" customHeight="1"/>
    <row r="51" ht="12.75" customHeight="1">
      <c r="A51" s="521" t="inlineStr">
        <is>
          <t>Office of the surveyor at:</t>
        </is>
      </c>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84" t="n"/>
    </row>
    <row r="52" ht="12.75" customHeight="1">
      <c r="A52" s="658" t="inlineStr">
        <is>
          <t>Villa Bonita, Centro Comercial Villa Plaza Local N 6, Alajuela - Costa Rica</t>
        </is>
      </c>
      <c r="B52" s="1025" t="n"/>
      <c r="C52" s="1025" t="n"/>
      <c r="D52" s="1025" t="n"/>
      <c r="E52" s="1025" t="n"/>
      <c r="F52" s="1025" t="n"/>
      <c r="G52" s="1025" t="n"/>
      <c r="H52" s="1025" t="n"/>
      <c r="I52" s="1025" t="n"/>
      <c r="J52" s="1025" t="n"/>
      <c r="K52" s="1025" t="n"/>
      <c r="L52" s="1025" t="n"/>
      <c r="M52" s="1025" t="n"/>
      <c r="N52" s="1025" t="n"/>
      <c r="O52" s="1025" t="n"/>
      <c r="P52" s="1025" t="n"/>
      <c r="Q52" s="1025" t="n"/>
      <c r="R52" s="1025" t="n"/>
      <c r="S52" s="1025" t="n"/>
      <c r="T52" s="1025" t="n"/>
      <c r="U52" s="1025" t="n"/>
      <c r="V52" s="1025" t="n"/>
      <c r="W52" s="1025" t="n"/>
      <c r="X52" s="1025" t="n"/>
      <c r="Y52" s="1025" t="n"/>
      <c r="Z52" s="1025" t="n"/>
      <c r="AA52" s="1025" t="n"/>
      <c r="AB52" s="1025" t="n"/>
      <c r="AC52" s="1025" t="n"/>
      <c r="AD52" s="1025" t="n"/>
      <c r="AE52" s="1025" t="n"/>
      <c r="AF52" s="1025" t="n"/>
      <c r="AG52" s="1025" t="n"/>
      <c r="AH52" s="1025" t="n"/>
      <c r="AI52" s="1025" t="n"/>
      <c r="AJ52" s="1025" t="n"/>
      <c r="AK52" s="1025" t="n"/>
      <c r="AL52" s="1025" t="n"/>
      <c r="AM52" s="1025" t="n"/>
      <c r="AN52" s="1026" t="n"/>
    </row>
    <row r="53" ht="12.75" customHeight="1">
      <c r="A53" s="520" t="inlineStr">
        <is>
          <t>Telephone no:</t>
        </is>
      </c>
      <c r="B53" s="11" t="n"/>
      <c r="C53" s="12" t="n"/>
      <c r="D53" s="13" t="n"/>
      <c r="E53" s="13" t="n"/>
      <c r="F53" s="13" t="n"/>
      <c r="G53" s="13" t="n"/>
      <c r="H53" s="13" t="n"/>
      <c r="I53" s="13" t="n"/>
      <c r="J53" s="13" t="n"/>
      <c r="K53" s="13" t="n"/>
      <c r="L53" s="13" t="n"/>
      <c r="M53" s="13" t="n"/>
      <c r="N53" s="13" t="n"/>
      <c r="O53" s="12" t="n"/>
      <c r="P53" s="520" t="inlineStr">
        <is>
          <t>Fax no:</t>
        </is>
      </c>
      <c r="Q53" s="12" t="n"/>
      <c r="R53" s="12" t="n"/>
      <c r="S53" s="12" t="n"/>
      <c r="T53" s="12" t="n"/>
      <c r="U53" s="12" t="n"/>
      <c r="V53" s="12" t="n"/>
      <c r="W53" s="12" t="n"/>
      <c r="X53" s="12" t="n"/>
      <c r="Y53" s="12" t="n"/>
      <c r="Z53" s="12" t="n"/>
      <c r="AA53" s="12" t="n"/>
      <c r="AB53" s="12" t="n"/>
      <c r="AC53" s="520" t="inlineStr">
        <is>
          <t>E-mail</t>
        </is>
      </c>
      <c r="AD53" s="12" t="n"/>
      <c r="AE53" s="12" t="n"/>
      <c r="AF53" s="12" t="n"/>
      <c r="AG53" s="12" t="n"/>
      <c r="AH53" s="12" t="n"/>
      <c r="AI53" s="12" t="n"/>
      <c r="AJ53" s="12" t="n"/>
      <c r="AK53" s="12" t="n"/>
      <c r="AL53" s="12" t="n"/>
      <c r="AM53" s="12" t="n"/>
      <c r="AN53" s="14" t="n"/>
    </row>
    <row r="54" ht="12.75" customHeight="1">
      <c r="A54" s="188" t="inlineStr">
        <is>
          <t>506- 2441 6408 Mobile: 506- 8814 0784</t>
        </is>
      </c>
      <c r="B54" s="188" t="n"/>
      <c r="C54" s="188" t="n"/>
      <c r="D54" s="188" t="n"/>
      <c r="E54" s="188" t="n"/>
      <c r="F54" s="188" t="n"/>
      <c r="G54" s="188" t="n"/>
      <c r="H54" s="188" t="n"/>
      <c r="I54" s="188" t="n"/>
      <c r="J54" s="188" t="n"/>
      <c r="K54" s="188" t="n"/>
      <c r="L54" s="189" t="n"/>
      <c r="M54" s="189" t="n"/>
      <c r="N54" s="934" t="n"/>
      <c r="O54" s="934" t="n"/>
      <c r="P54" s="659" t="inlineStr">
        <is>
          <t>506 - 2441 6408 / 506- 2441 6408</t>
        </is>
      </c>
      <c r="Q54" s="187" t="n"/>
      <c r="R54" s="187" t="n"/>
      <c r="S54" s="187" t="n"/>
      <c r="T54" s="187" t="n"/>
      <c r="U54" s="187" t="n"/>
      <c r="V54" s="187" t="n"/>
      <c r="W54" s="187" t="n"/>
      <c r="X54" s="187" t="n"/>
      <c r="Y54" s="16" t="n"/>
      <c r="Z54" s="16" t="n"/>
      <c r="AA54" s="16" t="n"/>
      <c r="AB54" s="16" t="n"/>
      <c r="AC54" s="660" t="inlineStr">
        <is>
          <t>pabel.mslogistics@yahoo.com</t>
        </is>
      </c>
      <c r="AD54" s="1025" t="n"/>
      <c r="AE54" s="1025" t="n"/>
      <c r="AF54" s="1025" t="n"/>
      <c r="AG54" s="1025" t="n"/>
      <c r="AH54" s="1025" t="n"/>
      <c r="AI54" s="1025" t="n"/>
      <c r="AJ54" s="1025" t="n"/>
      <c r="AK54" s="1025" t="n"/>
      <c r="AL54" s="1025" t="n"/>
      <c r="AM54" s="16" t="n"/>
      <c r="AN54" s="20" t="n"/>
    </row>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sheetData>
  <mergeCells count="51">
    <mergeCell ref="I8:L8"/>
    <mergeCell ref="A28:AL28"/>
    <mergeCell ref="F32:K32"/>
    <mergeCell ref="AI3:AL3"/>
    <mergeCell ref="M22:R22"/>
    <mergeCell ref="L32:S32"/>
    <mergeCell ref="H10:R10"/>
    <mergeCell ref="M25:R25"/>
    <mergeCell ref="AB14:AL14"/>
    <mergeCell ref="S3:W3"/>
    <mergeCell ref="M21:R21"/>
    <mergeCell ref="A52:AN52"/>
    <mergeCell ref="AG19:AL19"/>
    <mergeCell ref="L33:P33"/>
    <mergeCell ref="M18:R18"/>
    <mergeCell ref="AB16:AL16"/>
    <mergeCell ref="C8:H8"/>
    <mergeCell ref="BC37:CN44"/>
    <mergeCell ref="AG18:AL18"/>
    <mergeCell ref="M8:R8"/>
    <mergeCell ref="M24:R24"/>
    <mergeCell ref="J6:AL6"/>
    <mergeCell ref="AG24:AL24"/>
    <mergeCell ref="X1:AL1"/>
    <mergeCell ref="A42:AL49"/>
    <mergeCell ref="M23:R23"/>
    <mergeCell ref="H11:R11"/>
    <mergeCell ref="M19:R19"/>
    <mergeCell ref="AB12:AL12"/>
    <mergeCell ref="S8:V8"/>
    <mergeCell ref="H16:R16"/>
    <mergeCell ref="AG23:AL23"/>
    <mergeCell ref="AG21:AL21"/>
    <mergeCell ref="A51:AN51"/>
    <mergeCell ref="AB11:AL11"/>
    <mergeCell ref="AA8:AL8"/>
    <mergeCell ref="P54:X54"/>
    <mergeCell ref="H13:R13"/>
    <mergeCell ref="AG20:AL20"/>
    <mergeCell ref="W8:X8"/>
    <mergeCell ref="AB13:AL13"/>
    <mergeCell ref="H12:R12"/>
    <mergeCell ref="AG25:AL25"/>
    <mergeCell ref="X3:AD3"/>
    <mergeCell ref="S1:W1"/>
    <mergeCell ref="AB10:AL10"/>
    <mergeCell ref="AG22:AL22"/>
    <mergeCell ref="Y8:Z8"/>
    <mergeCell ref="AC54:AL54"/>
    <mergeCell ref="H14:R14"/>
    <mergeCell ref="M20:R20"/>
  </mergeCells>
  <hyperlinks>
    <hyperlink xmlns:r="http://schemas.openxmlformats.org/officeDocument/2006/relationships" ref="AC54" r:id="rId1"/>
  </hyperlinks>
  <printOptions horizontalCentered="1" verticalCentered="1"/>
  <pageMargins left="0.25" right="0.25" top="0.75" bottom="0.75" header="0.3" footer="0.3"/>
  <pageSetup orientation="portrait" horizontalDpi="300" verticalDpi="300"/>
  <drawing xmlns:r="http://schemas.openxmlformats.org/officeDocument/2006/relationships" r:id="rId2"/>
</worksheet>
</file>

<file path=xl/worksheets/sheet5.xml><?xml version="1.0" encoding="utf-8"?>
<worksheet xmlns="http://schemas.openxmlformats.org/spreadsheetml/2006/main">
  <sheetPr>
    <tabColor rgb="FFFF0000"/>
    <outlinePr summaryBelow="1" summaryRight="1"/>
    <pageSetUpPr fitToPage="1"/>
  </sheetPr>
  <dimension ref="A1:DR53"/>
  <sheetViews>
    <sheetView showGridLines="0" showZeros="0" tabSelected="1" zoomScaleNormal="100" workbookViewId="0">
      <selection activeCell="N7" sqref="N7:Q7"/>
    </sheetView>
  </sheetViews>
  <sheetFormatPr baseColWidth="8" defaultColWidth="11.5546875" defaultRowHeight="13.2"/>
  <cols>
    <col width="2.44140625" customWidth="1" min="1" max="2"/>
    <col width="3.44140625" customWidth="1" min="3" max="3"/>
    <col width="2.44140625" customWidth="1" min="4" max="7"/>
    <col width="3.33203125" customWidth="1" min="8" max="8"/>
    <col width="2.44140625" customWidth="1" min="9" max="47"/>
    <col width="8.88671875" customWidth="1" min="48" max="48"/>
    <col width="2.44140625" customWidth="1" min="49" max="52"/>
    <col width="6.6640625" bestFit="1" customWidth="1" min="53" max="53"/>
    <col width="8.44140625" bestFit="1" customWidth="1" min="54" max="54"/>
    <col width="6.109375" bestFit="1" customWidth="1" min="55" max="55"/>
    <col width="5.5546875" bestFit="1" customWidth="1" min="56" max="56"/>
    <col width="3.6640625" bestFit="1" customWidth="1" min="57" max="57"/>
    <col width="10.44140625" customWidth="1" min="58" max="63"/>
    <col width="2.44140625" customWidth="1" min="64" max="228"/>
    <col width="2.44140625" customWidth="1" min="257" max="308"/>
    <col width="8.33203125" customWidth="1" min="309" max="309"/>
    <col width="10.44140625" customWidth="1" min="310" max="311"/>
    <col width="7.88671875" customWidth="1" min="312" max="313"/>
    <col width="10.44140625" customWidth="1" min="314" max="319"/>
    <col width="2.44140625" customWidth="1" min="320" max="484"/>
    <col width="2.44140625" customWidth="1" min="513" max="564"/>
    <col width="8.33203125" customWidth="1" min="565" max="565"/>
    <col width="10.44140625" customWidth="1" min="566" max="567"/>
    <col width="7.88671875" customWidth="1" min="568" max="569"/>
    <col width="10.44140625" customWidth="1" min="570" max="575"/>
    <col width="2.44140625" customWidth="1" min="576" max="740"/>
    <col width="2.44140625" customWidth="1" min="769" max="820"/>
    <col width="8.33203125" customWidth="1" min="821" max="821"/>
    <col width="10.44140625" customWidth="1" min="822" max="823"/>
    <col width="7.88671875" customWidth="1" min="824" max="825"/>
    <col width="10.44140625" customWidth="1" min="826" max="831"/>
    <col width="2.44140625" customWidth="1" min="832" max="996"/>
    <col width="2.44140625" customWidth="1" min="1025" max="1076"/>
    <col width="8.33203125" customWidth="1" min="1077" max="1077"/>
    <col width="10.44140625" customWidth="1" min="1078" max="1079"/>
    <col width="7.88671875" customWidth="1" min="1080" max="1081"/>
    <col width="10.44140625" customWidth="1" min="1082" max="1087"/>
    <col width="2.44140625" customWidth="1" min="1088" max="1252"/>
    <col width="2.44140625" customWidth="1" min="1281" max="1332"/>
    <col width="8.33203125" customWidth="1" min="1333" max="1333"/>
    <col width="10.44140625" customWidth="1" min="1334" max="1335"/>
    <col width="7.88671875" customWidth="1" min="1336" max="1337"/>
    <col width="10.44140625" customWidth="1" min="1338" max="1343"/>
    <col width="2.44140625" customWidth="1" min="1344" max="1508"/>
    <col width="2.44140625" customWidth="1" min="1537" max="1588"/>
    <col width="8.33203125" customWidth="1" min="1589" max="1589"/>
    <col width="10.44140625" customWidth="1" min="1590" max="1591"/>
    <col width="7.88671875" customWidth="1" min="1592" max="1593"/>
    <col width="10.44140625" customWidth="1" min="1594" max="1599"/>
    <col width="2.44140625" customWidth="1" min="1600" max="1764"/>
    <col width="2.44140625" customWidth="1" min="1793" max="1844"/>
    <col width="8.33203125" customWidth="1" min="1845" max="1845"/>
    <col width="10.44140625" customWidth="1" min="1846" max="1847"/>
    <col width="7.88671875" customWidth="1" min="1848" max="1849"/>
    <col width="10.44140625" customWidth="1" min="1850" max="1855"/>
    <col width="2.44140625" customWidth="1" min="1856" max="2020"/>
    <col width="2.44140625" customWidth="1" min="2049" max="2100"/>
    <col width="8.33203125" customWidth="1" min="2101" max="2101"/>
    <col width="10.44140625" customWidth="1" min="2102" max="2103"/>
    <col width="7.88671875" customWidth="1" min="2104" max="2105"/>
    <col width="10.44140625" customWidth="1" min="2106" max="2111"/>
    <col width="2.44140625" customWidth="1" min="2112" max="2276"/>
    <col width="2.44140625" customWidth="1" min="2305" max="2356"/>
    <col width="8.33203125" customWidth="1" min="2357" max="2357"/>
    <col width="10.44140625" customWidth="1" min="2358" max="2359"/>
    <col width="7.88671875" customWidth="1" min="2360" max="2361"/>
    <col width="10.44140625" customWidth="1" min="2362" max="2367"/>
    <col width="2.44140625" customWidth="1" min="2368" max="2532"/>
    <col width="2.44140625" customWidth="1" min="2561" max="2612"/>
    <col width="8.33203125" customWidth="1" min="2613" max="2613"/>
    <col width="10.44140625" customWidth="1" min="2614" max="2615"/>
    <col width="7.88671875" customWidth="1" min="2616" max="2617"/>
    <col width="10.44140625" customWidth="1" min="2618" max="2623"/>
    <col width="2.44140625" customWidth="1" min="2624" max="2788"/>
    <col width="2.44140625" customWidth="1" min="2817" max="2868"/>
    <col width="8.33203125" customWidth="1" min="2869" max="2869"/>
    <col width="10.44140625" customWidth="1" min="2870" max="2871"/>
    <col width="7.88671875" customWidth="1" min="2872" max="2873"/>
    <col width="10.44140625" customWidth="1" min="2874" max="2879"/>
    <col width="2.44140625" customWidth="1" min="2880" max="3044"/>
    <col width="2.44140625" customWidth="1" min="3073" max="3124"/>
    <col width="8.33203125" customWidth="1" min="3125" max="3125"/>
    <col width="10.44140625" customWidth="1" min="3126" max="3127"/>
    <col width="7.88671875" customWidth="1" min="3128" max="3129"/>
    <col width="10.44140625" customWidth="1" min="3130" max="3135"/>
    <col width="2.44140625" customWidth="1" min="3136" max="3300"/>
    <col width="2.44140625" customWidth="1" min="3329" max="3380"/>
    <col width="8.33203125" customWidth="1" min="3381" max="3381"/>
    <col width="10.44140625" customWidth="1" min="3382" max="3383"/>
    <col width="7.88671875" customWidth="1" min="3384" max="3385"/>
    <col width="10.44140625" customWidth="1" min="3386" max="3391"/>
    <col width="2.44140625" customWidth="1" min="3392" max="3556"/>
    <col width="2.44140625" customWidth="1" min="3585" max="3636"/>
    <col width="8.33203125" customWidth="1" min="3637" max="3637"/>
    <col width="10.44140625" customWidth="1" min="3638" max="3639"/>
    <col width="7.88671875" customWidth="1" min="3640" max="3641"/>
    <col width="10.44140625" customWidth="1" min="3642" max="3647"/>
    <col width="2.44140625" customWidth="1" min="3648" max="3812"/>
    <col width="2.44140625" customWidth="1" min="3841" max="3892"/>
    <col width="8.33203125" customWidth="1" min="3893" max="3893"/>
    <col width="10.44140625" customWidth="1" min="3894" max="3895"/>
    <col width="7.88671875" customWidth="1" min="3896" max="3897"/>
    <col width="10.44140625" customWidth="1" min="3898" max="3903"/>
    <col width="2.44140625" customWidth="1" min="3904" max="4068"/>
    <col width="2.44140625" customWidth="1" min="4097" max="4148"/>
    <col width="8.33203125" customWidth="1" min="4149" max="4149"/>
    <col width="10.44140625" customWidth="1" min="4150" max="4151"/>
    <col width="7.88671875" customWidth="1" min="4152" max="4153"/>
    <col width="10.44140625" customWidth="1" min="4154" max="4159"/>
    <col width="2.44140625" customWidth="1" min="4160" max="4324"/>
    <col width="2.44140625" customWidth="1" min="4353" max="4404"/>
    <col width="8.33203125" customWidth="1" min="4405" max="4405"/>
    <col width="10.44140625" customWidth="1" min="4406" max="4407"/>
    <col width="7.88671875" customWidth="1" min="4408" max="4409"/>
    <col width="10.44140625" customWidth="1" min="4410" max="4415"/>
    <col width="2.44140625" customWidth="1" min="4416" max="4580"/>
    <col width="2.44140625" customWidth="1" min="4609" max="4660"/>
    <col width="8.33203125" customWidth="1" min="4661" max="4661"/>
    <col width="10.44140625" customWidth="1" min="4662" max="4663"/>
    <col width="7.88671875" customWidth="1" min="4664" max="4665"/>
    <col width="10.44140625" customWidth="1" min="4666" max="4671"/>
    <col width="2.44140625" customWidth="1" min="4672" max="4836"/>
    <col width="2.44140625" customWidth="1" min="4865" max="4916"/>
    <col width="8.33203125" customWidth="1" min="4917" max="4917"/>
    <col width="10.44140625" customWidth="1" min="4918" max="4919"/>
    <col width="7.88671875" customWidth="1" min="4920" max="4921"/>
    <col width="10.44140625" customWidth="1" min="4922" max="4927"/>
    <col width="2.44140625" customWidth="1" min="4928" max="5092"/>
    <col width="2.44140625" customWidth="1" min="5121" max="5172"/>
    <col width="8.33203125" customWidth="1" min="5173" max="5173"/>
    <col width="10.44140625" customWidth="1" min="5174" max="5175"/>
    <col width="7.88671875" customWidth="1" min="5176" max="5177"/>
    <col width="10.44140625" customWidth="1" min="5178" max="5183"/>
    <col width="2.44140625" customWidth="1" min="5184" max="5348"/>
    <col width="2.44140625" customWidth="1" min="5377" max="5428"/>
    <col width="8.33203125" customWidth="1" min="5429" max="5429"/>
    <col width="10.44140625" customWidth="1" min="5430" max="5431"/>
    <col width="7.88671875" customWidth="1" min="5432" max="5433"/>
    <col width="10.44140625" customWidth="1" min="5434" max="5439"/>
    <col width="2.44140625" customWidth="1" min="5440" max="5604"/>
    <col width="2.44140625" customWidth="1" min="5633" max="5684"/>
    <col width="8.33203125" customWidth="1" min="5685" max="5685"/>
    <col width="10.44140625" customWidth="1" min="5686" max="5687"/>
    <col width="7.88671875" customWidth="1" min="5688" max="5689"/>
    <col width="10.44140625" customWidth="1" min="5690" max="5695"/>
    <col width="2.44140625" customWidth="1" min="5696" max="5860"/>
    <col width="2.44140625" customWidth="1" min="5889" max="5940"/>
    <col width="8.33203125" customWidth="1" min="5941" max="5941"/>
    <col width="10.44140625" customWidth="1" min="5942" max="5943"/>
    <col width="7.88671875" customWidth="1" min="5944" max="5945"/>
    <col width="10.44140625" customWidth="1" min="5946" max="5951"/>
    <col width="2.44140625" customWidth="1" min="5952" max="6116"/>
    <col width="2.44140625" customWidth="1" min="6145" max="6196"/>
    <col width="8.33203125" customWidth="1" min="6197" max="6197"/>
    <col width="10.44140625" customWidth="1" min="6198" max="6199"/>
    <col width="7.88671875" customWidth="1" min="6200" max="6201"/>
    <col width="10.44140625" customWidth="1" min="6202" max="6207"/>
    <col width="2.44140625" customWidth="1" min="6208" max="6372"/>
    <col width="2.44140625" customWidth="1" min="6401" max="6452"/>
    <col width="8.33203125" customWidth="1" min="6453" max="6453"/>
    <col width="10.44140625" customWidth="1" min="6454" max="6455"/>
    <col width="7.88671875" customWidth="1" min="6456" max="6457"/>
    <col width="10.44140625" customWidth="1" min="6458" max="6463"/>
    <col width="2.44140625" customWidth="1" min="6464" max="6628"/>
    <col width="2.44140625" customWidth="1" min="6657" max="6708"/>
    <col width="8.33203125" customWidth="1" min="6709" max="6709"/>
    <col width="10.44140625" customWidth="1" min="6710" max="6711"/>
    <col width="7.88671875" customWidth="1" min="6712" max="6713"/>
    <col width="10.44140625" customWidth="1" min="6714" max="6719"/>
    <col width="2.44140625" customWidth="1" min="6720" max="6884"/>
    <col width="2.44140625" customWidth="1" min="6913" max="6964"/>
    <col width="8.33203125" customWidth="1" min="6965" max="6965"/>
    <col width="10.44140625" customWidth="1" min="6966" max="6967"/>
    <col width="7.88671875" customWidth="1" min="6968" max="6969"/>
    <col width="10.44140625" customWidth="1" min="6970" max="6975"/>
    <col width="2.44140625" customWidth="1" min="6976" max="7140"/>
    <col width="2.44140625" customWidth="1" min="7169" max="7220"/>
    <col width="8.33203125" customWidth="1" min="7221" max="7221"/>
    <col width="10.44140625" customWidth="1" min="7222" max="7223"/>
    <col width="7.88671875" customWidth="1" min="7224" max="7225"/>
    <col width="10.44140625" customWidth="1" min="7226" max="7231"/>
    <col width="2.44140625" customWidth="1" min="7232" max="7396"/>
    <col width="2.44140625" customWidth="1" min="7425" max="7476"/>
    <col width="8.33203125" customWidth="1" min="7477" max="7477"/>
    <col width="10.44140625" customWidth="1" min="7478" max="7479"/>
    <col width="7.88671875" customWidth="1" min="7480" max="7481"/>
    <col width="10.44140625" customWidth="1" min="7482" max="7487"/>
    <col width="2.44140625" customWidth="1" min="7488" max="7652"/>
    <col width="2.44140625" customWidth="1" min="7681" max="7732"/>
    <col width="8.33203125" customWidth="1" min="7733" max="7733"/>
    <col width="10.44140625" customWidth="1" min="7734" max="7735"/>
    <col width="7.88671875" customWidth="1" min="7736" max="7737"/>
    <col width="10.44140625" customWidth="1" min="7738" max="7743"/>
    <col width="2.44140625" customWidth="1" min="7744" max="7908"/>
    <col width="2.44140625" customWidth="1" min="7937" max="7988"/>
    <col width="8.33203125" customWidth="1" min="7989" max="7989"/>
    <col width="10.44140625" customWidth="1" min="7990" max="7991"/>
    <col width="7.88671875" customWidth="1" min="7992" max="7993"/>
    <col width="10.44140625" customWidth="1" min="7994" max="7999"/>
    <col width="2.44140625" customWidth="1" min="8000" max="8164"/>
    <col width="2.44140625" customWidth="1" min="8193" max="8244"/>
    <col width="8.33203125" customWidth="1" min="8245" max="8245"/>
    <col width="10.44140625" customWidth="1" min="8246" max="8247"/>
    <col width="7.88671875" customWidth="1" min="8248" max="8249"/>
    <col width="10.44140625" customWidth="1" min="8250" max="8255"/>
    <col width="2.44140625" customWidth="1" min="8256" max="8420"/>
    <col width="2.44140625" customWidth="1" min="8449" max="8500"/>
    <col width="8.33203125" customWidth="1" min="8501" max="8501"/>
    <col width="10.44140625" customWidth="1" min="8502" max="8503"/>
    <col width="7.88671875" customWidth="1" min="8504" max="8505"/>
    <col width="10.44140625" customWidth="1" min="8506" max="8511"/>
    <col width="2.44140625" customWidth="1" min="8512" max="8676"/>
    <col width="2.44140625" customWidth="1" min="8705" max="8756"/>
    <col width="8.33203125" customWidth="1" min="8757" max="8757"/>
    <col width="10.44140625" customWidth="1" min="8758" max="8759"/>
    <col width="7.88671875" customWidth="1" min="8760" max="8761"/>
    <col width="10.44140625" customWidth="1" min="8762" max="8767"/>
    <col width="2.44140625" customWidth="1" min="8768" max="8932"/>
    <col width="2.44140625" customWidth="1" min="8961" max="9012"/>
    <col width="8.33203125" customWidth="1" min="9013" max="9013"/>
    <col width="10.44140625" customWidth="1" min="9014" max="9015"/>
    <col width="7.88671875" customWidth="1" min="9016" max="9017"/>
    <col width="10.44140625" customWidth="1" min="9018" max="9023"/>
    <col width="2.44140625" customWidth="1" min="9024" max="9188"/>
    <col width="2.44140625" customWidth="1" min="9217" max="9268"/>
    <col width="8.33203125" customWidth="1" min="9269" max="9269"/>
    <col width="10.44140625" customWidth="1" min="9270" max="9271"/>
    <col width="7.88671875" customWidth="1" min="9272" max="9273"/>
    <col width="10.44140625" customWidth="1" min="9274" max="9279"/>
    <col width="2.44140625" customWidth="1" min="9280" max="9444"/>
    <col width="2.44140625" customWidth="1" min="9473" max="9524"/>
    <col width="8.33203125" customWidth="1" min="9525" max="9525"/>
    <col width="10.44140625" customWidth="1" min="9526" max="9527"/>
    <col width="7.88671875" customWidth="1" min="9528" max="9529"/>
    <col width="10.44140625" customWidth="1" min="9530" max="9535"/>
    <col width="2.44140625" customWidth="1" min="9536" max="9700"/>
    <col width="2.44140625" customWidth="1" min="9729" max="9780"/>
    <col width="8.33203125" customWidth="1" min="9781" max="9781"/>
    <col width="10.44140625" customWidth="1" min="9782" max="9783"/>
    <col width="7.88671875" customWidth="1" min="9784" max="9785"/>
    <col width="10.44140625" customWidth="1" min="9786" max="9791"/>
    <col width="2.44140625" customWidth="1" min="9792" max="9956"/>
    <col width="2.44140625" customWidth="1" min="9985" max="10036"/>
    <col width="8.33203125" customWidth="1" min="10037" max="10037"/>
    <col width="10.44140625" customWidth="1" min="10038" max="10039"/>
    <col width="7.88671875" customWidth="1" min="10040" max="10041"/>
    <col width="10.44140625" customWidth="1" min="10042" max="10047"/>
    <col width="2.44140625" customWidth="1" min="10048" max="10212"/>
    <col width="2.44140625" customWidth="1" min="10241" max="10292"/>
    <col width="8.33203125" customWidth="1" min="10293" max="10293"/>
    <col width="10.44140625" customWidth="1" min="10294" max="10295"/>
    <col width="7.88671875" customWidth="1" min="10296" max="10297"/>
    <col width="10.44140625" customWidth="1" min="10298" max="10303"/>
    <col width="2.44140625" customWidth="1" min="10304" max="10468"/>
    <col width="2.44140625" customWidth="1" min="10497" max="10548"/>
    <col width="8.33203125" customWidth="1" min="10549" max="10549"/>
    <col width="10.44140625" customWidth="1" min="10550" max="10551"/>
    <col width="7.88671875" customWidth="1" min="10552" max="10553"/>
    <col width="10.44140625" customWidth="1" min="10554" max="10559"/>
    <col width="2.44140625" customWidth="1" min="10560" max="10724"/>
    <col width="2.44140625" customWidth="1" min="10753" max="10804"/>
    <col width="8.33203125" customWidth="1" min="10805" max="10805"/>
    <col width="10.44140625" customWidth="1" min="10806" max="10807"/>
    <col width="7.88671875" customWidth="1" min="10808" max="10809"/>
    <col width="10.44140625" customWidth="1" min="10810" max="10815"/>
    <col width="2.44140625" customWidth="1" min="10816" max="10980"/>
    <col width="2.44140625" customWidth="1" min="11009" max="11060"/>
    <col width="8.33203125" customWidth="1" min="11061" max="11061"/>
    <col width="10.44140625" customWidth="1" min="11062" max="11063"/>
    <col width="7.88671875" customWidth="1" min="11064" max="11065"/>
    <col width="10.44140625" customWidth="1" min="11066" max="11071"/>
    <col width="2.44140625" customWidth="1" min="11072" max="11236"/>
    <col width="2.44140625" customWidth="1" min="11265" max="11316"/>
    <col width="8.33203125" customWidth="1" min="11317" max="11317"/>
    <col width="10.44140625" customWidth="1" min="11318" max="11319"/>
    <col width="7.88671875" customWidth="1" min="11320" max="11321"/>
    <col width="10.44140625" customWidth="1" min="11322" max="11327"/>
    <col width="2.44140625" customWidth="1" min="11328" max="11492"/>
    <col width="2.44140625" customWidth="1" min="11521" max="11572"/>
    <col width="8.33203125" customWidth="1" min="11573" max="11573"/>
    <col width="10.44140625" customWidth="1" min="11574" max="11575"/>
    <col width="7.88671875" customWidth="1" min="11576" max="11577"/>
    <col width="10.44140625" customWidth="1" min="11578" max="11583"/>
    <col width="2.44140625" customWidth="1" min="11584" max="11748"/>
    <col width="2.44140625" customWidth="1" min="11777" max="11828"/>
    <col width="8.33203125" customWidth="1" min="11829" max="11829"/>
    <col width="10.44140625" customWidth="1" min="11830" max="11831"/>
    <col width="7.88671875" customWidth="1" min="11832" max="11833"/>
    <col width="10.44140625" customWidth="1" min="11834" max="11839"/>
    <col width="2.44140625" customWidth="1" min="11840" max="12004"/>
    <col width="2.44140625" customWidth="1" min="12033" max="12084"/>
    <col width="8.33203125" customWidth="1" min="12085" max="12085"/>
    <col width="10.44140625" customWidth="1" min="12086" max="12087"/>
    <col width="7.88671875" customWidth="1" min="12088" max="12089"/>
    <col width="10.44140625" customWidth="1" min="12090" max="12095"/>
    <col width="2.44140625" customWidth="1" min="12096" max="12260"/>
    <col width="2.44140625" customWidth="1" min="12289" max="12340"/>
    <col width="8.33203125" customWidth="1" min="12341" max="12341"/>
    <col width="10.44140625" customWidth="1" min="12342" max="12343"/>
    <col width="7.88671875" customWidth="1" min="12344" max="12345"/>
    <col width="10.44140625" customWidth="1" min="12346" max="12351"/>
    <col width="2.44140625" customWidth="1" min="12352" max="12516"/>
    <col width="2.44140625" customWidth="1" min="12545" max="12596"/>
    <col width="8.33203125" customWidth="1" min="12597" max="12597"/>
    <col width="10.44140625" customWidth="1" min="12598" max="12599"/>
    <col width="7.88671875" customWidth="1" min="12600" max="12601"/>
    <col width="10.44140625" customWidth="1" min="12602" max="12607"/>
    <col width="2.44140625" customWidth="1" min="12608" max="12772"/>
    <col width="2.44140625" customWidth="1" min="12801" max="12852"/>
    <col width="8.33203125" customWidth="1" min="12853" max="12853"/>
    <col width="10.44140625" customWidth="1" min="12854" max="12855"/>
    <col width="7.88671875" customWidth="1" min="12856" max="12857"/>
    <col width="10.44140625" customWidth="1" min="12858" max="12863"/>
    <col width="2.44140625" customWidth="1" min="12864" max="13028"/>
    <col width="2.44140625" customWidth="1" min="13057" max="13108"/>
    <col width="8.33203125" customWidth="1" min="13109" max="13109"/>
    <col width="10.44140625" customWidth="1" min="13110" max="13111"/>
    <col width="7.88671875" customWidth="1" min="13112" max="13113"/>
    <col width="10.44140625" customWidth="1" min="13114" max="13119"/>
    <col width="2.44140625" customWidth="1" min="13120" max="13284"/>
    <col width="2.44140625" customWidth="1" min="13313" max="13364"/>
    <col width="8.33203125" customWidth="1" min="13365" max="13365"/>
    <col width="10.44140625" customWidth="1" min="13366" max="13367"/>
    <col width="7.88671875" customWidth="1" min="13368" max="13369"/>
    <col width="10.44140625" customWidth="1" min="13370" max="13375"/>
    <col width="2.44140625" customWidth="1" min="13376" max="13540"/>
    <col width="2.44140625" customWidth="1" min="13569" max="13620"/>
    <col width="8.33203125" customWidth="1" min="13621" max="13621"/>
    <col width="10.44140625" customWidth="1" min="13622" max="13623"/>
    <col width="7.88671875" customWidth="1" min="13624" max="13625"/>
    <col width="10.44140625" customWidth="1" min="13626" max="13631"/>
    <col width="2.44140625" customWidth="1" min="13632" max="13796"/>
    <col width="2.44140625" customWidth="1" min="13825" max="13876"/>
    <col width="8.33203125" customWidth="1" min="13877" max="13877"/>
    <col width="10.44140625" customWidth="1" min="13878" max="13879"/>
    <col width="7.88671875" customWidth="1" min="13880" max="13881"/>
    <col width="10.44140625" customWidth="1" min="13882" max="13887"/>
    <col width="2.44140625" customWidth="1" min="13888" max="14052"/>
    <col width="2.44140625" customWidth="1" min="14081" max="14132"/>
    <col width="8.33203125" customWidth="1" min="14133" max="14133"/>
    <col width="10.44140625" customWidth="1" min="14134" max="14135"/>
    <col width="7.88671875" customWidth="1" min="14136" max="14137"/>
    <col width="10.44140625" customWidth="1" min="14138" max="14143"/>
    <col width="2.44140625" customWidth="1" min="14144" max="14308"/>
    <col width="2.44140625" customWidth="1" min="14337" max="14388"/>
    <col width="8.33203125" customWidth="1" min="14389" max="14389"/>
    <col width="10.44140625" customWidth="1" min="14390" max="14391"/>
    <col width="7.88671875" customWidth="1" min="14392" max="14393"/>
    <col width="10.44140625" customWidth="1" min="14394" max="14399"/>
    <col width="2.44140625" customWidth="1" min="14400" max="14564"/>
    <col width="2.44140625" customWidth="1" min="14593" max="14644"/>
    <col width="8.33203125" customWidth="1" min="14645" max="14645"/>
    <col width="10.44140625" customWidth="1" min="14646" max="14647"/>
    <col width="7.88671875" customWidth="1" min="14648" max="14649"/>
    <col width="10.44140625" customWidth="1" min="14650" max="14655"/>
    <col width="2.44140625" customWidth="1" min="14656" max="14820"/>
    <col width="2.44140625" customWidth="1" min="14849" max="14900"/>
    <col width="8.33203125" customWidth="1" min="14901" max="14901"/>
    <col width="10.44140625" customWidth="1" min="14902" max="14903"/>
    <col width="7.88671875" customWidth="1" min="14904" max="14905"/>
    <col width="10.44140625" customWidth="1" min="14906" max="14911"/>
    <col width="2.44140625" customWidth="1" min="14912" max="15076"/>
    <col width="2.44140625" customWidth="1" min="15105" max="15156"/>
    <col width="8.33203125" customWidth="1" min="15157" max="15157"/>
    <col width="10.44140625" customWidth="1" min="15158" max="15159"/>
    <col width="7.88671875" customWidth="1" min="15160" max="15161"/>
    <col width="10.44140625" customWidth="1" min="15162" max="15167"/>
    <col width="2.44140625" customWidth="1" min="15168" max="15332"/>
    <col width="2.44140625" customWidth="1" min="15361" max="15412"/>
    <col width="8.33203125" customWidth="1" min="15413" max="15413"/>
    <col width="10.44140625" customWidth="1" min="15414" max="15415"/>
    <col width="7.88671875" customWidth="1" min="15416" max="15417"/>
    <col width="10.44140625" customWidth="1" min="15418" max="15423"/>
    <col width="2.44140625" customWidth="1" min="15424" max="15588"/>
    <col width="2.44140625" customWidth="1" min="15617" max="15668"/>
    <col width="8.33203125" customWidth="1" min="15669" max="15669"/>
    <col width="10.44140625" customWidth="1" min="15670" max="15671"/>
    <col width="7.88671875" customWidth="1" min="15672" max="15673"/>
    <col width="10.44140625" customWidth="1" min="15674" max="15679"/>
    <col width="2.44140625" customWidth="1" min="15680" max="15844"/>
    <col width="2.44140625" customWidth="1" min="15873" max="15924"/>
    <col width="8.33203125" customWidth="1" min="15925" max="15925"/>
    <col width="10.44140625" customWidth="1" min="15926" max="15927"/>
    <col width="7.88671875" customWidth="1" min="15928" max="15929"/>
    <col width="10.44140625" customWidth="1" min="15930" max="15935"/>
    <col width="2.44140625" customWidth="1" min="15936" max="16100"/>
    <col width="2.44140625" customWidth="1" min="16129" max="16180"/>
    <col width="8.33203125" customWidth="1" min="16181" max="16181"/>
    <col width="10.44140625" customWidth="1" min="16182" max="16183"/>
    <col width="7.88671875" customWidth="1" min="16184" max="16185"/>
    <col width="10.44140625" customWidth="1" min="16186" max="16191"/>
    <col width="2.44140625" customWidth="1" min="16192" max="16356"/>
  </cols>
  <sheetData>
    <row r="1" ht="13.8" customHeight="1" thickBot="1">
      <c r="A1" s="288" t="n"/>
      <c r="Q1" s="289" t="inlineStr">
        <is>
          <t>INITIAL SURVEY</t>
        </is>
      </c>
      <c r="Y1" s="287" t="n"/>
      <c r="AB1" s="290">
        <f>General!X1</f>
        <v/>
      </c>
      <c r="AC1" s="1038" t="n"/>
      <c r="AD1" s="1038" t="n"/>
      <c r="AE1" s="1038" t="n"/>
      <c r="AF1" s="1038" t="n"/>
      <c r="AG1" s="1038" t="n"/>
      <c r="AH1" s="1038" t="n"/>
      <c r="AI1" s="1038" t="n"/>
      <c r="AJ1" s="1038" t="n"/>
      <c r="AK1" s="1038" t="n"/>
      <c r="AL1" s="1038" t="n"/>
      <c r="AM1" s="292" t="n"/>
      <c r="AQ1" s="175" t="n"/>
      <c r="AR1" s="175" t="n"/>
      <c r="AS1" s="175" t="n"/>
      <c r="AT1" s="175" t="n"/>
      <c r="AU1" s="175" t="n"/>
      <c r="AV1" s="175" t="n"/>
      <c r="AW1" s="175" t="n"/>
      <c r="AX1" s="175" t="n"/>
      <c r="BA1" s="87" t="n"/>
      <c r="BB1" s="87" t="n"/>
      <c r="BC1" s="87" t="n"/>
      <c r="BD1" s="87" t="n"/>
      <c r="BE1" s="87" t="n"/>
      <c r="BF1" s="87" t="n"/>
      <c r="BG1" s="87" t="n"/>
      <c r="BH1" s="87" t="n"/>
      <c r="BI1" s="87" t="n"/>
      <c r="BJ1" s="87" t="n"/>
      <c r="BK1" s="87" t="n"/>
    </row>
    <row r="2">
      <c r="Q2" s="282" t="inlineStr">
        <is>
          <t>DATE</t>
        </is>
      </c>
      <c r="T2" s="293" t="n"/>
      <c r="U2" s="1025" t="n"/>
      <c r="V2" s="1025" t="n"/>
      <c r="W2" s="1025" t="n"/>
      <c r="X2" s="1025" t="n"/>
      <c r="Y2" s="282" t="inlineStr">
        <is>
          <t>CARGO</t>
        </is>
      </c>
      <c r="AB2" s="295" t="n"/>
      <c r="AC2" s="1039" t="n"/>
      <c r="AD2" s="1039" t="n"/>
      <c r="AE2" s="1039" t="n"/>
      <c r="AF2" s="1039" t="n"/>
      <c r="AG2" s="1039" t="n"/>
      <c r="AH2" s="1039" t="n"/>
      <c r="AI2" s="1039" t="n"/>
      <c r="AJ2" s="1039" t="n"/>
      <c r="AK2" s="1039" t="n"/>
      <c r="AL2" s="1039" t="n"/>
      <c r="AM2" s="292" t="n"/>
      <c r="AP2" s="282" t="inlineStr">
        <is>
          <t>DATE</t>
        </is>
      </c>
      <c r="AS2" s="279" t="n"/>
      <c r="AT2" s="1025" t="n"/>
      <c r="AU2" s="1025" t="n"/>
      <c r="AV2" s="1025" t="n"/>
      <c r="AW2" s="1025" t="n"/>
      <c r="BA2" s="89" t="n"/>
      <c r="BB2" s="90" t="inlineStr">
        <is>
          <t>DISPL'S</t>
        </is>
      </c>
      <c r="BC2" s="90" t="inlineStr">
        <is>
          <t>LCF</t>
        </is>
      </c>
      <c r="BD2" s="91" t="inlineStr">
        <is>
          <t>MTC</t>
        </is>
      </c>
      <c r="BE2" s="92" t="inlineStr">
        <is>
          <t>APF</t>
        </is>
      </c>
      <c r="BF2" s="87" t="n"/>
      <c r="BG2" s="87" t="inlineStr">
        <is>
          <t>DRAFT</t>
        </is>
      </c>
      <c r="BH2" s="89" t="inlineStr">
        <is>
          <t>DISP</t>
        </is>
      </c>
      <c r="BI2" s="90" t="inlineStr">
        <is>
          <t>LCF</t>
        </is>
      </c>
      <c r="BJ2" s="90" t="inlineStr">
        <is>
          <t>MTC-</t>
        </is>
      </c>
      <c r="BK2" s="90" t="inlineStr">
        <is>
          <t>MTC+</t>
        </is>
      </c>
    </row>
    <row r="3">
      <c r="Q3" s="282" t="inlineStr">
        <is>
          <t>FROM</t>
        </is>
      </c>
      <c r="T3" s="283" t="n"/>
      <c r="U3" s="1020" t="n"/>
      <c r="V3" s="1020" t="n"/>
      <c r="W3" s="1020" t="n"/>
      <c r="X3" s="1020" t="n"/>
      <c r="Y3" s="282" t="inlineStr">
        <is>
          <t>FROM</t>
        </is>
      </c>
      <c r="AB3" s="305" t="n"/>
      <c r="AC3" s="1040" t="n"/>
      <c r="AD3" s="1040" t="n"/>
      <c r="AE3" s="1040" t="n"/>
      <c r="AF3" s="1040" t="n"/>
      <c r="AG3" s="1040" t="n"/>
      <c r="AH3" s="1040" t="n"/>
      <c r="AI3" s="286" t="inlineStr">
        <is>
          <t>LOADING</t>
        </is>
      </c>
      <c r="AN3" s="261" t="n"/>
      <c r="AO3" s="209" t="n"/>
      <c r="AP3" s="282" t="inlineStr">
        <is>
          <t>FROM</t>
        </is>
      </c>
      <c r="AS3" s="307" t="n"/>
      <c r="AT3" s="1020" t="n"/>
      <c r="AU3" s="1020" t="n"/>
      <c r="AV3" s="1020" t="n"/>
      <c r="AW3" s="1020" t="n"/>
      <c r="BA3" s="93" t="n">
        <v>1</v>
      </c>
      <c r="BB3" s="94" t="n">
        <v>4575.3</v>
      </c>
      <c r="BC3" s="94">
        <f>AL13/2-BF3</f>
        <v/>
      </c>
      <c r="BD3" s="95" t="n">
        <v>481</v>
      </c>
      <c r="BE3" s="96">
        <f>+BE4-(BE5-BE4)</f>
        <v/>
      </c>
      <c r="BF3" s="87" t="n">
        <v>106.813</v>
      </c>
      <c r="BG3" s="87">
        <f>INT(BG4-1)</f>
        <v/>
      </c>
      <c r="BH3" s="97">
        <f>VLOOKUP(BG3,TABLAS,2)</f>
        <v/>
      </c>
      <c r="BI3" s="87">
        <f>VLOOKUP(BG3,TABLAS,3)</f>
        <v/>
      </c>
      <c r="BJ3" s="98">
        <f>VLOOKUP(BG4-1.5,TABLAS,4)</f>
        <v/>
      </c>
      <c r="BK3" s="98">
        <f>VLOOKUP(BG4-1+0.5+0.5,TABLAS,4)</f>
        <v/>
      </c>
    </row>
    <row r="4">
      <c r="Q4" s="282" t="inlineStr">
        <is>
          <t>TO</t>
        </is>
      </c>
      <c r="T4" s="283" t="n"/>
      <c r="U4" s="1020" t="n"/>
      <c r="V4" s="1020" t="n"/>
      <c r="W4" s="1020" t="n"/>
      <c r="X4" s="1020" t="n"/>
      <c r="Y4" s="282" t="inlineStr">
        <is>
          <t>TO</t>
        </is>
      </c>
      <c r="AB4" s="285" t="n"/>
      <c r="AC4" s="1020" t="n"/>
      <c r="AD4" s="1020" t="n"/>
      <c r="AE4" s="1020" t="n"/>
      <c r="AF4" s="1020" t="n"/>
      <c r="AG4" s="1020" t="n"/>
      <c r="AH4" s="1020" t="n"/>
      <c r="AI4" s="286" t="inlineStr">
        <is>
          <t>UNLOADING</t>
        </is>
      </c>
      <c r="AN4" s="261" t="inlineStr">
        <is>
          <t>X</t>
        </is>
      </c>
      <c r="AO4" s="209" t="n"/>
      <c r="AP4" s="282" t="inlineStr">
        <is>
          <t>TO</t>
        </is>
      </c>
      <c r="AS4" s="307" t="n"/>
      <c r="AT4" s="1020" t="n"/>
      <c r="AU4" s="1020" t="n"/>
      <c r="AV4" s="1020" t="n"/>
      <c r="AW4" s="1020" t="n"/>
      <c r="BA4" s="93" t="n">
        <v>2</v>
      </c>
      <c r="BB4" s="94" t="n">
        <v>9536.200000000001</v>
      </c>
      <c r="BC4" s="94">
        <f>AL13/2-BF4</f>
        <v/>
      </c>
      <c r="BD4" s="95" t="n">
        <v>540.8</v>
      </c>
      <c r="BE4" s="96">
        <f>+BE5-(BE6-BE5)</f>
        <v/>
      </c>
      <c r="BF4" s="87" t="n">
        <v>106.355</v>
      </c>
      <c r="BG4" s="1041">
        <f>+R13</f>
        <v/>
      </c>
      <c r="BH4" s="97">
        <f>VLOOKUP(BG4,TABLAS,2)</f>
        <v/>
      </c>
      <c r="BI4" s="87">
        <f>VLOOKUP(BG4,TABLAS,3)</f>
        <v/>
      </c>
      <c r="BJ4" s="98">
        <f>VLOOKUP(BG4-0.5,TABLAS,4)</f>
        <v/>
      </c>
      <c r="BK4" s="98">
        <f>VLOOKUP(BG4+0.5,TABLAS,4)</f>
        <v/>
      </c>
    </row>
    <row r="5" ht="13.8" customHeight="1" thickBot="1">
      <c r="A5" s="197" t="n"/>
      <c r="B5" s="197" t="n"/>
      <c r="C5" s="197" t="n"/>
      <c r="D5" s="197" t="n"/>
      <c r="E5" s="197" t="n"/>
      <c r="F5" s="197" t="n"/>
      <c r="G5" s="197" t="n"/>
      <c r="H5" s="197" t="n"/>
      <c r="I5" s="197" t="n"/>
      <c r="J5" s="197" t="n"/>
      <c r="K5" s="197" t="n"/>
      <c r="L5" s="197" t="n"/>
      <c r="M5" s="197" t="n"/>
      <c r="N5" s="197" t="n"/>
      <c r="O5" s="197" t="n"/>
      <c r="P5" s="197" t="n"/>
      <c r="Q5" s="287" t="inlineStr">
        <is>
          <t>:</t>
        </is>
      </c>
      <c r="BA5" s="93" t="n">
        <v>3</v>
      </c>
      <c r="BB5" s="100" t="n">
        <v>14695.8</v>
      </c>
      <c r="BC5" s="94">
        <f>AL13/2-BF5</f>
        <v/>
      </c>
      <c r="BD5" s="101" t="n">
        <v>582.2</v>
      </c>
      <c r="BE5" s="102" t="n"/>
      <c r="BF5" s="87" t="n">
        <v>105.723</v>
      </c>
      <c r="BG5" s="87">
        <f>INT(1+BG4)</f>
        <v/>
      </c>
      <c r="BH5" s="103">
        <f>VLOOKUP(BG5,TABLAS,2)</f>
        <v/>
      </c>
      <c r="BI5" s="104">
        <f>VLOOKUP(BG5,TABLAS,3)</f>
        <v/>
      </c>
      <c r="BJ5" s="105">
        <f>VLOOKUP(BG4-0.5+1,TABLAS,4)</f>
        <v/>
      </c>
      <c r="BK5" s="105">
        <f>VLOOKUP(BG4+1.5,TABLAS,4)</f>
        <v/>
      </c>
    </row>
    <row r="6">
      <c r="A6" s="1042" t="inlineStr">
        <is>
          <t>I N I T I A L     D R A F T     S U R V E Y</t>
        </is>
      </c>
      <c r="B6" s="1043" t="n"/>
      <c r="C6" s="1043" t="n"/>
      <c r="D6" s="1043" t="n"/>
      <c r="E6" s="1043" t="n"/>
      <c r="F6" s="1043" t="n"/>
      <c r="G6" s="1043" t="n"/>
      <c r="H6" s="1043" t="n"/>
      <c r="I6" s="1043" t="n"/>
      <c r="J6" s="1043" t="n"/>
      <c r="K6" s="1043" t="n"/>
      <c r="L6" s="1043" t="n"/>
      <c r="M6" s="1043" t="n"/>
      <c r="N6" s="1043" t="n"/>
      <c r="O6" s="1043" t="n"/>
      <c r="P6" s="1043" t="n"/>
      <c r="Q6" s="1043" t="n"/>
      <c r="R6" s="1043" t="n"/>
      <c r="S6" s="1043" t="n"/>
      <c r="T6" s="1043" t="n"/>
      <c r="U6" s="1043" t="n"/>
      <c r="V6" s="1043" t="n"/>
      <c r="W6" s="1043" t="n"/>
      <c r="X6" s="1044" t="n"/>
      <c r="Z6" s="1042" t="inlineStr">
        <is>
          <t>F I N A L     D R A F T     S U R V E Y</t>
        </is>
      </c>
      <c r="AA6" s="1043" t="n"/>
      <c r="AB6" s="1043" t="n"/>
      <c r="AC6" s="1043" t="n"/>
      <c r="AD6" s="1043" t="n"/>
      <c r="AE6" s="1043" t="n"/>
      <c r="AF6" s="1043" t="n"/>
      <c r="AG6" s="1043" t="n"/>
      <c r="AH6" s="1043" t="n"/>
      <c r="AI6" s="1043" t="n"/>
      <c r="AJ6" s="1043" t="n"/>
      <c r="AK6" s="1043" t="n"/>
      <c r="AL6" s="1043" t="n"/>
      <c r="AM6" s="1043" t="n"/>
      <c r="AN6" s="1043" t="n"/>
      <c r="AO6" s="1043" t="n"/>
      <c r="AP6" s="1043" t="n"/>
      <c r="AQ6" s="1043" t="n"/>
      <c r="AR6" s="1043" t="n"/>
      <c r="AS6" s="1043" t="n"/>
      <c r="AT6" s="1043" t="n"/>
      <c r="AU6" s="1043" t="n"/>
      <c r="AV6" s="1043" t="n"/>
      <c r="AW6" s="1044" t="n"/>
      <c r="BA6" s="93" t="n">
        <v>4</v>
      </c>
      <c r="BB6" s="100" t="n">
        <v>19987.8</v>
      </c>
      <c r="BC6" s="94">
        <f>AL13/2-BF6</f>
        <v/>
      </c>
      <c r="BD6" s="101" t="n">
        <v>613</v>
      </c>
      <c r="BE6" s="102" t="n"/>
      <c r="BF6" s="87" t="n">
        <v>105.041</v>
      </c>
      <c r="BG6" s="87" t="n"/>
      <c r="BH6" s="87" t="n"/>
      <c r="BI6" s="87" t="n"/>
      <c r="BJ6" s="87" t="n"/>
      <c r="BK6" s="87" t="n"/>
    </row>
    <row r="7" ht="13.8" customHeight="1" thickBot="1">
      <c r="A7" s="308" t="inlineStr">
        <is>
          <t>PORT</t>
        </is>
      </c>
      <c r="B7" s="197" t="n"/>
      <c r="C7" s="197" t="n"/>
      <c r="D7" s="197" t="n"/>
      <c r="E7" s="106" t="n"/>
      <c r="F7" s="280" t="inlineStr">
        <is>
          <t>STB</t>
        </is>
      </c>
      <c r="G7" s="197" t="n"/>
      <c r="H7" s="197" t="n"/>
      <c r="I7" s="197" t="n"/>
      <c r="J7" s="280" t="inlineStr">
        <is>
          <t>MEAN</t>
        </is>
      </c>
      <c r="K7" s="197" t="n"/>
      <c r="L7" s="197" t="n"/>
      <c r="M7" s="197" t="n"/>
      <c r="N7" s="280" t="inlineStr">
        <is>
          <t>Crrn.</t>
        </is>
      </c>
      <c r="O7" s="197" t="n"/>
      <c r="P7" s="197" t="n"/>
      <c r="Q7" s="197" t="n"/>
      <c r="R7" s="280" t="inlineStr">
        <is>
          <t>TRUE</t>
        </is>
      </c>
      <c r="S7" s="197" t="n"/>
      <c r="T7" s="197" t="n"/>
      <c r="U7" s="197" t="n"/>
      <c r="V7" s="281" t="inlineStr">
        <is>
          <t>Marks</t>
        </is>
      </c>
      <c r="W7" s="197" t="n"/>
      <c r="X7" s="1045" t="n"/>
      <c r="Y7" s="25" t="n"/>
      <c r="Z7" s="308" t="inlineStr">
        <is>
          <t>PORT</t>
        </is>
      </c>
      <c r="AA7" s="197" t="n"/>
      <c r="AB7" s="197" t="n"/>
      <c r="AC7" s="197" t="n"/>
      <c r="AD7" s="106" t="n"/>
      <c r="AE7" s="280" t="inlineStr">
        <is>
          <t>STB</t>
        </is>
      </c>
      <c r="AF7" s="197" t="n"/>
      <c r="AG7" s="197" t="n"/>
      <c r="AH7" s="197" t="n"/>
      <c r="AI7" s="280" t="inlineStr">
        <is>
          <t>MEAN</t>
        </is>
      </c>
      <c r="AJ7" s="197" t="n"/>
      <c r="AK7" s="197" t="n"/>
      <c r="AL7" s="197" t="n"/>
      <c r="AM7" s="280" t="inlineStr">
        <is>
          <t>Crrn.</t>
        </is>
      </c>
      <c r="AN7" s="197" t="n"/>
      <c r="AO7" s="197" t="n"/>
      <c r="AP7" s="197" t="n"/>
      <c r="AQ7" s="280" t="inlineStr">
        <is>
          <t>TRUE</t>
        </is>
      </c>
      <c r="AR7" s="197" t="n"/>
      <c r="AS7" s="197" t="n"/>
      <c r="AT7" s="197" t="n"/>
      <c r="AU7" s="281" t="inlineStr">
        <is>
          <t>Marks</t>
        </is>
      </c>
      <c r="AV7" s="197" t="n"/>
      <c r="AW7" s="1045" t="n"/>
      <c r="BA7" s="93" t="n">
        <v>5</v>
      </c>
      <c r="BB7" s="94" t="n">
        <v>25386.3</v>
      </c>
      <c r="BC7" s="94">
        <f>AL13/2-BF7</f>
        <v/>
      </c>
      <c r="BD7" s="95" t="n">
        <v>645.6</v>
      </c>
      <c r="BE7" s="96">
        <f>+BE6-BE5+BE6</f>
        <v/>
      </c>
      <c r="BF7" s="87" t="n">
        <v>103.992</v>
      </c>
      <c r="BG7" s="87" t="inlineStr">
        <is>
          <t>DRAFT</t>
        </is>
      </c>
      <c r="BH7" s="89" t="inlineStr">
        <is>
          <t>DISP</t>
        </is>
      </c>
      <c r="BI7" s="90" t="inlineStr">
        <is>
          <t>LCF</t>
        </is>
      </c>
      <c r="BJ7" s="90" t="inlineStr">
        <is>
          <t>MTC-</t>
        </is>
      </c>
      <c r="BK7" s="90" t="inlineStr">
        <is>
          <t>MTC+</t>
        </is>
      </c>
    </row>
    <row r="8" ht="13.8" customHeight="1" thickBot="1">
      <c r="A8" s="1046" t="n"/>
      <c r="B8" s="1047" t="n"/>
      <c r="C8" s="1047" t="n"/>
      <c r="D8" s="1048" t="n"/>
      <c r="E8" s="1048" t="n"/>
      <c r="F8" s="1047" t="n"/>
      <c r="G8" s="1047" t="n"/>
      <c r="H8" s="1047" t="n"/>
      <c r="I8" s="1047" t="n"/>
      <c r="J8" s="1049">
        <f>(A8+E8)/2</f>
        <v/>
      </c>
      <c r="K8" s="1050" t="n"/>
      <c r="L8" s="1050" t="n"/>
      <c r="M8" s="1051" t="n"/>
      <c r="N8" s="1052">
        <f>IF(A8=0,0,(+A13*-V8/(M13-V8-V10)))</f>
        <v/>
      </c>
      <c r="O8" s="1050" t="n"/>
      <c r="P8" s="1050" t="n"/>
      <c r="Q8" s="1051" t="n"/>
      <c r="R8" s="1053">
        <f>+J8+N8</f>
        <v/>
      </c>
      <c r="S8" s="1050" t="n"/>
      <c r="T8" s="1050" t="n"/>
      <c r="U8" s="1054" t="n"/>
      <c r="V8" s="1055" t="n"/>
      <c r="W8" s="1047" t="n"/>
      <c r="X8" s="1056" t="n"/>
      <c r="Z8" s="1057" t="n"/>
      <c r="AA8" s="1047" t="n"/>
      <c r="AB8" s="1047" t="n"/>
      <c r="AC8" s="1047" t="n"/>
      <c r="AD8" s="1058" t="n"/>
      <c r="AE8" s="1047" t="n"/>
      <c r="AF8" s="1047" t="n"/>
      <c r="AG8" s="1047" t="n"/>
      <c r="AH8" s="1056" t="n"/>
      <c r="AI8" s="1049">
        <f>(Z8+AD8)/2</f>
        <v/>
      </c>
      <c r="AJ8" s="1050" t="n"/>
      <c r="AK8" s="1050" t="n"/>
      <c r="AL8" s="1051" t="n"/>
      <c r="AM8" s="1052">
        <f>IF(Z8=0,0,(+Z13*-AU8/(AL13-AU8-AU10)))</f>
        <v/>
      </c>
      <c r="AN8" s="1050" t="n"/>
      <c r="AO8" s="1050" t="n"/>
      <c r="AP8" s="1051" t="n"/>
      <c r="AQ8" s="1053">
        <f>+AI8+AM8</f>
        <v/>
      </c>
      <c r="AR8" s="1050" t="n"/>
      <c r="AS8" s="1050" t="n"/>
      <c r="AT8" s="1054" t="n"/>
      <c r="AU8" s="1059">
        <f>V8</f>
        <v/>
      </c>
      <c r="AV8" s="1047" t="n"/>
      <c r="AW8" s="1056" t="n"/>
      <c r="AY8" t="inlineStr">
        <is>
          <t>GG</t>
        </is>
      </c>
      <c r="BA8" s="93" t="n">
        <v>6</v>
      </c>
      <c r="BB8" s="94" t="n">
        <v>30889.1</v>
      </c>
      <c r="BC8" s="94">
        <f>AL13/2-BF8</f>
        <v/>
      </c>
      <c r="BD8" s="95" t="n">
        <v>678.4</v>
      </c>
      <c r="BE8" s="96">
        <f>+BE7-BE6+BE7</f>
        <v/>
      </c>
      <c r="BF8" s="87" t="n">
        <v>102.753</v>
      </c>
      <c r="BG8" s="87">
        <f>INT(BG9-1)</f>
        <v/>
      </c>
      <c r="BH8" s="97">
        <f>VLOOKUP(BG8,TABLAS,2)</f>
        <v/>
      </c>
      <c r="BI8" s="87">
        <f>VLOOKUP(BG8,TABLAS,3)</f>
        <v/>
      </c>
      <c r="BJ8" s="98">
        <f>VLOOKUP(BG9-1.5,TABLAS,4)</f>
        <v/>
      </c>
      <c r="BK8" s="98">
        <f>VLOOKUP(BG9-1+0.5+0.5,TABLAS,4)</f>
        <v/>
      </c>
    </row>
    <row r="9" ht="13.8" customHeight="1" thickBot="1">
      <c r="A9" s="1060" t="n"/>
      <c r="B9" s="1020" t="n"/>
      <c r="C9" s="1020" t="n"/>
      <c r="D9" s="1061" t="n"/>
      <c r="E9" s="1061" t="n"/>
      <c r="F9" s="1020" t="n"/>
      <c r="G9" s="1020" t="n"/>
      <c r="H9" s="1020" t="n"/>
      <c r="I9" s="1020" t="n"/>
      <c r="J9" s="1049">
        <f>(A9+E9)/2</f>
        <v/>
      </c>
      <c r="K9" s="1050" t="n"/>
      <c r="L9" s="1050" t="n"/>
      <c r="M9" s="1051" t="n"/>
      <c r="N9" s="1062">
        <f>IF(A8=0,0,(+A13*-V9/(M13-V8-V10)))</f>
        <v/>
      </c>
      <c r="O9" s="203" t="n"/>
      <c r="P9" s="203" t="n"/>
      <c r="Q9" s="1003" t="n"/>
      <c r="R9" s="1063">
        <f>+J9+N9</f>
        <v/>
      </c>
      <c r="S9" s="203" t="n"/>
      <c r="T9" s="203" t="n"/>
      <c r="U9" s="1064" t="n"/>
      <c r="V9" s="1065" t="n"/>
      <c r="W9" s="1020" t="n"/>
      <c r="X9" s="1066" t="n"/>
      <c r="Z9" s="1067" t="n"/>
      <c r="AA9" s="1020" t="n"/>
      <c r="AB9" s="1020" t="n"/>
      <c r="AC9" s="1020" t="n"/>
      <c r="AD9" s="1068" t="n"/>
      <c r="AE9" s="1020" t="n"/>
      <c r="AF9" s="1020" t="n"/>
      <c r="AG9" s="1020" t="n"/>
      <c r="AH9" s="1066" t="n"/>
      <c r="AI9" s="1069">
        <f>(Z9+AD9)/2</f>
        <v/>
      </c>
      <c r="AJ9" s="203" t="n"/>
      <c r="AK9" s="203" t="n"/>
      <c r="AL9" s="1003" t="n"/>
      <c r="AM9" s="1062">
        <f>IF(Z8=0,0,(+Z13*-AU9/(AL13-AU8-AU10)))</f>
        <v/>
      </c>
      <c r="AN9" s="203" t="n"/>
      <c r="AO9" s="203" t="n"/>
      <c r="AP9" s="1003" t="n"/>
      <c r="AQ9" s="1063">
        <f>+AI9+AM9</f>
        <v/>
      </c>
      <c r="AR9" s="203" t="n"/>
      <c r="AS9" s="203" t="n"/>
      <c r="AT9" s="1064" t="n"/>
      <c r="AU9" s="1070">
        <f>V9</f>
        <v/>
      </c>
      <c r="AV9" s="1020" t="n"/>
      <c r="AW9" s="1066" t="n"/>
      <c r="BA9" s="93" t="n">
        <v>7</v>
      </c>
      <c r="BB9" s="94" t="n">
        <v>36483.7</v>
      </c>
      <c r="BC9" s="94">
        <f>AL13/2-BF9</f>
        <v/>
      </c>
      <c r="BD9" s="95" t="n">
        <v>713</v>
      </c>
      <c r="BE9" s="96">
        <f>+BE8-BE7+BE8</f>
        <v/>
      </c>
      <c r="BF9" s="87" t="n">
        <v>101.278</v>
      </c>
      <c r="BG9" s="1041">
        <f>+AQ13</f>
        <v/>
      </c>
      <c r="BH9" s="97">
        <f>VLOOKUP(BG9,TABLAS,2)</f>
        <v/>
      </c>
      <c r="BI9" s="87">
        <f>VLOOKUP(BG9,TABLAS,3)</f>
        <v/>
      </c>
      <c r="BJ9" s="98">
        <f>VLOOKUP(BG9-0.5,TABLAS,4)</f>
        <v/>
      </c>
      <c r="BK9" s="98">
        <f>VLOOKUP(BG9+0.5,TABLAS,4)</f>
        <v/>
      </c>
    </row>
    <row r="10" ht="13.8" customHeight="1" thickBot="1">
      <c r="A10" s="1071" t="n"/>
      <c r="B10" s="1072" t="n"/>
      <c r="C10" s="1072" t="n"/>
      <c r="D10" s="1073" t="n"/>
      <c r="E10" s="1073" t="n"/>
      <c r="F10" s="1072" t="n"/>
      <c r="G10" s="1072" t="n"/>
      <c r="H10" s="1072" t="n"/>
      <c r="I10" s="1072" t="n"/>
      <c r="J10" s="1049">
        <f>(A10+E10)/2</f>
        <v/>
      </c>
      <c r="K10" s="1050" t="n"/>
      <c r="L10" s="1050" t="n"/>
      <c r="M10" s="1051" t="n"/>
      <c r="N10" s="1074">
        <f>IF(A8=0,0,(+A13*V10/(M13-V8-V10)))</f>
        <v/>
      </c>
      <c r="O10" s="1075" t="n"/>
      <c r="P10" s="1075" t="n"/>
      <c r="Q10" s="1076" t="n"/>
      <c r="R10" s="1077">
        <f>+J10+N10</f>
        <v/>
      </c>
      <c r="S10" s="1075" t="n"/>
      <c r="T10" s="1075" t="n"/>
      <c r="U10" s="1078" t="n"/>
      <c r="V10" s="1079" t="n"/>
      <c r="W10" s="1072" t="n"/>
      <c r="X10" s="1080" t="n"/>
      <c r="Z10" s="1081" t="n"/>
      <c r="AA10" s="1072" t="n"/>
      <c r="AB10" s="1072" t="n"/>
      <c r="AC10" s="1072" t="n"/>
      <c r="AD10" s="1082" t="n"/>
      <c r="AE10" s="1072" t="n"/>
      <c r="AF10" s="1072" t="n"/>
      <c r="AG10" s="1072" t="n"/>
      <c r="AH10" s="1080" t="n"/>
      <c r="AI10" s="1083">
        <f>(Z10+AD10)/2</f>
        <v/>
      </c>
      <c r="AJ10" s="1075" t="n"/>
      <c r="AK10" s="1075" t="n"/>
      <c r="AL10" s="1076" t="n"/>
      <c r="AM10" s="1074">
        <f>IF(Z8=0,0,(+Z13*AU10/(AL13-AU8-AU10)))</f>
        <v/>
      </c>
      <c r="AN10" s="1075" t="n"/>
      <c r="AO10" s="1075" t="n"/>
      <c r="AP10" s="1076" t="n"/>
      <c r="AQ10" s="1077">
        <f>+AI10+AM10</f>
        <v/>
      </c>
      <c r="AR10" s="1075" t="n"/>
      <c r="AS10" s="1075" t="n"/>
      <c r="AT10" s="1078" t="n"/>
      <c r="AU10" s="1070">
        <f>V10</f>
        <v/>
      </c>
      <c r="AV10" s="1020" t="n"/>
      <c r="AW10" s="1066" t="n"/>
      <c r="BA10" s="93" t="n">
        <v>8</v>
      </c>
      <c r="BB10" s="94" t="n">
        <v>42178.3</v>
      </c>
      <c r="BC10" s="94">
        <f>AL13/2-BF10</f>
        <v/>
      </c>
      <c r="BD10" s="95" t="n">
        <v>753</v>
      </c>
      <c r="BE10" s="96">
        <f>+BE9-BE8+BE9</f>
        <v/>
      </c>
      <c r="BF10" s="87" t="n">
        <v>99.57299999999999</v>
      </c>
      <c r="BG10" s="87">
        <f>INT(1+BG9)</f>
        <v/>
      </c>
      <c r="BH10" s="103">
        <f>VLOOKUP(BG10,TABLAS,2)</f>
        <v/>
      </c>
      <c r="BI10" s="104">
        <f>VLOOKUP(BG10,TABLAS,3)</f>
        <v/>
      </c>
      <c r="BJ10" s="105">
        <f>VLOOKUP(BG9-0.5+1,TABLAS,4)</f>
        <v/>
      </c>
      <c r="BK10" s="105">
        <f>VLOOKUP(BG9+1.5,TABLAS,4)</f>
        <v/>
      </c>
    </row>
    <row r="11" ht="13.8" customHeight="1" thickBot="1">
      <c r="A11" s="1084" t="n"/>
      <c r="BA11" s="93" t="n">
        <v>9</v>
      </c>
      <c r="BB11" s="94" t="n">
        <v>47982.5</v>
      </c>
      <c r="BC11" s="94">
        <f>AL13/2-BF11</f>
        <v/>
      </c>
      <c r="BD11" s="95" t="n">
        <v>798.4</v>
      </c>
      <c r="BE11" s="96">
        <f>+BE10-BE9+BE10</f>
        <v/>
      </c>
      <c r="BF11" s="87" t="n">
        <v>97.70399999999999</v>
      </c>
      <c r="BG11" s="87" t="n"/>
      <c r="BH11" s="87" t="n"/>
      <c r="BI11" s="87" t="n"/>
      <c r="BJ11" s="87" t="n"/>
      <c r="BK11" s="87" t="n"/>
    </row>
    <row r="12">
      <c r="A12" s="1085" t="inlineStr">
        <is>
          <t>A.Trim</t>
        </is>
      </c>
      <c r="B12" s="1043" t="n"/>
      <c r="C12" s="1043" t="n"/>
      <c r="D12" s="1044" t="n"/>
      <c r="E12" s="1085" t="inlineStr">
        <is>
          <t xml:space="preserve">T.Trim </t>
        </is>
      </c>
      <c r="F12" s="1043" t="n"/>
      <c r="G12" s="1043" t="n"/>
      <c r="H12" s="1044" t="n"/>
      <c r="I12" s="1086" t="inlineStr">
        <is>
          <t>S.G.</t>
        </is>
      </c>
      <c r="J12" s="1043" t="n"/>
      <c r="K12" s="1043" t="n"/>
      <c r="L12" s="1044" t="n"/>
      <c r="M12" s="1086" t="inlineStr">
        <is>
          <t>LPP</t>
        </is>
      </c>
      <c r="N12" s="1043" t="n"/>
      <c r="O12" s="1043" t="n"/>
      <c r="P12" s="1044" t="n"/>
      <c r="Q12" s="425" t="n"/>
      <c r="R12" s="1086" t="inlineStr">
        <is>
          <t>MMM</t>
        </is>
      </c>
      <c r="S12" s="1043" t="n"/>
      <c r="T12" s="1043" t="n"/>
      <c r="U12" s="1043" t="n"/>
      <c r="V12" s="1043" t="n"/>
      <c r="W12" s="1043" t="n"/>
      <c r="X12" s="1044" t="n"/>
      <c r="Y12" s="25" t="n"/>
      <c r="Z12" s="1085" t="inlineStr">
        <is>
          <t>A.Trim</t>
        </is>
      </c>
      <c r="AA12" s="1043" t="n"/>
      <c r="AB12" s="1043" t="n"/>
      <c r="AC12" s="1044" t="n"/>
      <c r="AD12" s="1085" t="inlineStr">
        <is>
          <t xml:space="preserve">T.Trim </t>
        </is>
      </c>
      <c r="AE12" s="1043" t="n"/>
      <c r="AF12" s="1043" t="n"/>
      <c r="AG12" s="1044" t="n"/>
      <c r="AH12" s="1086" t="inlineStr">
        <is>
          <t>S.G.</t>
        </is>
      </c>
      <c r="AI12" s="1043" t="n"/>
      <c r="AJ12" s="1043" t="n"/>
      <c r="AK12" s="1044" t="n"/>
      <c r="AL12" s="1086" t="inlineStr">
        <is>
          <t>LPP</t>
        </is>
      </c>
      <c r="AM12" s="1043" t="n"/>
      <c r="AN12" s="1043" t="n"/>
      <c r="AO12" s="1044" t="n"/>
      <c r="AP12" s="425" t="n"/>
      <c r="AQ12" s="1086" t="inlineStr">
        <is>
          <t>MMM</t>
        </is>
      </c>
      <c r="AR12" s="1043" t="n"/>
      <c r="AS12" s="1043" t="n"/>
      <c r="AT12" s="1043" t="n"/>
      <c r="AU12" s="1043" t="n"/>
      <c r="AV12" s="1043" t="n"/>
      <c r="AW12" s="1044" t="n"/>
      <c r="BA12" s="93" t="n">
        <v>10</v>
      </c>
      <c r="BB12" s="94" t="n">
        <v>53901.1</v>
      </c>
      <c r="BC12" s="94">
        <f>AL13/2-BF12</f>
        <v/>
      </c>
      <c r="BD12" s="95" t="n">
        <v>848.2</v>
      </c>
      <c r="BE12" s="96">
        <f>+BE11-BE10+BE11</f>
        <v/>
      </c>
      <c r="BF12" s="87" t="n">
        <v>95.765</v>
      </c>
      <c r="BG12" s="107" t="inlineStr">
        <is>
          <t>DISP</t>
        </is>
      </c>
      <c r="BH12" s="108" t="inlineStr">
        <is>
          <t>TPC</t>
        </is>
      </c>
      <c r="BI12" s="109" t="inlineStr">
        <is>
          <t>LCF</t>
        </is>
      </c>
      <c r="BJ12" s="110" t="inlineStr">
        <is>
          <t>MTC+50</t>
        </is>
      </c>
      <c r="BK12" s="111" t="inlineStr">
        <is>
          <t>MTC-50</t>
        </is>
      </c>
      <c r="DO12" s="287" t="n"/>
      <c r="DP12" s="287" t="n"/>
      <c r="DQ12" s="287" t="n"/>
      <c r="DR12" s="287" t="n"/>
    </row>
    <row r="13" ht="13.8" customHeight="1" thickBot="1">
      <c r="A13" s="1087">
        <f>+J10-J8</f>
        <v/>
      </c>
      <c r="B13" s="197" t="n"/>
      <c r="C13" s="197" t="n"/>
      <c r="D13" s="1045" t="n"/>
      <c r="E13" s="1088">
        <f>+R10-R8</f>
        <v/>
      </c>
      <c r="F13" s="197" t="n"/>
      <c r="G13" s="197" t="n"/>
      <c r="H13" s="1045" t="n"/>
      <c r="I13" s="1089" t="n"/>
      <c r="J13" s="1038" t="n"/>
      <c r="K13" s="1038" t="n"/>
      <c r="L13" s="1090" t="n"/>
      <c r="M13" s="1091" t="n"/>
      <c r="N13" s="1038" t="n"/>
      <c r="O13" s="1038" t="n"/>
      <c r="P13" s="1090" t="n"/>
      <c r="Q13" s="112" t="n"/>
      <c r="R13" s="1092">
        <f>(6*R9+R8+R10)/8</f>
        <v/>
      </c>
      <c r="S13" s="197" t="n"/>
      <c r="T13" s="197" t="n"/>
      <c r="U13" s="197" t="n"/>
      <c r="V13" s="197" t="n"/>
      <c r="W13" s="197" t="n"/>
      <c r="X13" s="1045" t="n"/>
      <c r="Y13" s="113" t="n"/>
      <c r="Z13" s="1087">
        <f>+AI10-AI8</f>
        <v/>
      </c>
      <c r="AA13" s="197" t="n"/>
      <c r="AB13" s="197" t="n"/>
      <c r="AC13" s="1045" t="n"/>
      <c r="AD13" s="1088">
        <f>+AQ10-AQ8</f>
        <v/>
      </c>
      <c r="AE13" s="197" t="n"/>
      <c r="AF13" s="197" t="n"/>
      <c r="AG13" s="1045" t="n"/>
      <c r="AH13" s="1089" t="n"/>
      <c r="AI13" s="1038" t="n"/>
      <c r="AJ13" s="1038" t="n"/>
      <c r="AK13" s="1090" t="n"/>
      <c r="AL13" s="1093">
        <f>+M13</f>
        <v/>
      </c>
      <c r="AM13" s="1038" t="n"/>
      <c r="AN13" s="1038" t="n"/>
      <c r="AO13" s="1090" t="n"/>
      <c r="AP13" s="254" t="n"/>
      <c r="AQ13" s="1092">
        <f>(6*AQ9+AQ8+AQ10)/8</f>
        <v/>
      </c>
      <c r="AR13" s="197" t="n"/>
      <c r="AS13" s="197" t="n"/>
      <c r="AT13" s="197" t="n"/>
      <c r="AU13" s="197" t="n"/>
      <c r="AV13" s="197" t="n"/>
      <c r="AW13" s="1045" t="n"/>
      <c r="BA13" s="93" t="n">
        <v>11</v>
      </c>
      <c r="BB13" s="94" t="n">
        <v>59939.7</v>
      </c>
      <c r="BC13" s="94">
        <f>AL13/2-BF13</f>
        <v/>
      </c>
      <c r="BD13" s="95" t="n">
        <v>891.5</v>
      </c>
      <c r="BE13" s="96">
        <f>+BE12-BE11+BE12</f>
        <v/>
      </c>
      <c r="BF13" s="87" t="n">
        <v>94.16500000000001</v>
      </c>
      <c r="BG13" s="1094">
        <f>(BH5-BH4*2+BH3)*BG15/3</f>
        <v/>
      </c>
      <c r="BH13" s="1095">
        <f>(BH5-BH4*2+BH3)*BH15/3</f>
        <v/>
      </c>
      <c r="BI13" s="1096">
        <f>(BI5-BI4*2+BI3)*BI15/3</f>
        <v/>
      </c>
      <c r="BJ13" s="1095">
        <f>(BK5-BK4*2+BK3)*BJ15/3</f>
        <v/>
      </c>
      <c r="BK13" s="1096">
        <f>(BJ5-BJ4*2+BJ3)*BK15/3</f>
        <v/>
      </c>
      <c r="DO13" s="944" t="n"/>
      <c r="DP13" s="944" t="n"/>
      <c r="DQ13" s="944" t="n"/>
      <c r="DR13" s="944" t="n"/>
    </row>
    <row r="14" ht="13.8" customHeight="1" thickBot="1">
      <c r="A14" s="287" t="n"/>
      <c r="BA14" s="93" t="n">
        <v>12</v>
      </c>
      <c r="BB14" s="94" t="n">
        <v>66047</v>
      </c>
      <c r="BC14" s="94">
        <f>AL13/2-BF14</f>
        <v/>
      </c>
      <c r="BD14" s="95" t="n">
        <v>909.1</v>
      </c>
      <c r="BE14" s="96">
        <f>+BE13-BE12+BE13</f>
        <v/>
      </c>
      <c r="BF14" s="87" t="n">
        <v>93.55200000000001</v>
      </c>
      <c r="BG14" s="1094">
        <f>+BG4-INT(BG4)</f>
        <v/>
      </c>
      <c r="BH14" s="1095">
        <f>+BG4+0.01-INT(BG4)</f>
        <v/>
      </c>
      <c r="BI14" s="1096">
        <f>+BG4-INT(BG4)</f>
        <v/>
      </c>
      <c r="BJ14" s="1095">
        <f>+BG4+0.5-INT(BG4+0.5)</f>
        <v/>
      </c>
      <c r="BK14" s="1096">
        <f>+BG4-0.5-INT(BG4-0.5)</f>
        <v/>
      </c>
    </row>
    <row r="15">
      <c r="A15" s="1097" t="inlineStr">
        <is>
          <t>LCF</t>
        </is>
      </c>
      <c r="B15" s="1043" t="n"/>
      <c r="C15" s="1043" t="n"/>
      <c r="D15" s="1098" t="n"/>
      <c r="E15" s="1099" t="inlineStr">
        <is>
          <t>TPC</t>
        </is>
      </c>
      <c r="F15" s="1043" t="n"/>
      <c r="G15" s="1043" t="n"/>
      <c r="H15" s="1098" t="n"/>
      <c r="I15" s="1099" t="inlineStr">
        <is>
          <t>MTC+50</t>
        </is>
      </c>
      <c r="J15" s="1043" t="n"/>
      <c r="K15" s="1043" t="n"/>
      <c r="L15" s="1098" t="n"/>
      <c r="M15" s="1099" t="inlineStr">
        <is>
          <t>MTC-50</t>
        </is>
      </c>
      <c r="N15" s="1043" t="n"/>
      <c r="O15" s="1043" t="n"/>
      <c r="P15" s="1098" t="n"/>
      <c r="Q15" s="1099" t="inlineStr">
        <is>
          <t>TPC - P</t>
        </is>
      </c>
      <c r="R15" s="1043" t="n"/>
      <c r="S15" s="1043" t="n"/>
      <c r="T15" s="1098" t="n"/>
      <c r="U15" s="1100" t="inlineStr">
        <is>
          <t>TPC - S</t>
        </is>
      </c>
      <c r="V15" s="1043" t="n"/>
      <c r="W15" s="1043" t="n"/>
      <c r="X15" s="1044" t="n"/>
      <c r="Y15" s="25" t="n"/>
      <c r="Z15" s="1097" t="inlineStr">
        <is>
          <t>LCF</t>
        </is>
      </c>
      <c r="AA15" s="1043" t="n"/>
      <c r="AB15" s="1043" t="n"/>
      <c r="AC15" s="1098" t="n"/>
      <c r="AD15" s="1099" t="inlineStr">
        <is>
          <t>TPC</t>
        </is>
      </c>
      <c r="AE15" s="1043" t="n"/>
      <c r="AF15" s="1043" t="n"/>
      <c r="AG15" s="1098" t="n"/>
      <c r="AH15" s="1099" t="inlineStr">
        <is>
          <t>MTC+50</t>
        </is>
      </c>
      <c r="AI15" s="1043" t="n"/>
      <c r="AJ15" s="1043" t="n"/>
      <c r="AK15" s="1098" t="n"/>
      <c r="AL15" s="1099" t="inlineStr">
        <is>
          <t>MTC-50</t>
        </is>
      </c>
      <c r="AM15" s="1043" t="n"/>
      <c r="AN15" s="1043" t="n"/>
      <c r="AO15" s="1098" t="n"/>
      <c r="AP15" s="1099" t="inlineStr">
        <is>
          <t>TPC - P</t>
        </is>
      </c>
      <c r="AQ15" s="1043" t="n"/>
      <c r="AR15" s="1043" t="n"/>
      <c r="AS15" s="1098" t="n"/>
      <c r="AT15" s="1100" t="inlineStr">
        <is>
          <t>TPC - S</t>
        </is>
      </c>
      <c r="AU15" s="1043" t="n"/>
      <c r="AV15" s="1043" t="n"/>
      <c r="AW15" s="1044" t="n"/>
      <c r="BA15" s="93" t="n">
        <v>13</v>
      </c>
      <c r="BB15" s="94" t="n">
        <v>72190.39999999999</v>
      </c>
      <c r="BC15" s="94">
        <f>AL13/2-BF15</f>
        <v/>
      </c>
      <c r="BD15" s="95" t="n">
        <v>920.1</v>
      </c>
      <c r="BE15" s="96">
        <f>+BE14-BE13+BE14</f>
        <v/>
      </c>
      <c r="BF15" s="87" t="n">
        <v>93.30500000000001</v>
      </c>
      <c r="BG15" s="117">
        <f>IF(BG14&gt;0.5,1-BG14,BG14)</f>
        <v/>
      </c>
      <c r="BH15" s="118">
        <f>IF(BH14&gt;0.5,1-BH14,BH14)</f>
        <v/>
      </c>
      <c r="BI15" s="119">
        <f>IF(BI14&gt;0.5,1-BI14,BI14)</f>
        <v/>
      </c>
      <c r="BJ15" s="118">
        <f>IF(BJ14&gt;0.5,1-BJ14,BJ14)</f>
        <v/>
      </c>
      <c r="BK15" s="119">
        <f>IF(BK14&gt;0.5,1-BK14,BK14)</f>
        <v/>
      </c>
    </row>
    <row r="16" ht="13.8" customHeight="1" thickBot="1">
      <c r="A16" s="1101">
        <f>BJ28</f>
        <v/>
      </c>
      <c r="B16" s="1038" t="n"/>
      <c r="C16" s="1038" t="n"/>
      <c r="D16" s="1102" t="n"/>
      <c r="E16" s="1103">
        <f>BI28</f>
        <v/>
      </c>
      <c r="F16" s="1038" t="n"/>
      <c r="G16" s="1038" t="n"/>
      <c r="H16" s="1102" t="n"/>
      <c r="I16" s="1103">
        <f>BH32</f>
        <v/>
      </c>
      <c r="J16" s="1038" t="n"/>
      <c r="K16" s="1038" t="n"/>
      <c r="L16" s="1102" t="n"/>
      <c r="M16" s="1103">
        <f>BJ32</f>
        <v/>
      </c>
      <c r="N16" s="1038" t="n"/>
      <c r="O16" s="1038" t="n"/>
      <c r="P16" s="1102" t="n"/>
      <c r="Q16" s="1104" t="n"/>
      <c r="R16" s="1038" t="n"/>
      <c r="S16" s="1038" t="n"/>
      <c r="T16" s="1102" t="n"/>
      <c r="U16" s="1105" t="n"/>
      <c r="V16" s="1038" t="n"/>
      <c r="W16" s="1038" t="n"/>
      <c r="X16" s="1090" t="n"/>
      <c r="Z16" s="1101">
        <f>BJ37</f>
        <v/>
      </c>
      <c r="AA16" s="1038" t="n"/>
      <c r="AB16" s="1038" t="n"/>
      <c r="AC16" s="1102" t="n"/>
      <c r="AD16" s="1103">
        <f>BI37</f>
        <v/>
      </c>
      <c r="AE16" s="1038" t="n"/>
      <c r="AF16" s="1038" t="n"/>
      <c r="AG16" s="1102" t="n"/>
      <c r="AH16" s="1103">
        <f>BH41</f>
        <v/>
      </c>
      <c r="AI16" s="1038" t="n"/>
      <c r="AJ16" s="1038" t="n"/>
      <c r="AK16" s="1102" t="n"/>
      <c r="AL16" s="1103">
        <f>BJ41</f>
        <v/>
      </c>
      <c r="AM16" s="1038" t="n"/>
      <c r="AN16" s="1038" t="n"/>
      <c r="AO16" s="1102" t="n"/>
      <c r="AP16" s="1104" t="n"/>
      <c r="AQ16" s="1038" t="n"/>
      <c r="AR16" s="1038" t="n"/>
      <c r="AS16" s="1102" t="n"/>
      <c r="AT16" s="1105" t="n"/>
      <c r="AU16" s="1038" t="n"/>
      <c r="AV16" s="1038" t="n"/>
      <c r="AW16" s="1090" t="n"/>
      <c r="BA16" s="93" t="n">
        <v>14</v>
      </c>
      <c r="BB16" s="94" t="n">
        <v>78359.39999999999</v>
      </c>
      <c r="BC16" s="94">
        <f>AL13/2-BF16</f>
        <v/>
      </c>
      <c r="BD16" s="95" t="n">
        <v>928.4</v>
      </c>
      <c r="BE16" s="96">
        <f>+BE15-BE14+BE15</f>
        <v/>
      </c>
      <c r="BF16" s="87" t="n">
        <v>93.282</v>
      </c>
      <c r="BG16" s="117" t="n"/>
      <c r="BH16" s="120">
        <f>((BH5-BH4)*BH14+BH4-BH13+0.5)</f>
        <v/>
      </c>
      <c r="BI16" s="119" t="n"/>
      <c r="BJ16" s="118" t="n"/>
      <c r="BK16" s="119" t="n"/>
    </row>
    <row r="17" ht="13.8" customHeight="1" thickBot="1">
      <c r="A17" s="287" t="n"/>
      <c r="BA17" s="93" t="n">
        <v>15</v>
      </c>
      <c r="BB17" s="94" t="n">
        <v>84548.10000000001</v>
      </c>
      <c r="BC17" s="94">
        <f>AL13/2-BF17</f>
        <v/>
      </c>
      <c r="BD17" s="95" t="n">
        <v>935.2</v>
      </c>
      <c r="BE17" s="96">
        <f>+BE16-BE15+BE16</f>
        <v/>
      </c>
      <c r="BF17" s="87" t="n">
        <v>93.431</v>
      </c>
      <c r="BG17" s="121">
        <f>((BH5-BH4)*BG14+BH4-BG13+0.5)</f>
        <v/>
      </c>
      <c r="BH17" s="122">
        <f>+BH16-BG17</f>
        <v/>
      </c>
      <c r="BI17" s="123">
        <f>((BI5-BI4)*BI14+BI4-BI13)</f>
        <v/>
      </c>
      <c r="BJ17" s="120">
        <f>((BK5-BK4)*BJ14+BK4-BJ13)</f>
        <v/>
      </c>
      <c r="BK17" s="123">
        <f>((BJ5-BJ4)*BK14+BJ4-BK13)</f>
        <v/>
      </c>
    </row>
    <row r="18">
      <c r="A18" s="399" t="inlineStr">
        <is>
          <t>BALLAST</t>
        </is>
      </c>
      <c r="B18" s="1043" t="n"/>
      <c r="C18" s="1043" t="n"/>
      <c r="D18" s="1043" t="n"/>
      <c r="E18" s="1043" t="n"/>
      <c r="F18" s="1043" t="n"/>
      <c r="G18" s="408" t="n"/>
      <c r="H18" s="1106" t="n"/>
      <c r="I18" s="1106" t="n"/>
      <c r="J18" s="1106" t="n"/>
      <c r="K18" s="124" t="n"/>
      <c r="M18" s="403">
        <f>BH28</f>
        <v/>
      </c>
      <c r="N18" s="1107" t="n"/>
      <c r="O18" s="1107" t="n"/>
      <c r="P18" s="1107" t="n"/>
      <c r="Q18" s="1107" t="n"/>
      <c r="R18" s="124" t="n"/>
      <c r="S18" s="1086" t="inlineStr">
        <is>
          <t>DISPLACEMENT</t>
        </is>
      </c>
      <c r="T18" s="1043" t="n"/>
      <c r="U18" s="1043" t="n"/>
      <c r="V18" s="1043" t="n"/>
      <c r="W18" s="1043" t="n"/>
      <c r="X18" s="1043" t="n"/>
      <c r="Y18" s="1043" t="n"/>
      <c r="Z18" s="1043" t="n"/>
      <c r="AA18" s="1043" t="n"/>
      <c r="AB18" s="1043" t="n"/>
      <c r="AC18" s="1043" t="n"/>
      <c r="AD18" s="1043" t="n"/>
      <c r="AE18" s="1044" t="n"/>
      <c r="AF18" s="255" t="n"/>
      <c r="AG18" s="406">
        <f>BH37</f>
        <v/>
      </c>
      <c r="AH18" s="1107" t="n"/>
      <c r="AI18" s="1107" t="n"/>
      <c r="AJ18" s="1107" t="n"/>
      <c r="AK18" s="1108" t="n"/>
      <c r="AL18" s="25" t="n"/>
      <c r="AM18" s="399" t="inlineStr">
        <is>
          <t>BALLAST</t>
        </is>
      </c>
      <c r="AN18" s="1043" t="n"/>
      <c r="AO18" s="1043" t="n"/>
      <c r="AP18" s="1043" t="n"/>
      <c r="AQ18" s="1043" t="n"/>
      <c r="AR18" s="1043" t="n"/>
      <c r="AS18" s="408">
        <f>Deductions!AI42</f>
        <v/>
      </c>
      <c r="AT18" s="1106" t="n"/>
      <c r="AU18" s="1106" t="n"/>
      <c r="AV18" s="1106" t="n"/>
      <c r="AW18" s="124" t="n"/>
      <c r="BA18" s="93" t="n">
        <v>16</v>
      </c>
      <c r="BB18" s="94">
        <f>+BB17-BB16+BB17</f>
        <v/>
      </c>
      <c r="BC18" s="94">
        <f>+BC17-BC16+BC17</f>
        <v/>
      </c>
      <c r="BD18" s="95">
        <f>+BD17-BD16+BD17</f>
        <v/>
      </c>
      <c r="BE18" s="96">
        <f>+BE17-BE16+BE17</f>
        <v/>
      </c>
      <c r="BF18" s="87" t="n"/>
      <c r="BG18" s="107" t="inlineStr">
        <is>
          <t>DISP</t>
        </is>
      </c>
      <c r="BH18" s="108" t="inlineStr">
        <is>
          <t>TPC</t>
        </is>
      </c>
      <c r="BI18" s="109" t="inlineStr">
        <is>
          <t>LCF</t>
        </is>
      </c>
      <c r="BJ18" s="110" t="inlineStr">
        <is>
          <t>MTC+50</t>
        </is>
      </c>
      <c r="BK18" s="111" t="inlineStr">
        <is>
          <t>MTC-50</t>
        </is>
      </c>
    </row>
    <row r="19">
      <c r="A19" s="411" t="inlineStr">
        <is>
          <t>F.WATER</t>
        </is>
      </c>
      <c r="G19" s="423" t="n"/>
      <c r="H19" s="1109" t="n"/>
      <c r="I19" s="1109" t="n"/>
      <c r="J19" s="1109" t="n"/>
      <c r="K19" s="126" t="n"/>
      <c r="M19" s="475">
        <f>ROUND(IF($S$19="Y",(((R13*100)-TRUNC(R13*100))*E16),0),2)</f>
        <v/>
      </c>
      <c r="N19" s="1109" t="n"/>
      <c r="O19" s="1109" t="n"/>
      <c r="P19" s="1109" t="n"/>
      <c r="Q19" s="1109" t="n"/>
      <c r="R19" s="126" t="n"/>
      <c r="S19" s="127" t="inlineStr">
        <is>
          <t>N</t>
        </is>
      </c>
      <c r="T19" s="1110" t="inlineStr">
        <is>
          <t>DECIMAL CORRECTION</t>
        </is>
      </c>
      <c r="AE19" s="1111" t="n"/>
      <c r="AF19" s="256" t="n"/>
      <c r="AG19" s="410">
        <f>ROUND(IF($S$19="Y",(((AQ13*100)-TRUNC(AQ13*100))*AD16),0),2)</f>
        <v/>
      </c>
      <c r="AH19" s="1109" t="n"/>
      <c r="AI19" s="1109" t="n"/>
      <c r="AJ19" s="1109" t="n"/>
      <c r="AK19" s="126" t="n"/>
      <c r="AL19" s="25" t="n"/>
      <c r="AM19" s="411" t="inlineStr">
        <is>
          <t>F.WATER</t>
        </is>
      </c>
      <c r="AS19" s="410">
        <f>Deductions!AI54</f>
        <v/>
      </c>
      <c r="AT19" s="1109" t="n"/>
      <c r="AU19" s="1109" t="n"/>
      <c r="AV19" s="1109" t="n"/>
      <c r="AW19" s="126" t="n"/>
      <c r="BA19" s="93" t="n">
        <v>17</v>
      </c>
      <c r="BB19" s="94">
        <f>+BB18-BB17+BB18</f>
        <v/>
      </c>
      <c r="BC19" s="94">
        <f>+BC18-BC17+BC18</f>
        <v/>
      </c>
      <c r="BD19" s="95">
        <f>+BD18-BD17+BD18</f>
        <v/>
      </c>
      <c r="BE19" s="96">
        <f>+BE18-BE17+BE18</f>
        <v/>
      </c>
      <c r="BF19" s="87" t="n"/>
      <c r="BG19" s="1094">
        <f>(BH10-BH9*2+BH8)*BG21/3</f>
        <v/>
      </c>
      <c r="BH19" s="1095">
        <f>(BH10-BH9*2+BH8)*BH21/3</f>
        <v/>
      </c>
      <c r="BI19" s="1096">
        <f>(BI10-BI9*2+BI8)*BI21/3</f>
        <v/>
      </c>
      <c r="BJ19" s="1095">
        <f>(BK10-BK9*2+BK8)*BJ21/3</f>
        <v/>
      </c>
      <c r="BK19" s="1096">
        <f>(BJ10-BJ9*2+BJ8)*BK21/3</f>
        <v/>
      </c>
    </row>
    <row r="20">
      <c r="A20" s="411" t="inlineStr">
        <is>
          <t>FUEL OIL</t>
        </is>
      </c>
      <c r="G20" s="1112" t="n"/>
      <c r="H20" s="1113" t="n"/>
      <c r="I20" s="1113" t="n"/>
      <c r="J20" s="1113" t="n"/>
      <c r="K20" s="1114" t="n"/>
      <c r="M20" s="475">
        <f>+M19+M18</f>
        <v/>
      </c>
      <c r="N20" s="1109" t="n"/>
      <c r="O20" s="1109" t="n"/>
      <c r="P20" s="1109" t="n"/>
      <c r="Q20" s="1109" t="n"/>
      <c r="R20" s="126" t="n"/>
      <c r="S20" s="1115" t="inlineStr">
        <is>
          <t>DRAFT DISPLACEMENT</t>
        </is>
      </c>
      <c r="AE20" s="1111" t="n"/>
      <c r="AF20" s="256" t="n"/>
      <c r="AG20" s="410">
        <f>+AG19+AG18</f>
        <v/>
      </c>
      <c r="AH20" s="1109" t="n"/>
      <c r="AI20" s="1109" t="n"/>
      <c r="AJ20" s="1109" t="n"/>
      <c r="AK20" s="126" t="n"/>
      <c r="AL20" s="25" t="n"/>
      <c r="AM20" s="411" t="inlineStr">
        <is>
          <t>FUEL OIL</t>
        </is>
      </c>
      <c r="AS20" s="1116" t="n"/>
      <c r="AT20" s="1113" t="n"/>
      <c r="AU20" s="1113" t="n"/>
      <c r="AV20" s="1113" t="n"/>
      <c r="AW20" s="1114" t="n"/>
      <c r="BA20" s="128" t="n">
        <v>18</v>
      </c>
      <c r="BB20" s="129">
        <f>+BB19-BB18+BB19</f>
        <v/>
      </c>
      <c r="BC20" s="129">
        <f>+BC19-BC18+BC19</f>
        <v/>
      </c>
      <c r="BD20" s="130">
        <f>+BD19-BD18+BD19</f>
        <v/>
      </c>
      <c r="BE20" s="131">
        <f>+BE19-BE18+BE19</f>
        <v/>
      </c>
      <c r="BF20" s="87" t="n"/>
      <c r="BG20" s="1094">
        <f>+BG9-INT(BG9)</f>
        <v/>
      </c>
      <c r="BH20" s="1095">
        <f>+BG9+0.01-INT(BG9)</f>
        <v/>
      </c>
      <c r="BI20" s="1096">
        <f>+BG9-INT(BG9)</f>
        <v/>
      </c>
      <c r="BJ20" s="1095">
        <f>+BG9+0.5-INT(BG9+0.5)</f>
        <v/>
      </c>
      <c r="BK20" s="1096">
        <f>+BG9-0.5-INT(BG9-0.5)</f>
        <v/>
      </c>
    </row>
    <row r="21">
      <c r="A21" s="411" t="inlineStr">
        <is>
          <t>DIESEL OIL</t>
        </is>
      </c>
      <c r="G21" s="1112" t="n"/>
      <c r="H21" s="1113" t="n"/>
      <c r="I21" s="1113" t="n"/>
      <c r="J21" s="1113" t="n"/>
      <c r="K21" s="1114" t="n"/>
      <c r="M21" s="475">
        <f>IF($M$18=0,0,(100*A16*E16*E13/M13))</f>
        <v/>
      </c>
      <c r="N21" s="1109" t="n"/>
      <c r="O21" s="1109" t="n"/>
      <c r="P21" s="1109" t="n"/>
      <c r="Q21" s="1109" t="n"/>
      <c r="R21" s="126" t="n"/>
      <c r="S21" s="1115" t="inlineStr">
        <is>
          <t>TRIM CORRECTION "A"</t>
        </is>
      </c>
      <c r="AE21" s="1111" t="n"/>
      <c r="AF21" s="256" t="n"/>
      <c r="AG21" s="410">
        <f>IF($AG$18=0,0,(100*Z16*AD16*AD13/AL13))</f>
        <v/>
      </c>
      <c r="AH21" s="1109" t="n"/>
      <c r="AI21" s="1109" t="n"/>
      <c r="AJ21" s="1109" t="n"/>
      <c r="AK21" s="126" t="n"/>
      <c r="AL21" s="25" t="n"/>
      <c r="AM21" s="411" t="inlineStr">
        <is>
          <t>DIESEL OIL</t>
        </is>
      </c>
      <c r="AS21" s="1116" t="n"/>
      <c r="AT21" s="1113" t="n"/>
      <c r="AU21" s="1113" t="n"/>
      <c r="AV21" s="1113" t="n"/>
      <c r="AW21" s="1114" t="n"/>
      <c r="BA21" s="87" t="n"/>
      <c r="BB21" s="87" t="n"/>
      <c r="BC21" s="87" t="n"/>
      <c r="BD21" s="87" t="n"/>
      <c r="BE21" s="87" t="n"/>
      <c r="BF21" s="87" t="n"/>
      <c r="BG21" s="117">
        <f>IF(BG20&gt;0.5,1-BG20,BG20)</f>
        <v/>
      </c>
      <c r="BH21" s="118">
        <f>IF(BH20&gt;0.5,1-BH20,BH20)</f>
        <v/>
      </c>
      <c r="BI21" s="119">
        <f>IF(BI20&gt;0.5,1-BI20,BI20)</f>
        <v/>
      </c>
      <c r="BJ21" s="118">
        <f>IF(BJ20&gt;0.5,1-BJ20,BJ20)</f>
        <v/>
      </c>
      <c r="BK21" s="119">
        <f>IF(BK20&gt;0.5,1-BK20,BK20)</f>
        <v/>
      </c>
    </row>
    <row r="22">
      <c r="A22" s="411" t="inlineStr">
        <is>
          <t>LUB OIL</t>
        </is>
      </c>
      <c r="G22" s="1112" t="n"/>
      <c r="H22" s="1113" t="n"/>
      <c r="I22" s="1113" t="n"/>
      <c r="J22" s="1113" t="n"/>
      <c r="K22" s="1114" t="n"/>
      <c r="M22" s="475">
        <f>IF($M$18=0,0,(50*E13*E13*(I16-M16)/M13))</f>
        <v/>
      </c>
      <c r="N22" s="1109" t="n"/>
      <c r="O22" s="1109" t="n"/>
      <c r="P22" s="1109" t="n"/>
      <c r="Q22" s="1109" t="n"/>
      <c r="R22" s="126" t="n"/>
      <c r="S22" s="1115" t="inlineStr">
        <is>
          <t>TRIM CORRECTION "B"</t>
        </is>
      </c>
      <c r="AE22" s="1111" t="n"/>
      <c r="AF22" s="256" t="n"/>
      <c r="AG22" s="410">
        <f>IF($AG$18=0,0,(50*AD13*AD13*(AH16-AL16)/AL13))</f>
        <v/>
      </c>
      <c r="AH22" s="1109" t="n"/>
      <c r="AI22" s="1109" t="n"/>
      <c r="AJ22" s="1109" t="n"/>
      <c r="AK22" s="126" t="n"/>
      <c r="AL22" s="25" t="n"/>
      <c r="AM22" s="411" t="inlineStr">
        <is>
          <t>LUB OIL</t>
        </is>
      </c>
      <c r="AS22" s="1116" t="n"/>
      <c r="AT22" s="1113" t="n"/>
      <c r="AU22" s="1113" t="n"/>
      <c r="AV22" s="1113" t="n"/>
      <c r="AW22" s="1114" t="n"/>
      <c r="BA22" s="132">
        <f>+BI17</f>
        <v/>
      </c>
      <c r="BB22" s="133" t="inlineStr">
        <is>
          <t>LCF</t>
        </is>
      </c>
      <c r="BC22" s="134" t="n"/>
      <c r="BD22" s="132">
        <f>+BI23</f>
        <v/>
      </c>
      <c r="BE22" s="69" t="n"/>
      <c r="BF22" s="87" t="n"/>
      <c r="BG22" s="117" t="n"/>
      <c r="BH22" s="120">
        <f>((BH10-BH9)*BH20+BH9-BH19+0.5)</f>
        <v/>
      </c>
      <c r="BI22" s="119" t="n"/>
      <c r="BJ22" s="118" t="n"/>
      <c r="BK22" s="119" t="n"/>
    </row>
    <row r="23">
      <c r="A23" s="411" t="inlineStr">
        <is>
          <t>SLOP</t>
        </is>
      </c>
      <c r="G23" s="1112" t="n">
        <v>0</v>
      </c>
      <c r="H23" s="1113" t="n"/>
      <c r="I23" s="1113" t="n"/>
      <c r="J23" s="1113" t="n"/>
      <c r="K23" s="1114" t="n"/>
      <c r="M23" s="475">
        <f>+M21+M22</f>
        <v/>
      </c>
      <c r="N23" s="1109" t="n"/>
      <c r="O23" s="1109" t="n"/>
      <c r="P23" s="1109" t="n"/>
      <c r="Q23" s="1109" t="n"/>
      <c r="R23" s="126" t="n"/>
      <c r="S23" s="1115" t="inlineStr">
        <is>
          <t>TOTAL TRIM CORRECTIONS</t>
        </is>
      </c>
      <c r="AE23" s="1111" t="n"/>
      <c r="AF23" s="256" t="n"/>
      <c r="AG23" s="410">
        <f>+AG21+AG22</f>
        <v/>
      </c>
      <c r="AH23" s="1109" t="n"/>
      <c r="AI23" s="1109" t="n"/>
      <c r="AJ23" s="1109" t="n"/>
      <c r="AK23" s="126" t="n"/>
      <c r="AL23" s="25" t="n"/>
      <c r="AM23" s="411" t="inlineStr">
        <is>
          <t>SLOP</t>
        </is>
      </c>
      <c r="AS23" s="1116" t="n">
        <v>0</v>
      </c>
      <c r="AT23" s="1113" t="n"/>
      <c r="AU23" s="1113" t="n"/>
      <c r="AV23" s="1113" t="n"/>
      <c r="AW23" s="1114" t="n"/>
      <c r="BA23" s="132">
        <f>+BH17</f>
        <v/>
      </c>
      <c r="BB23" s="133" t="inlineStr">
        <is>
          <t>TPC</t>
        </is>
      </c>
      <c r="BC23" s="134" t="n"/>
      <c r="BD23" s="132">
        <f>+BH23</f>
        <v/>
      </c>
      <c r="BE23" s="69" t="n"/>
      <c r="BF23" s="87" t="n"/>
      <c r="BG23" s="135">
        <f>((BH10-BH9)*BG20+BH9-BG19+0.5)</f>
        <v/>
      </c>
      <c r="BH23" s="122">
        <f>+BH22-BG23</f>
        <v/>
      </c>
      <c r="BI23" s="123">
        <f>((BI10-BI9)*BI20+BI9-BI19)</f>
        <v/>
      </c>
      <c r="BJ23" s="120">
        <f>((BK10-BK9)*BJ20+BK9-BJ19)</f>
        <v/>
      </c>
      <c r="BK23" s="123">
        <f>((BJ10-BJ9)*BK20+BJ9-BK19)</f>
        <v/>
      </c>
    </row>
    <row r="24">
      <c r="A24" s="411" t="inlineStr">
        <is>
          <t>S, POOL</t>
        </is>
      </c>
      <c r="G24" s="1112" t="n">
        <v>0</v>
      </c>
      <c r="H24" s="1113" t="n"/>
      <c r="I24" s="1113" t="n"/>
      <c r="J24" s="1113" t="n"/>
      <c r="K24" s="1114" t="n"/>
      <c r="M24" s="475">
        <f>ROUND(6*(Q16-U16)*(A9-E9),2)</f>
        <v/>
      </c>
      <c r="N24" s="1109" t="n"/>
      <c r="O24" s="1109" t="n"/>
      <c r="P24" s="1109" t="n"/>
      <c r="Q24" s="1109" t="n"/>
      <c r="R24" s="126" t="n"/>
      <c r="S24" s="1115" t="inlineStr">
        <is>
          <t>LIST CORRECTION</t>
        </is>
      </c>
      <c r="AE24" s="1111" t="n"/>
      <c r="AF24" s="256" t="n"/>
      <c r="AG24" s="410">
        <f>ROUND(6*(AP16-AT16)*(Z9-AD9),2)</f>
        <v/>
      </c>
      <c r="AH24" s="1109" t="n"/>
      <c r="AI24" s="1109" t="n"/>
      <c r="AJ24" s="1109" t="n"/>
      <c r="AK24" s="126" t="n"/>
      <c r="AL24" s="25" t="n"/>
      <c r="AM24" s="411" t="inlineStr">
        <is>
          <t>S, POOL</t>
        </is>
      </c>
      <c r="AS24" s="1116" t="n">
        <v>0</v>
      </c>
      <c r="AT24" s="1113" t="n"/>
      <c r="AU24" s="1113" t="n"/>
      <c r="AV24" s="1113" t="n"/>
      <c r="AW24" s="1114" t="n"/>
      <c r="BA24" s="132">
        <f>+BJ17</f>
        <v/>
      </c>
      <c r="BB24" s="133" t="inlineStr">
        <is>
          <t>MTC+50</t>
        </is>
      </c>
      <c r="BC24" s="134" t="n"/>
      <c r="BD24" s="132">
        <f>+BJ23</f>
        <v/>
      </c>
      <c r="BE24" s="69" t="n"/>
    </row>
    <row r="25">
      <c r="A25" s="411" t="inlineStr">
        <is>
          <t>OTHERS</t>
        </is>
      </c>
      <c r="G25" s="1112" t="n"/>
      <c r="H25" s="1113" t="n"/>
      <c r="I25" s="1113" t="n"/>
      <c r="J25" s="1113" t="n"/>
      <c r="K25" s="1114" t="n"/>
      <c r="M25" s="475">
        <f>+M20+M23+M24</f>
        <v/>
      </c>
      <c r="N25" s="1109" t="n"/>
      <c r="O25" s="1109" t="n"/>
      <c r="P25" s="1109" t="n"/>
      <c r="Q25" s="1109" t="n"/>
      <c r="R25" s="126" t="n"/>
      <c r="S25" s="1115" t="inlineStr">
        <is>
          <t>CORRECTED DISPLACEMENT</t>
        </is>
      </c>
      <c r="AE25" s="1111" t="n"/>
      <c r="AF25" s="256" t="n"/>
      <c r="AG25" s="410">
        <f>+AG20+AG23+AG24</f>
        <v/>
      </c>
      <c r="AH25" s="1109" t="n"/>
      <c r="AI25" s="1109" t="n"/>
      <c r="AJ25" s="1109" t="n"/>
      <c r="AK25" s="126" t="n"/>
      <c r="AL25" s="25" t="n"/>
      <c r="AM25" s="411" t="inlineStr">
        <is>
          <t>OTHERS</t>
        </is>
      </c>
      <c r="AS25" s="1116" t="n"/>
      <c r="AT25" s="1113" t="n"/>
      <c r="AU25" s="1113" t="n"/>
      <c r="AV25" s="1113" t="n"/>
      <c r="AW25" s="1114" t="n"/>
      <c r="BA25" s="132">
        <f>+BK17</f>
        <v/>
      </c>
      <c r="BB25" s="133" t="inlineStr">
        <is>
          <t>MTC-50</t>
        </is>
      </c>
      <c r="BC25" s="134" t="n"/>
      <c r="BD25" s="132">
        <f>+BK23</f>
        <v/>
      </c>
      <c r="BE25" s="69" t="n"/>
    </row>
    <row r="26" ht="13.8" customHeight="1" thickBot="1">
      <c r="A26" s="427" t="inlineStr">
        <is>
          <t>DEDUCTIONS</t>
        </is>
      </c>
      <c r="B26" s="197" t="n"/>
      <c r="C26" s="197" t="n"/>
      <c r="D26" s="197" t="n"/>
      <c r="E26" s="197" t="n"/>
      <c r="F26" s="197" t="n"/>
      <c r="G26" s="430">
        <f>SUM(G18:K25)</f>
        <v/>
      </c>
      <c r="H26" s="1117" t="n"/>
      <c r="I26" s="1117" t="n"/>
      <c r="J26" s="1117" t="n"/>
      <c r="K26" s="1118" t="n"/>
      <c r="M26" s="431">
        <f>((I13-1.025)*M25)/1.025</f>
        <v/>
      </c>
      <c r="N26" s="1109" t="n"/>
      <c r="O26" s="1109" t="n"/>
      <c r="P26" s="1109" t="n"/>
      <c r="Q26" s="1109" t="n"/>
      <c r="R26" s="136" t="n"/>
      <c r="S26" s="1119" t="inlineStr">
        <is>
          <t>DENSITY CORRECTION</t>
        </is>
      </c>
      <c r="AE26" s="1111" t="n"/>
      <c r="AF26" s="257" t="n"/>
      <c r="AG26" s="444">
        <f>((AH13-1.025)*AG25)/1.025</f>
        <v/>
      </c>
      <c r="AH26" s="1109" t="n"/>
      <c r="AI26" s="1109" t="n"/>
      <c r="AJ26" s="1109" t="n"/>
      <c r="AK26" s="126" t="n"/>
      <c r="AL26" s="25" t="n"/>
      <c r="AM26" s="437" t="inlineStr">
        <is>
          <t>DEDUCTIONS</t>
        </is>
      </c>
      <c r="AN26" s="197" t="n"/>
      <c r="AO26" s="197" t="n"/>
      <c r="AP26" s="197" t="n"/>
      <c r="AQ26" s="197" t="n"/>
      <c r="AR26" s="197" t="n"/>
      <c r="AS26" s="440">
        <f>SUM(AS18:AW25)</f>
        <v/>
      </c>
      <c r="AT26" s="1117" t="n"/>
      <c r="AU26" s="1117" t="n"/>
      <c r="AV26" s="1117" t="n"/>
      <c r="AW26" s="1118" t="n"/>
      <c r="BA26" s="132">
        <f>+BG17</f>
        <v/>
      </c>
      <c r="BB26" s="133" t="inlineStr">
        <is>
          <t>DRAFT DISPLACEMENT</t>
        </is>
      </c>
      <c r="BC26" s="134" t="n"/>
      <c r="BD26" s="132">
        <f>+BG23</f>
        <v/>
      </c>
      <c r="BE26" s="69" t="n"/>
      <c r="BG26" s="137" t="inlineStr">
        <is>
          <t xml:space="preserve">DRAFT </t>
        </is>
      </c>
      <c r="BH26" s="137" t="inlineStr">
        <is>
          <t>DISP</t>
        </is>
      </c>
      <c r="BI26" s="137" t="inlineStr">
        <is>
          <t>TPC</t>
        </is>
      </c>
      <c r="BJ26" s="137" t="inlineStr">
        <is>
          <t>LCF</t>
        </is>
      </c>
      <c r="BK26" s="262" t="inlineStr">
        <is>
          <t>LCB</t>
        </is>
      </c>
    </row>
    <row r="27" ht="12.75" customHeight="1">
      <c r="A27" s="445" t="inlineStr">
        <is>
          <t>CONDITIONS</t>
        </is>
      </c>
      <c r="B27" s="1043" t="n"/>
      <c r="C27" s="1043" t="n"/>
      <c r="D27" s="1043" t="n"/>
      <c r="E27" s="1043" t="n"/>
      <c r="F27" s="1043" t="n"/>
      <c r="G27" s="1043" t="n"/>
      <c r="H27" s="1043" t="n"/>
      <c r="I27" s="1120" t="inlineStr">
        <is>
          <t>GOOD</t>
        </is>
      </c>
      <c r="J27" s="1120" t="inlineStr">
        <is>
          <t>REG</t>
        </is>
      </c>
      <c r="K27" s="1121" t="inlineStr">
        <is>
          <t>BAD</t>
        </is>
      </c>
      <c r="M27" s="475">
        <f>+M25+M26</f>
        <v/>
      </c>
      <c r="N27" s="1109" t="n"/>
      <c r="O27" s="1109" t="n"/>
      <c r="P27" s="1109" t="n"/>
      <c r="Q27" s="1109" t="n"/>
      <c r="R27" s="126" t="n"/>
      <c r="S27" s="1115" t="inlineStr">
        <is>
          <t>TRUE DISPLACEMENT</t>
        </is>
      </c>
      <c r="AE27" s="1111" t="n"/>
      <c r="AF27" s="256" t="n"/>
      <c r="AG27" s="410">
        <f>+AG25+AG26</f>
        <v/>
      </c>
      <c r="AH27" s="1109" t="n"/>
      <c r="AI27" s="1109" t="n"/>
      <c r="AJ27" s="1109" t="n"/>
      <c r="AK27" s="126" t="n"/>
      <c r="AL27" s="25" t="n"/>
      <c r="AM27" s="138" t="n"/>
      <c r="AN27" s="139" t="n"/>
      <c r="AO27" s="139" t="n"/>
      <c r="AP27" s="139" t="n"/>
      <c r="AQ27" s="139" t="n"/>
      <c r="AR27" s="139" t="n"/>
      <c r="AS27" s="139" t="n"/>
      <c r="AT27" s="139" t="n"/>
      <c r="AU27" s="139" t="n"/>
      <c r="AV27" s="139" t="n"/>
      <c r="AW27" s="140" t="n"/>
      <c r="BA27" s="132">
        <f>100*BA22*BA23*E13/M13</f>
        <v/>
      </c>
      <c r="BB27" s="133" t="inlineStr">
        <is>
          <t>TRIM CORRECTION "A"</t>
        </is>
      </c>
      <c r="BC27" s="134" t="n"/>
      <c r="BD27" s="132">
        <f>100*BD22*BD23*AD13/M13</f>
        <v/>
      </c>
      <c r="BE27" s="69" t="n"/>
      <c r="BG27" s="132" t="n"/>
      <c r="BH27" s="268" t="n"/>
      <c r="BI27" s="1122" t="n"/>
      <c r="BJ27" s="1123" t="n"/>
      <c r="BK27" s="1124">
        <f>M13</f>
        <v/>
      </c>
    </row>
    <row r="28">
      <c r="A28" s="1125" t="n"/>
      <c r="K28" s="1111" t="n"/>
      <c r="M28" s="475">
        <f>+G26</f>
        <v/>
      </c>
      <c r="N28" s="1109" t="n"/>
      <c r="O28" s="1109" t="n"/>
      <c r="P28" s="1109" t="n"/>
      <c r="Q28" s="1109" t="n"/>
      <c r="R28" s="126" t="n"/>
      <c r="S28" s="1115" t="inlineStr">
        <is>
          <t>TOTAL DEDUCTIONS</t>
        </is>
      </c>
      <c r="AE28" s="1111" t="n"/>
      <c r="AF28" s="256" t="n"/>
      <c r="AG28" s="410">
        <f>+AS26</f>
        <v/>
      </c>
      <c r="AH28" s="1109" t="n"/>
      <c r="AI28" s="1109" t="n"/>
      <c r="AJ28" s="1109" t="n"/>
      <c r="AK28" s="126" t="n"/>
      <c r="AL28" s="25" t="n"/>
      <c r="AM28" s="142" t="n"/>
      <c r="AN28" s="25" t="n"/>
      <c r="AO28" s="25" t="n"/>
      <c r="AP28" s="25" t="n"/>
      <c r="AQ28" s="25" t="n"/>
      <c r="AR28" s="25" t="n"/>
      <c r="AS28" s="25" t="n"/>
      <c r="AT28" s="25" t="n"/>
      <c r="AU28" s="25" t="n"/>
      <c r="AV28" s="25" t="n"/>
      <c r="AW28" s="143" t="n"/>
      <c r="BA28" s="132">
        <f>50*E13*E13*(BA24-BA25)/M13</f>
        <v/>
      </c>
      <c r="BB28" s="133" t="inlineStr">
        <is>
          <t>TRIM CORRECTION "B"</t>
        </is>
      </c>
      <c r="BC28" s="134" t="n"/>
      <c r="BD28" s="132">
        <f>50*Z13*AD13*(BD24-BD25)/M13</f>
        <v/>
      </c>
      <c r="BE28" s="69" t="n"/>
      <c r="BG28" s="1126">
        <f>+BG4</f>
        <v/>
      </c>
      <c r="BH28" s="145">
        <f>BH27+(BG28-BG27)*(BH29-BH27)/(BG29-BG27)</f>
        <v/>
      </c>
      <c r="BI28" s="1127">
        <f>BI27+(BG28-BG27)*(BI29-BI27)/(BG29-BG27)</f>
        <v/>
      </c>
      <c r="BJ28" s="1128">
        <f>BJ27+(BG28-BG27)*(BJ29-BJ27)/(BG29-BG27)</f>
        <v/>
      </c>
      <c r="BK28" s="1128">
        <f>BK27/2</f>
        <v/>
      </c>
    </row>
    <row r="29">
      <c r="A29" s="1125" t="n"/>
      <c r="I29" s="1129" t="n"/>
      <c r="J29" s="1129" t="n"/>
      <c r="K29" s="1130" t="n"/>
      <c r="M29" s="441" t="n"/>
      <c r="N29" s="1113" t="n"/>
      <c r="O29" s="1113" t="n"/>
      <c r="P29" s="1113" t="n"/>
      <c r="Q29" s="1113" t="n"/>
      <c r="R29" s="126" t="n"/>
      <c r="S29" s="1115" t="inlineStr">
        <is>
          <t>LIGHT SHIP</t>
        </is>
      </c>
      <c r="AE29" s="1111" t="n"/>
      <c r="AF29" s="256" t="n"/>
      <c r="AG29" s="444">
        <f>IF(AG18=0,0,M29)</f>
        <v/>
      </c>
      <c r="AH29" s="1109" t="n"/>
      <c r="AI29" s="1109" t="n"/>
      <c r="AJ29" s="1109" t="n"/>
      <c r="AK29" s="126" t="n"/>
      <c r="AL29" s="25" t="n"/>
      <c r="AM29" s="142" t="n"/>
      <c r="AN29" s="263">
        <f>General!H11</f>
        <v/>
      </c>
      <c r="AO29" s="263" t="n"/>
      <c r="AP29" s="263" t="n"/>
      <c r="AQ29" s="263" t="n"/>
      <c r="AR29" s="263" t="n"/>
      <c r="AS29" s="263" t="n"/>
      <c r="AT29" s="263" t="n"/>
      <c r="AU29" s="263" t="n"/>
      <c r="AV29" s="263" t="n"/>
      <c r="AW29" s="143" t="n"/>
      <c r="BA29" s="132">
        <f>+BA27+BA28</f>
        <v/>
      </c>
      <c r="BB29" s="133" t="inlineStr">
        <is>
          <t>TOTAL TRIM CORRECTIONS</t>
        </is>
      </c>
      <c r="BC29" s="134" t="n"/>
      <c r="BD29" s="132">
        <f>+BD27+BD28</f>
        <v/>
      </c>
      <c r="BE29" s="69" t="n"/>
      <c r="BG29" s="268" t="n"/>
      <c r="BH29" s="268" t="n"/>
      <c r="BI29" s="1122" t="n"/>
      <c r="BJ29" s="1123" t="n"/>
      <c r="BK29" s="1124" t="n">
        <v>103.577</v>
      </c>
    </row>
    <row r="30">
      <c r="A30" s="1131" t="inlineStr">
        <is>
          <t>SOUNDING PIPES</t>
        </is>
      </c>
      <c r="H30" s="1132" t="n"/>
      <c r="I30" s="149" t="inlineStr">
        <is>
          <t>X</t>
        </is>
      </c>
      <c r="J30" s="149" t="n"/>
      <c r="K30" s="150" t="n"/>
      <c r="M30" s="441" t="n"/>
      <c r="N30" s="1113" t="n"/>
      <c r="O30" s="1113" t="n"/>
      <c r="P30" s="1113" t="n"/>
      <c r="Q30" s="1113" t="n"/>
      <c r="R30" s="126" t="n"/>
      <c r="S30" s="1133" t="inlineStr">
        <is>
          <t xml:space="preserve"> HISTORIC CONSTANT</t>
        </is>
      </c>
      <c r="AE30" s="1111" t="n"/>
      <c r="AF30" s="1134" t="n"/>
      <c r="AG30" s="1109" t="n"/>
      <c r="AH30" s="1109" t="n"/>
      <c r="AI30" s="1109" t="n"/>
      <c r="AJ30" s="1109" t="n"/>
      <c r="AK30" s="126" t="n"/>
      <c r="AL30" s="25" t="n"/>
      <c r="AM30" s="142" t="n"/>
      <c r="AN30" s="12" t="n"/>
      <c r="AO30" s="12" t="n"/>
      <c r="AP30" s="12" t="n"/>
      <c r="AQ30" s="12" t="n"/>
      <c r="AR30" s="496" t="inlineStr">
        <is>
          <t>CHIEF OFFICER</t>
        </is>
      </c>
      <c r="AS30" s="12" t="n"/>
      <c r="AT30" s="12" t="n"/>
      <c r="AU30" s="12" t="n"/>
      <c r="AV30" s="12" t="n"/>
      <c r="AW30" s="143" t="n"/>
      <c r="BA30" s="132" t="n"/>
      <c r="BB30" s="133" t="inlineStr">
        <is>
          <t>LIST CORRECTION</t>
        </is>
      </c>
      <c r="BC30" s="134" t="n"/>
      <c r="BD30" s="132" t="n"/>
      <c r="BE30" s="69" t="n"/>
      <c r="BG30" s="137" t="n">
        <v>42452.2</v>
      </c>
      <c r="BH30" s="137" t="inlineStr">
        <is>
          <t>MTC +50</t>
        </is>
      </c>
      <c r="BI30" s="137" t="inlineStr">
        <is>
          <t>DRAFT -</t>
        </is>
      </c>
      <c r="BJ30" s="137" t="inlineStr">
        <is>
          <t>MTC - 50</t>
        </is>
      </c>
      <c r="BK30" s="1135">
        <f>BK28-BK29</f>
        <v/>
      </c>
    </row>
    <row r="31">
      <c r="A31" s="1131" t="inlineStr">
        <is>
          <t>DRAFT MARKS</t>
        </is>
      </c>
      <c r="H31" s="1132" t="n"/>
      <c r="I31" s="149" t="inlineStr">
        <is>
          <t>X</t>
        </is>
      </c>
      <c r="J31" s="149" t="n"/>
      <c r="K31" s="150" t="n"/>
      <c r="M31" s="475">
        <f>IF(M30=0,(M27-M28-M29),0)</f>
        <v/>
      </c>
      <c r="N31" s="1109" t="n"/>
      <c r="O31" s="1109" t="n"/>
      <c r="P31" s="1109" t="n"/>
      <c r="Q31" s="1109" t="n"/>
      <c r="R31" s="126" t="n"/>
      <c r="S31" s="1115" t="inlineStr">
        <is>
          <t>CONSTANT "K"</t>
        </is>
      </c>
      <c r="AE31" s="1111" t="n"/>
      <c r="AF31" s="256" t="n"/>
      <c r="AG31" s="410">
        <f>IF(AG18=0,0,(IF(M30=0,M31,AG27-AG28-AG29)))</f>
        <v/>
      </c>
      <c r="AH31" s="1109" t="n"/>
      <c r="AI31" s="1109" t="n"/>
      <c r="AJ31" s="1109" t="n"/>
      <c r="AK31" s="126" t="n"/>
      <c r="AL31" s="25" t="n"/>
      <c r="AM31" s="142" t="n"/>
      <c r="AN31" s="25" t="n"/>
      <c r="AO31" s="25" t="n"/>
      <c r="AP31" s="25" t="n"/>
      <c r="AQ31" s="25" t="n"/>
      <c r="AR31" s="25" t="n"/>
      <c r="AS31" s="25" t="n"/>
      <c r="AT31" s="25" t="n"/>
      <c r="AU31" s="25" t="n"/>
      <c r="AV31" s="25" t="n"/>
      <c r="AW31" s="143" t="n"/>
      <c r="BA31" s="132">
        <f>+BA26+BA29+BA30</f>
        <v/>
      </c>
      <c r="BB31" s="133" t="inlineStr">
        <is>
          <t>CORRECTED DISP.</t>
        </is>
      </c>
      <c r="BC31" s="134" t="n"/>
      <c r="BD31" s="132">
        <f>+BD26+BD29+BD30</f>
        <v/>
      </c>
      <c r="BE31" s="69" t="n"/>
      <c r="BG31" s="272" t="n"/>
      <c r="BH31" s="271" t="n"/>
      <c r="BI31" s="264">
        <f>+BG31-1</f>
        <v/>
      </c>
      <c r="BJ31" s="272" t="n"/>
    </row>
    <row r="32">
      <c r="A32" s="411" t="inlineStr">
        <is>
          <t>SWELL INITIAL</t>
        </is>
      </c>
      <c r="B32" s="412" t="n"/>
      <c r="C32" s="412" t="n"/>
      <c r="D32" s="412" t="n"/>
      <c r="E32" s="412" t="n"/>
      <c r="F32" s="412" t="n"/>
      <c r="G32" s="412" t="n"/>
      <c r="H32" s="463" t="n"/>
      <c r="I32" s="149" t="n"/>
      <c r="J32" s="149" t="inlineStr">
        <is>
          <t>X</t>
        </is>
      </c>
      <c r="K32" s="150" t="n"/>
      <c r="M32" s="475">
        <f>+M27-M28</f>
        <v/>
      </c>
      <c r="N32" s="1109" t="n"/>
      <c r="O32" s="1109" t="n"/>
      <c r="P32" s="1109" t="n"/>
      <c r="Q32" s="1109" t="n"/>
      <c r="R32" s="126" t="n"/>
      <c r="S32" s="1115" t="inlineStr">
        <is>
          <t>INITIAL NET LIGHT DISPLACEMENT</t>
        </is>
      </c>
      <c r="AE32" s="1111" t="n"/>
      <c r="AF32" s="256" t="n"/>
      <c r="AG32" s="410">
        <f>IF(AG18=0,0,M32)</f>
        <v/>
      </c>
      <c r="AH32" s="1109" t="n"/>
      <c r="AI32" s="1109" t="n"/>
      <c r="AJ32" s="1109" t="n"/>
      <c r="AK32" s="126" t="n"/>
      <c r="AL32" s="25" t="n"/>
      <c r="AM32" s="142" t="n"/>
      <c r="AN32" s="263">
        <f>General!H10</f>
        <v/>
      </c>
      <c r="AO32" s="263" t="n"/>
      <c r="AP32" s="263" t="n"/>
      <c r="AQ32" s="263" t="n"/>
      <c r="AR32" s="263" t="n"/>
      <c r="AS32" s="263" t="n"/>
      <c r="AT32" s="263" t="n"/>
      <c r="AU32" s="263" t="n"/>
      <c r="AV32" s="263" t="n"/>
      <c r="AW32" s="143" t="n"/>
      <c r="BA32" s="132">
        <f>+BA31-M25</f>
        <v/>
      </c>
      <c r="BB32" s="133" t="inlineStr">
        <is>
          <t>DIFFERENCE</t>
        </is>
      </c>
      <c r="BC32" s="134" t="n"/>
      <c r="BD32" s="132">
        <f>+BD31-AG25</f>
        <v/>
      </c>
      <c r="BE32" s="69" t="n"/>
      <c r="BG32" s="1136">
        <f>+BG28+0.5</f>
        <v/>
      </c>
      <c r="BH32" s="145">
        <f>BH31+(BG32-BG31)*(BH33-BH31)/(BG33-BG31)</f>
        <v/>
      </c>
      <c r="BI32" s="1137">
        <f>+BG32-1</f>
        <v/>
      </c>
      <c r="BJ32" s="153">
        <f>BJ31+(BI32-BI31)*(BJ33-BJ31)/(BI33-BI31)</f>
        <v/>
      </c>
    </row>
    <row r="33" ht="13.8" customHeight="1" thickBot="1">
      <c r="A33" s="411" t="inlineStr">
        <is>
          <t>SWELL FINAL</t>
        </is>
      </c>
      <c r="B33" s="412" t="n"/>
      <c r="C33" s="412" t="n"/>
      <c r="D33" s="412" t="n"/>
      <c r="E33" s="412" t="n"/>
      <c r="F33" s="412" t="n"/>
      <c r="G33" s="412" t="n"/>
      <c r="H33" s="463" t="n"/>
      <c r="I33" s="149" t="n"/>
      <c r="J33" s="149" t="inlineStr">
        <is>
          <t>X</t>
        </is>
      </c>
      <c r="K33" s="150" t="n"/>
      <c r="M33" s="1134" t="n"/>
      <c r="N33" s="1109" t="n"/>
      <c r="O33" s="1109" t="n"/>
      <c r="P33" s="1109" t="n"/>
      <c r="Q33" s="1109" t="n"/>
      <c r="R33" s="126" t="n"/>
      <c r="S33" s="1138" t="inlineStr">
        <is>
          <t>FINAL NET LIGHT DISPLACEMENT</t>
        </is>
      </c>
      <c r="T33" s="197" t="n"/>
      <c r="U33" s="197" t="n"/>
      <c r="V33" s="197" t="n"/>
      <c r="W33" s="197" t="n"/>
      <c r="X33" s="197" t="n"/>
      <c r="Y33" s="197" t="n"/>
      <c r="Z33" s="197" t="n"/>
      <c r="AA33" s="197" t="n"/>
      <c r="AB33" s="197" t="n"/>
      <c r="AC33" s="197" t="n"/>
      <c r="AD33" s="197" t="n"/>
      <c r="AE33" s="1045" t="n"/>
      <c r="AF33" s="256" t="n"/>
      <c r="AG33" s="410">
        <f>+AG27-AG28</f>
        <v/>
      </c>
      <c r="AH33" s="1109" t="n"/>
      <c r="AI33" s="1109" t="n"/>
      <c r="AJ33" s="1109" t="n"/>
      <c r="AK33" s="126" t="n"/>
      <c r="AL33" s="25" t="n"/>
      <c r="AM33" s="142" t="n"/>
      <c r="AN33" s="12" t="n"/>
      <c r="AO33" s="12" t="n"/>
      <c r="AP33" s="12" t="n"/>
      <c r="AQ33" s="12" t="n"/>
      <c r="AR33" s="496" t="inlineStr">
        <is>
          <t>MASTER</t>
        </is>
      </c>
      <c r="AS33" s="12" t="n"/>
      <c r="AT33" s="12" t="n"/>
      <c r="AU33" s="12" t="n"/>
      <c r="AV33" s="12" t="n"/>
      <c r="AW33" s="143" t="n"/>
      <c r="BG33" s="132">
        <f>BG29+0.5</f>
        <v/>
      </c>
      <c r="BH33" s="272" t="n"/>
      <c r="BI33" s="264">
        <f>+BG33-1</f>
        <v/>
      </c>
      <c r="BJ33" s="272" t="n"/>
    </row>
    <row r="34" ht="13.8" customHeight="1" thickBot="1">
      <c r="A34" s="411" t="inlineStr">
        <is>
          <t>HYDROSTATIC TB.</t>
        </is>
      </c>
      <c r="B34" s="412" t="n"/>
      <c r="C34" s="412" t="n"/>
      <c r="D34" s="412" t="n"/>
      <c r="E34" s="412" t="n"/>
      <c r="F34" s="412" t="n"/>
      <c r="G34" s="412" t="n"/>
      <c r="H34" s="463" t="n"/>
      <c r="I34" s="154" t="inlineStr">
        <is>
          <t>X</t>
        </is>
      </c>
      <c r="J34" s="154" t="n"/>
      <c r="K34" s="155" t="n"/>
      <c r="M34" s="475">
        <f>IF(M30=0,M31,M27-M28-M29-M30)</f>
        <v/>
      </c>
      <c r="N34" s="1109" t="n"/>
      <c r="O34" s="1109" t="n"/>
      <c r="P34" s="1109" t="n"/>
      <c r="Q34" s="1109" t="n"/>
      <c r="R34" s="156" t="n"/>
      <c r="S34" s="478" t="inlineStr">
        <is>
          <t>INIT FIGURE</t>
        </is>
      </c>
      <c r="T34" s="198" t="n"/>
      <c r="U34" s="198" t="n"/>
      <c r="V34" s="198" t="n"/>
      <c r="W34" s="198" t="n"/>
      <c r="X34" s="1139" t="n"/>
      <c r="Y34" s="479" t="inlineStr">
        <is>
          <t>SURVEY FIGURE</t>
        </is>
      </c>
      <c r="Z34" s="198" t="n"/>
      <c r="AA34" s="198" t="n"/>
      <c r="AB34" s="198" t="n"/>
      <c r="AC34" s="198" t="n"/>
      <c r="AD34" s="198" t="n"/>
      <c r="AE34" s="198" t="n"/>
      <c r="AF34" s="260" t="n"/>
      <c r="AG34" s="482">
        <f>ABS(+AG32-AG33)</f>
        <v/>
      </c>
      <c r="AH34" s="1109" t="n"/>
      <c r="AI34" s="1109" t="n"/>
      <c r="AJ34" s="1109" t="n"/>
      <c r="AK34" s="126" t="n"/>
      <c r="AL34" s="25" t="n"/>
      <c r="AM34" s="142" t="n"/>
      <c r="AN34" s="25" t="n"/>
      <c r="AO34" s="25" t="n"/>
      <c r="AP34" s="25" t="n"/>
      <c r="AQ34" s="25" t="n"/>
      <c r="AR34" s="25" t="n"/>
      <c r="AS34" s="25" t="n"/>
      <c r="AT34" s="25" t="n"/>
      <c r="AU34" s="25" t="n"/>
      <c r="AV34" s="25" t="n"/>
      <c r="AW34" s="143" t="n"/>
      <c r="BB34" s="979" t="inlineStr">
        <is>
          <t>INITIAL</t>
        </is>
      </c>
      <c r="BG34" s="25" t="n"/>
      <c r="BH34" s="25" t="n"/>
      <c r="BI34" s="25" t="n"/>
      <c r="BJ34" s="25" t="n"/>
    </row>
    <row r="35" ht="13.8" customHeight="1" thickBot="1">
      <c r="A35" s="411" t="inlineStr">
        <is>
          <t>DISTANCE TO MARKS</t>
        </is>
      </c>
      <c r="B35" s="412" t="n"/>
      <c r="C35" s="412" t="n"/>
      <c r="D35" s="412" t="n"/>
      <c r="E35" s="412" t="n"/>
      <c r="F35" s="412" t="n"/>
      <c r="G35" s="412" t="n"/>
      <c r="H35" s="463" t="n"/>
      <c r="I35" s="154" t="inlineStr">
        <is>
          <t>X</t>
        </is>
      </c>
      <c r="J35" s="154" t="n"/>
      <c r="K35" s="155" t="n"/>
      <c r="M35" s="483" t="n"/>
      <c r="N35" s="1113" t="n"/>
      <c r="O35" s="1113" t="n"/>
      <c r="P35" s="1113" t="n"/>
      <c r="Q35" s="1113" t="n"/>
      <c r="R35" s="158" t="n"/>
      <c r="S35" s="1140" t="inlineStr">
        <is>
          <t>B/L FIGURE</t>
        </is>
      </c>
      <c r="T35" s="1043" t="n"/>
      <c r="U35" s="1043" t="n"/>
      <c r="V35" s="1043" t="n"/>
      <c r="W35" s="1043" t="n"/>
      <c r="X35" s="1043" t="n"/>
      <c r="Y35" s="1043" t="n"/>
      <c r="Z35" s="1043" t="n"/>
      <c r="AA35" s="1043" t="n"/>
      <c r="AB35" s="1043" t="n"/>
      <c r="AC35" s="1043" t="n"/>
      <c r="AD35" s="1043" t="n"/>
      <c r="AE35" s="1044" t="n"/>
      <c r="AF35" s="258" t="n"/>
      <c r="AG35" s="489" t="n"/>
      <c r="AH35" s="1113" t="n"/>
      <c r="AI35" s="1113" t="n"/>
      <c r="AJ35" s="1113" t="n"/>
      <c r="AK35" s="1114" t="n"/>
      <c r="AL35" s="25" t="n"/>
      <c r="AM35" s="142" t="n"/>
      <c r="AN35" s="263">
        <f>General!AB10</f>
        <v/>
      </c>
      <c r="AO35" s="263" t="n"/>
      <c r="AP35" s="263" t="n"/>
      <c r="AQ35" s="263" t="n"/>
      <c r="AR35" s="263" t="n"/>
      <c r="AS35" s="263" t="n"/>
      <c r="AT35" s="263" t="n"/>
      <c r="AU35" s="263" t="n"/>
      <c r="AV35" s="263" t="n"/>
      <c r="AW35" s="143" t="n"/>
      <c r="BA35" s="1141">
        <f>+A8</f>
        <v/>
      </c>
      <c r="BB35" s="160">
        <f>+BB36</f>
        <v/>
      </c>
      <c r="BC35" s="1142">
        <f>BA35+BB35*((BC36-BA36)/BB36)</f>
        <v/>
      </c>
      <c r="BG35" s="162" t="inlineStr">
        <is>
          <t xml:space="preserve">DRAFT </t>
        </is>
      </c>
      <c r="BH35" s="162" t="inlineStr">
        <is>
          <t>DISP</t>
        </is>
      </c>
      <c r="BI35" s="162" t="inlineStr">
        <is>
          <t>TPC</t>
        </is>
      </c>
      <c r="BJ35" s="162" t="inlineStr">
        <is>
          <t>LCF</t>
        </is>
      </c>
    </row>
    <row r="36" ht="13.8" customHeight="1" thickBot="1">
      <c r="A36" s="1131" t="inlineStr">
        <is>
          <t>BALLAST TABLES</t>
        </is>
      </c>
      <c r="H36" s="1132" t="n"/>
      <c r="I36" s="154" t="inlineStr">
        <is>
          <t>X</t>
        </is>
      </c>
      <c r="J36" s="154" t="n"/>
      <c r="K36" s="155" t="n"/>
      <c r="M36" s="468">
        <f>+M34-M35</f>
        <v/>
      </c>
      <c r="N36" s="156" t="n"/>
      <c r="O36" s="156" t="n"/>
      <c r="P36" s="156" t="n"/>
      <c r="Q36" s="156" t="n"/>
      <c r="R36" s="158" t="n"/>
      <c r="S36" s="1143" t="inlineStr">
        <is>
          <t>DIFFERENCE</t>
        </is>
      </c>
      <c r="T36" s="197" t="n"/>
      <c r="U36" s="197" t="n"/>
      <c r="V36" s="197" t="n"/>
      <c r="W36" s="197" t="n"/>
      <c r="X36" s="197" t="n"/>
      <c r="Y36" s="197" t="n"/>
      <c r="Z36" s="197" t="n"/>
      <c r="AA36" s="197" t="n"/>
      <c r="AB36" s="197" t="n"/>
      <c r="AC36" s="197" t="n"/>
      <c r="AD36" s="197" t="n"/>
      <c r="AE36" s="1045" t="n"/>
      <c r="AF36" s="258" t="n"/>
      <c r="AG36" s="474">
        <f>+AG34-AG35</f>
        <v/>
      </c>
      <c r="AH36" s="156" t="n"/>
      <c r="AI36" s="156" t="n"/>
      <c r="AJ36" s="156" t="n"/>
      <c r="AK36" s="158" t="n"/>
      <c r="AL36" s="25" t="n"/>
      <c r="AM36" s="163" t="n"/>
      <c r="AN36" s="12" t="n"/>
      <c r="AO36" s="12" t="n"/>
      <c r="AP36" s="12" t="n"/>
      <c r="AQ36" s="12" t="n"/>
      <c r="AR36" s="496" t="inlineStr">
        <is>
          <t>MSL   SURVEYOR</t>
        </is>
      </c>
      <c r="AS36" s="12" t="n"/>
      <c r="AT36" s="12" t="n"/>
      <c r="AU36" s="12" t="n"/>
      <c r="AV36" s="12" t="n"/>
      <c r="AW36" s="143" t="n"/>
      <c r="BA36" s="1144">
        <f>+A9</f>
        <v/>
      </c>
      <c r="BB36" s="165">
        <f>+General!M21</f>
        <v/>
      </c>
      <c r="BC36" s="1145">
        <f>+E9</f>
        <v/>
      </c>
      <c r="BG36" s="272" t="n"/>
      <c r="BH36" s="272" t="n"/>
      <c r="BI36" s="1146" t="n"/>
      <c r="BJ36" s="1147" t="n"/>
    </row>
    <row r="37" ht="24" customHeight="1" thickBot="1">
      <c r="A37" s="455" t="inlineStr">
        <is>
          <t>Head Office – Alajuela, Plaa Aeropuerto Local G-14 - Phone (506) 8814-07-84 – Tele (506) 4037-5903
 www.mslogisticsgroup.com</t>
        </is>
      </c>
      <c r="BA37" s="1148">
        <f>+A10</f>
        <v/>
      </c>
      <c r="BB37" s="168">
        <f>+BB36</f>
        <v/>
      </c>
      <c r="BC37" s="1142">
        <f>BA37+BB37*((BC36-BA36)/BB36)</f>
        <v/>
      </c>
      <c r="BG37" s="1126">
        <f>+AQ13</f>
        <v/>
      </c>
      <c r="BH37" s="145">
        <f>BH36+(BG37-BG36)*(BH38-BH36)/(BG38-BG36)</f>
        <v/>
      </c>
      <c r="BI37" s="1127">
        <f>BI36+(BG37-BG36)*(BI38-BI36)/(BG38-BG36)</f>
        <v/>
      </c>
      <c r="BJ37" s="1128">
        <f>BJ36+(BG37-BG36)*(BJ38-BJ36)/(BG38-BG36)</f>
        <v/>
      </c>
    </row>
    <row r="38" ht="12" customHeight="1" thickBot="1">
      <c r="A38" s="456" t="inlineStr">
        <is>
          <t>REMARK: Swell Condition, Initial ( 0,10 to 0.20 Mtr) /  Final Draft ( 0,10 to 0,20 Mtr)</t>
        </is>
      </c>
      <c r="BA38" s="169" t="inlineStr">
        <is>
          <t>LIST =</t>
        </is>
      </c>
      <c r="BB38" s="170">
        <f>ROUND((ATAN((BA36-BC36)/BB36)*180/PI()),2)</f>
        <v/>
      </c>
      <c r="BC38" s="171" t="inlineStr">
        <is>
          <t>º</t>
        </is>
      </c>
      <c r="BG38" s="275" t="n"/>
      <c r="BH38" s="275" t="n"/>
      <c r="BI38" s="1149" t="n"/>
      <c r="BJ38" s="1150" t="n"/>
    </row>
    <row r="39" ht="13.8" customHeight="1" thickBot="1">
      <c r="BA39" s="1142">
        <f>BC39+BB39*((BA40-BC40)/BB40)</f>
        <v/>
      </c>
      <c r="BB39" s="160">
        <f>+BB40</f>
        <v/>
      </c>
      <c r="BC39" s="1141">
        <f>+E8</f>
        <v/>
      </c>
      <c r="BG39" s="162" t="inlineStr">
        <is>
          <t>DRAFT +</t>
        </is>
      </c>
      <c r="BH39" s="162" t="inlineStr">
        <is>
          <t>MTC +50</t>
        </is>
      </c>
      <c r="BI39" s="162" t="inlineStr">
        <is>
          <t>DRAFT -</t>
        </is>
      </c>
      <c r="BJ39" s="162" t="inlineStr">
        <is>
          <t>MTC - 50</t>
        </is>
      </c>
    </row>
    <row r="40" ht="13.8" customHeight="1" thickBot="1">
      <c r="BA40" s="1145">
        <f>+A9</f>
        <v/>
      </c>
      <c r="BB40" s="165">
        <f>+BB36</f>
        <v/>
      </c>
      <c r="BC40" s="1144">
        <f>+E9</f>
        <v/>
      </c>
      <c r="BG40" s="272" t="n"/>
      <c r="BH40" s="272" t="n"/>
      <c r="BI40" s="278">
        <f>+BG40-1</f>
        <v/>
      </c>
      <c r="BJ40" s="272" t="n"/>
    </row>
    <row r="41" ht="13.8" customHeight="1" thickBot="1">
      <c r="BA41" s="1142">
        <f>BC41+BB41*((BA40-BC40)/BB40)</f>
        <v/>
      </c>
      <c r="BB41" s="168">
        <f>+BB40</f>
        <v/>
      </c>
      <c r="BC41" s="1148">
        <f>+E10</f>
        <v/>
      </c>
      <c r="BG41" s="1136">
        <f>+BG37+0.5</f>
        <v/>
      </c>
      <c r="BH41" s="145">
        <f>BH40+(BG41-BG40)*(BH42-BH40)/(BG42-BG40)</f>
        <v/>
      </c>
      <c r="BI41" s="1137">
        <f>+BG41-1</f>
        <v/>
      </c>
      <c r="BJ41" s="153">
        <f>BJ40+(BI41-BI40)*(BJ42-BJ40)/(BI42-BI40)</f>
        <v/>
      </c>
    </row>
    <row r="42" ht="13.8" customHeight="1" thickBot="1">
      <c r="BA42" s="169" t="inlineStr">
        <is>
          <t>LIST =</t>
        </is>
      </c>
      <c r="BB42" s="170">
        <f>ROUND((ATAN((BC40-BA40)/BB40)*180/PI()),2)</f>
        <v/>
      </c>
      <c r="BC42" s="171" t="inlineStr">
        <is>
          <t>º</t>
        </is>
      </c>
      <c r="BG42" s="132">
        <f>BG38+0.5</f>
        <v/>
      </c>
      <c r="BH42" s="272" t="n"/>
      <c r="BI42" s="278">
        <f>+BG42-1</f>
        <v/>
      </c>
      <c r="BJ42" s="272" t="n"/>
    </row>
    <row r="45" ht="13.8" customHeight="1" thickBot="1">
      <c r="BB45" s="979" t="inlineStr">
        <is>
          <t>FINAL</t>
        </is>
      </c>
    </row>
    <row r="46" ht="13.8" customHeight="1" thickBot="1">
      <c r="BA46" s="1141">
        <f>+Z8</f>
        <v/>
      </c>
      <c r="BB46" s="160">
        <f>+BB47</f>
        <v/>
      </c>
      <c r="BC46" s="1151">
        <f>BA46+BB46*((BC47-BA47)/BB47)</f>
        <v/>
      </c>
    </row>
    <row r="47" ht="13.8" customHeight="1" thickBot="1">
      <c r="BA47" s="1144">
        <f>+Z9</f>
        <v/>
      </c>
      <c r="BB47" s="165">
        <f>+BB36</f>
        <v/>
      </c>
      <c r="BC47" s="1145">
        <f>+AD9</f>
        <v/>
      </c>
    </row>
    <row r="48" ht="13.8" customHeight="1" thickBot="1">
      <c r="BA48" s="1148">
        <f>+Z10</f>
        <v/>
      </c>
      <c r="BB48" s="168">
        <f>+BB47</f>
        <v/>
      </c>
      <c r="BC48" s="1151">
        <f>BA48+BB48*((BC47-BA47)/BB47)</f>
        <v/>
      </c>
    </row>
    <row r="49" ht="13.8" customHeight="1" thickBot="1">
      <c r="BA49" s="169" t="inlineStr">
        <is>
          <t>LIST =</t>
        </is>
      </c>
      <c r="BB49" s="170">
        <f>ROUND((ATAN((BA47-BC47)/BB47)*180/PI()),2)</f>
        <v/>
      </c>
      <c r="BC49" s="171" t="inlineStr">
        <is>
          <t>º</t>
        </is>
      </c>
    </row>
    <row r="50" ht="13.8" customHeight="1" thickBot="1">
      <c r="BA50" s="1151">
        <f>BC50+BB50*((BA51-BC51)/BB51)</f>
        <v/>
      </c>
      <c r="BB50" s="160">
        <f>+BB51</f>
        <v/>
      </c>
      <c r="BC50" s="1141">
        <f>+AD8</f>
        <v/>
      </c>
    </row>
    <row r="51" ht="13.8" customHeight="1" thickBot="1">
      <c r="BA51" s="1145">
        <f>+Z9</f>
        <v/>
      </c>
      <c r="BB51" s="165">
        <f>+BB47</f>
        <v/>
      </c>
      <c r="BC51" s="1144">
        <f>+AD9</f>
        <v/>
      </c>
    </row>
    <row r="52" ht="13.8" customHeight="1" thickBot="1">
      <c r="BA52" s="1151">
        <f>BC52+BB52*((BA51-BC51)/BB51)</f>
        <v/>
      </c>
      <c r="BB52" s="168">
        <f>+BB51</f>
        <v/>
      </c>
      <c r="BC52" s="1148">
        <f>+AD10</f>
        <v/>
      </c>
    </row>
    <row r="53" ht="13.8" customHeight="1" thickBot="1">
      <c r="BA53" s="169" t="inlineStr">
        <is>
          <t>LIST =</t>
        </is>
      </c>
      <c r="BB53" s="170">
        <f>ROUND((ATAN((BC51-BA51)/BB51)*180/PI()),2)</f>
        <v/>
      </c>
      <c r="BC53" s="171" t="inlineStr">
        <is>
          <t>º</t>
        </is>
      </c>
    </row>
  </sheetData>
  <mergeCells count="227">
    <mergeCell ref="A37:AW37"/>
    <mergeCell ref="V10:X10"/>
    <mergeCell ref="M34:Q34"/>
    <mergeCell ref="AG20:AK20"/>
    <mergeCell ref="AG29:AK29"/>
    <mergeCell ref="AD8:AH8"/>
    <mergeCell ref="AQ9:AT9"/>
    <mergeCell ref="Q4:S4"/>
    <mergeCell ref="AS20:AW20"/>
    <mergeCell ref="Z10:AC10"/>
    <mergeCell ref="Q5:AW5"/>
    <mergeCell ref="AH16:AK16"/>
    <mergeCell ref="AG22:AK22"/>
    <mergeCell ref="A13:D13"/>
    <mergeCell ref="A14:AW14"/>
    <mergeCell ref="AG31:AK31"/>
    <mergeCell ref="AS4:AW4"/>
    <mergeCell ref="AS22:AW22"/>
    <mergeCell ref="AM20:AR20"/>
    <mergeCell ref="Z9:AC9"/>
    <mergeCell ref="AP2:AR2"/>
    <mergeCell ref="AG21:AK21"/>
    <mergeCell ref="S31:AE31"/>
    <mergeCell ref="A38:AW38"/>
    <mergeCell ref="S26:AE26"/>
    <mergeCell ref="AD12:AG12"/>
    <mergeCell ref="A15:D15"/>
    <mergeCell ref="U15:X15"/>
    <mergeCell ref="A20:F20"/>
    <mergeCell ref="S21:AE21"/>
    <mergeCell ref="M21:Q21"/>
    <mergeCell ref="J9:M9"/>
    <mergeCell ref="T2:X2"/>
    <mergeCell ref="G24:K24"/>
    <mergeCell ref="AQ7:AT7"/>
    <mergeCell ref="A7:D7"/>
    <mergeCell ref="I16:L16"/>
    <mergeCell ref="A16:D16"/>
    <mergeCell ref="M27:Q27"/>
    <mergeCell ref="AQ12:AW12"/>
    <mergeCell ref="AM26:AR26"/>
    <mergeCell ref="AU8:AW8"/>
    <mergeCell ref="U16:X16"/>
    <mergeCell ref="AM2:AO2"/>
    <mergeCell ref="G26:K26"/>
    <mergeCell ref="A24:F24"/>
    <mergeCell ref="M24:Q24"/>
    <mergeCell ref="A1:P5"/>
    <mergeCell ref="AM23:AR23"/>
    <mergeCell ref="M16:P16"/>
    <mergeCell ref="AU10:AW10"/>
    <mergeCell ref="Z6:AW6"/>
    <mergeCell ref="AG33:AK33"/>
    <mergeCell ref="G25:K25"/>
    <mergeCell ref="AL12:AO12"/>
    <mergeCell ref="AQ8:AT8"/>
    <mergeCell ref="AS24:AW24"/>
    <mergeCell ref="AS18:AW18"/>
    <mergeCell ref="AP15:AS15"/>
    <mergeCell ref="A31:H31"/>
    <mergeCell ref="AD9:AH9"/>
    <mergeCell ref="AU9:AW9"/>
    <mergeCell ref="AG35:AK35"/>
    <mergeCell ref="AQ10:AT10"/>
    <mergeCell ref="Y2:AA2"/>
    <mergeCell ref="Z13:AC13"/>
    <mergeCell ref="AS26:AW26"/>
    <mergeCell ref="AM24:AR24"/>
    <mergeCell ref="S36:AE36"/>
    <mergeCell ref="AG34:AK34"/>
    <mergeCell ref="AG25:AK25"/>
    <mergeCell ref="S30:AE30"/>
    <mergeCell ref="A18:F18"/>
    <mergeCell ref="AD16:AG16"/>
    <mergeCell ref="AM1:AO1"/>
    <mergeCell ref="S20:AE20"/>
    <mergeCell ref="Z15:AC15"/>
    <mergeCell ref="AP16:AS16"/>
    <mergeCell ref="T4:X4"/>
    <mergeCell ref="S29:AE29"/>
    <mergeCell ref="I13:L13"/>
    <mergeCell ref="S34:X34"/>
    <mergeCell ref="M20:Q20"/>
    <mergeCell ref="R8:U8"/>
    <mergeCell ref="M33:R33"/>
    <mergeCell ref="E12:H12"/>
    <mergeCell ref="J8:M8"/>
    <mergeCell ref="S22:AE22"/>
    <mergeCell ref="AD10:AH10"/>
    <mergeCell ref="A22:F22"/>
    <mergeCell ref="AT16:AW16"/>
    <mergeCell ref="I15:L15"/>
    <mergeCell ref="A25:F25"/>
    <mergeCell ref="M22:Q22"/>
    <mergeCell ref="M31:Q31"/>
    <mergeCell ref="R10:U10"/>
    <mergeCell ref="AU7:AW7"/>
    <mergeCell ref="J10:M10"/>
    <mergeCell ref="AI4:AM4"/>
    <mergeCell ref="T19:AE19"/>
    <mergeCell ref="Y4:AA4"/>
    <mergeCell ref="AS23:AW23"/>
    <mergeCell ref="AP3:AR3"/>
    <mergeCell ref="M26:Q26"/>
    <mergeCell ref="M13:P13"/>
    <mergeCell ref="M29:Q29"/>
    <mergeCell ref="Z12:AC12"/>
    <mergeCell ref="M23:Q23"/>
    <mergeCell ref="AG24:AK24"/>
    <mergeCell ref="AI7:AL7"/>
    <mergeCell ref="K27:K29"/>
    <mergeCell ref="T3:X3"/>
    <mergeCell ref="AM10:AP10"/>
    <mergeCell ref="S24:AE24"/>
    <mergeCell ref="A30:H30"/>
    <mergeCell ref="S33:AE33"/>
    <mergeCell ref="AG26:AK26"/>
    <mergeCell ref="AQ13:AW13"/>
    <mergeCell ref="AM7:AP7"/>
    <mergeCell ref="E16:H16"/>
    <mergeCell ref="A26:F26"/>
    <mergeCell ref="S35:AE35"/>
    <mergeCell ref="E8:I8"/>
    <mergeCell ref="AF30:AK30"/>
    <mergeCell ref="M35:Q35"/>
    <mergeCell ref="A17:AW17"/>
    <mergeCell ref="J27:J29"/>
    <mergeCell ref="AS25:AW25"/>
    <mergeCell ref="AH13:AK13"/>
    <mergeCell ref="AM8:AP8"/>
    <mergeCell ref="E10:I10"/>
    <mergeCell ref="AG27:AK27"/>
    <mergeCell ref="G19:K19"/>
    <mergeCell ref="AG36:AK36"/>
    <mergeCell ref="AL15:AO15"/>
    <mergeCell ref="N7:Q7"/>
    <mergeCell ref="V7:X7"/>
    <mergeCell ref="E9:I9"/>
    <mergeCell ref="AM25:AR25"/>
    <mergeCell ref="R13:X13"/>
    <mergeCell ref="M30:Q30"/>
    <mergeCell ref="A19:F19"/>
    <mergeCell ref="F7:I7"/>
    <mergeCell ref="Q1:X1"/>
    <mergeCell ref="AB4:AH4"/>
    <mergeCell ref="AM18:AR18"/>
    <mergeCell ref="AB2:AL2"/>
    <mergeCell ref="M28:Q28"/>
    <mergeCell ref="Z16:AC16"/>
    <mergeCell ref="AG19:AK19"/>
    <mergeCell ref="R7:U7"/>
    <mergeCell ref="A11:AW11"/>
    <mergeCell ref="AG28:AK28"/>
    <mergeCell ref="A27:H29"/>
    <mergeCell ref="AL16:AO16"/>
    <mergeCell ref="AS19:AW19"/>
    <mergeCell ref="E13:H13"/>
    <mergeCell ref="AI3:AM3"/>
    <mergeCell ref="S23:AE23"/>
    <mergeCell ref="N8:Q8"/>
    <mergeCell ref="AS3:AW3"/>
    <mergeCell ref="A12:D12"/>
    <mergeCell ref="M32:Q32"/>
    <mergeCell ref="AM19:AR19"/>
    <mergeCell ref="Z8:AC8"/>
    <mergeCell ref="E15:H15"/>
    <mergeCell ref="M12:P12"/>
    <mergeCell ref="N10:Q10"/>
    <mergeCell ref="AG23:AK23"/>
    <mergeCell ref="Q15:T15"/>
    <mergeCell ref="G21:K21"/>
    <mergeCell ref="Y1:AA1"/>
    <mergeCell ref="N9:Q9"/>
    <mergeCell ref="V9:X9"/>
    <mergeCell ref="A36:H36"/>
    <mergeCell ref="G23:K23"/>
    <mergeCell ref="A21:F21"/>
    <mergeCell ref="R9:U9"/>
    <mergeCell ref="S32:AE32"/>
    <mergeCell ref="AI8:AL8"/>
    <mergeCell ref="Q16:T16"/>
    <mergeCell ref="A23:F23"/>
    <mergeCell ref="AS21:AW21"/>
    <mergeCell ref="A8:C8"/>
    <mergeCell ref="AB3:AH3"/>
    <mergeCell ref="AB1:AL1"/>
    <mergeCell ref="AE7:AH7"/>
    <mergeCell ref="AH12:AK12"/>
    <mergeCell ref="S25:AE25"/>
    <mergeCell ref="AG32:AK32"/>
    <mergeCell ref="G18:K18"/>
    <mergeCell ref="I27:I29"/>
    <mergeCell ref="AI10:AL10"/>
    <mergeCell ref="A10:C10"/>
    <mergeCell ref="Q2:S2"/>
    <mergeCell ref="AM21:AR21"/>
    <mergeCell ref="M25:Q25"/>
    <mergeCell ref="S27:AE27"/>
    <mergeCell ref="S18:AE18"/>
    <mergeCell ref="AD13:AG13"/>
    <mergeCell ref="AI9:AL9"/>
    <mergeCell ref="AS2:AW2"/>
    <mergeCell ref="A9:C9"/>
    <mergeCell ref="M36:Q36"/>
    <mergeCell ref="Z7:AC7"/>
    <mergeCell ref="M18:Q18"/>
    <mergeCell ref="AP4:AR4"/>
    <mergeCell ref="Y3:AA3"/>
    <mergeCell ref="AG18:AK18"/>
    <mergeCell ref="AD15:AG15"/>
    <mergeCell ref="Q3:S3"/>
    <mergeCell ref="AM9:AP9"/>
    <mergeCell ref="G20:K20"/>
    <mergeCell ref="AL13:AO13"/>
    <mergeCell ref="S28:AE28"/>
    <mergeCell ref="I12:L12"/>
    <mergeCell ref="R12:X12"/>
    <mergeCell ref="V8:X8"/>
    <mergeCell ref="Y34:AE34"/>
    <mergeCell ref="AM22:AR22"/>
    <mergeCell ref="M15:P15"/>
    <mergeCell ref="M19:Q19"/>
    <mergeCell ref="J7:M7"/>
    <mergeCell ref="AH15:AK15"/>
    <mergeCell ref="G22:K22"/>
    <mergeCell ref="A6:X6"/>
    <mergeCell ref="AT15:AW15"/>
  </mergeCells>
  <printOptions horizontalCentered="1" verticalCentered="1"/>
  <pageMargins left="0.6692913385826772" right="0.5511811023622047" top="0.3543307086614174" bottom="0.3937007874015748" header="0" footer="0"/>
  <pageSetup orientation="landscape" scale="99" horizontalDpi="300" verticalDpi="300"/>
  <headerFooter alignWithMargins="0">
    <oddHeader/>
    <oddFooter>&amp;RPage 1 of 4</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tabColor rgb="FFFFFF00"/>
    <outlinePr summaryBelow="1" summaryRight="1"/>
    <pageSetUpPr/>
  </sheetPr>
  <dimension ref="A1:AU70"/>
  <sheetViews>
    <sheetView showGridLines="0" showZeros="0" zoomScale="87" zoomScaleNormal="87" workbookViewId="0">
      <selection activeCell="T11" sqref="T11:V25"/>
    </sheetView>
  </sheetViews>
  <sheetFormatPr baseColWidth="8" defaultColWidth="11.5546875" defaultRowHeight="13.2"/>
  <cols>
    <col width="2.44140625" customWidth="1" min="1" max="5"/>
    <col width="3.33203125" customWidth="1" min="6" max="6"/>
    <col width="2.44140625" customWidth="1" min="7" max="11"/>
    <col width="2.6640625" customWidth="1" min="12" max="12"/>
    <col width="4.88671875" customWidth="1" min="13" max="13"/>
    <col width="2.44140625" customWidth="1" min="14" max="14"/>
    <col width="1.5546875" customWidth="1" min="15" max="15"/>
    <col width="2.44140625" customWidth="1" min="16" max="17"/>
    <col width="2.6640625" customWidth="1" min="18" max="18"/>
    <col width="2.44140625" customWidth="1" min="19" max="24"/>
    <col width="3.44140625" customWidth="1" min="25" max="25"/>
    <col width="2.44140625" customWidth="1" min="26" max="28"/>
    <col width="5.109375" customWidth="1" min="29" max="29"/>
    <col width="2.44140625" customWidth="1" min="30" max="30"/>
    <col width="2.6640625" customWidth="1" min="31" max="31"/>
    <col width="2.44140625" customWidth="1" min="32" max="36"/>
    <col width="5.109375" customWidth="1" min="37" max="37"/>
    <col width="2.44140625" customWidth="1" min="38" max="39"/>
    <col width="9" bestFit="1" customWidth="1" min="40" max="40"/>
    <col width="10.5546875" customWidth="1" min="41" max="41"/>
    <col width="11" customWidth="1" min="42" max="42"/>
    <col width="11.5546875" customWidth="1" min="43" max="43"/>
    <col width="9.109375" bestFit="1" customWidth="1" min="44" max="44"/>
    <col width="12.6640625" customWidth="1" min="45" max="45"/>
    <col width="2.44140625" customWidth="1" min="257" max="261"/>
    <col width="3.33203125" customWidth="1" min="262" max="262"/>
    <col width="2.44140625" customWidth="1" min="263" max="267"/>
    <col width="2.6640625" customWidth="1" min="268" max="268"/>
    <col width="2.44140625" customWidth="1" min="269" max="270"/>
    <col width="1.5546875" customWidth="1" min="271" max="271"/>
    <col width="2.44140625" customWidth="1" min="272" max="273"/>
    <col width="2.6640625" customWidth="1" min="274" max="274"/>
    <col width="2.44140625" customWidth="1" min="275" max="280"/>
    <col width="3.44140625" customWidth="1" min="281" max="281"/>
    <col width="2.44140625" customWidth="1" min="282" max="286"/>
    <col width="2.6640625" customWidth="1" min="287" max="287"/>
    <col width="2.44140625" customWidth="1" min="288" max="292"/>
    <col width="2.5546875" customWidth="1" min="293" max="293"/>
    <col width="2.44140625" customWidth="1" min="294" max="301"/>
    <col width="2.44140625" customWidth="1" min="513" max="517"/>
    <col width="3.33203125" customWidth="1" min="518" max="518"/>
    <col width="2.44140625" customWidth="1" min="519" max="523"/>
    <col width="2.6640625" customWidth="1" min="524" max="524"/>
    <col width="2.44140625" customWidth="1" min="525" max="526"/>
    <col width="1.5546875" customWidth="1" min="527" max="527"/>
    <col width="2.44140625" customWidth="1" min="528" max="529"/>
    <col width="2.6640625" customWidth="1" min="530" max="530"/>
    <col width="2.44140625" customWidth="1" min="531" max="536"/>
    <col width="3.44140625" customWidth="1" min="537" max="537"/>
    <col width="2.44140625" customWidth="1" min="538" max="542"/>
    <col width="2.6640625" customWidth="1" min="543" max="543"/>
    <col width="2.44140625" customWidth="1" min="544" max="548"/>
    <col width="2.5546875" customWidth="1" min="549" max="549"/>
    <col width="2.44140625" customWidth="1" min="550" max="557"/>
    <col width="2.44140625" customWidth="1" min="769" max="773"/>
    <col width="3.33203125" customWidth="1" min="774" max="774"/>
    <col width="2.44140625" customWidth="1" min="775" max="779"/>
    <col width="2.6640625" customWidth="1" min="780" max="780"/>
    <col width="2.44140625" customWidth="1" min="781" max="782"/>
    <col width="1.5546875" customWidth="1" min="783" max="783"/>
    <col width="2.44140625" customWidth="1" min="784" max="785"/>
    <col width="2.6640625" customWidth="1" min="786" max="786"/>
    <col width="2.44140625" customWidth="1" min="787" max="792"/>
    <col width="3.44140625" customWidth="1" min="793" max="793"/>
    <col width="2.44140625" customWidth="1" min="794" max="798"/>
    <col width="2.6640625" customWidth="1" min="799" max="799"/>
    <col width="2.44140625" customWidth="1" min="800" max="804"/>
    <col width="2.5546875" customWidth="1" min="805" max="805"/>
    <col width="2.44140625" customWidth="1" min="806" max="813"/>
    <col width="2.44140625" customWidth="1" min="1025" max="1029"/>
    <col width="3.33203125" customWidth="1" min="1030" max="1030"/>
    <col width="2.44140625" customWidth="1" min="1031" max="1035"/>
    <col width="2.6640625" customWidth="1" min="1036" max="1036"/>
    <col width="2.44140625" customWidth="1" min="1037" max="1038"/>
    <col width="1.5546875" customWidth="1" min="1039" max="1039"/>
    <col width="2.44140625" customWidth="1" min="1040" max="1041"/>
    <col width="2.6640625" customWidth="1" min="1042" max="1042"/>
    <col width="2.44140625" customWidth="1" min="1043" max="1048"/>
    <col width="3.44140625" customWidth="1" min="1049" max="1049"/>
    <col width="2.44140625" customWidth="1" min="1050" max="1054"/>
    <col width="2.6640625" customWidth="1" min="1055" max="1055"/>
    <col width="2.44140625" customWidth="1" min="1056" max="1060"/>
    <col width="2.5546875" customWidth="1" min="1061" max="1061"/>
    <col width="2.44140625" customWidth="1" min="1062" max="1069"/>
    <col width="2.44140625" customWidth="1" min="1281" max="1285"/>
    <col width="3.33203125" customWidth="1" min="1286" max="1286"/>
    <col width="2.44140625" customWidth="1" min="1287" max="1291"/>
    <col width="2.6640625" customWidth="1" min="1292" max="1292"/>
    <col width="2.44140625" customWidth="1" min="1293" max="1294"/>
    <col width="1.5546875" customWidth="1" min="1295" max="1295"/>
    <col width="2.44140625" customWidth="1" min="1296" max="1297"/>
    <col width="2.6640625" customWidth="1" min="1298" max="1298"/>
    <col width="2.44140625" customWidth="1" min="1299" max="1304"/>
    <col width="3.44140625" customWidth="1" min="1305" max="1305"/>
    <col width="2.44140625" customWidth="1" min="1306" max="1310"/>
    <col width="2.6640625" customWidth="1" min="1311" max="1311"/>
    <col width="2.44140625" customWidth="1" min="1312" max="1316"/>
    <col width="2.5546875" customWidth="1" min="1317" max="1317"/>
    <col width="2.44140625" customWidth="1" min="1318" max="1325"/>
    <col width="2.44140625" customWidth="1" min="1537" max="1541"/>
    <col width="3.33203125" customWidth="1" min="1542" max="1542"/>
    <col width="2.44140625" customWidth="1" min="1543" max="1547"/>
    <col width="2.6640625" customWidth="1" min="1548" max="1548"/>
    <col width="2.44140625" customWidth="1" min="1549" max="1550"/>
    <col width="1.5546875" customWidth="1" min="1551" max="1551"/>
    <col width="2.44140625" customWidth="1" min="1552" max="1553"/>
    <col width="2.6640625" customWidth="1" min="1554" max="1554"/>
    <col width="2.44140625" customWidth="1" min="1555" max="1560"/>
    <col width="3.44140625" customWidth="1" min="1561" max="1561"/>
    <col width="2.44140625" customWidth="1" min="1562" max="1566"/>
    <col width="2.6640625" customWidth="1" min="1567" max="1567"/>
    <col width="2.44140625" customWidth="1" min="1568" max="1572"/>
    <col width="2.5546875" customWidth="1" min="1573" max="1573"/>
    <col width="2.44140625" customWidth="1" min="1574" max="1581"/>
    <col width="2.44140625" customWidth="1" min="1793" max="1797"/>
    <col width="3.33203125" customWidth="1" min="1798" max="1798"/>
    <col width="2.44140625" customWidth="1" min="1799" max="1803"/>
    <col width="2.6640625" customWidth="1" min="1804" max="1804"/>
    <col width="2.44140625" customWidth="1" min="1805" max="1806"/>
    <col width="1.5546875" customWidth="1" min="1807" max="1807"/>
    <col width="2.44140625" customWidth="1" min="1808" max="1809"/>
    <col width="2.6640625" customWidth="1" min="1810" max="1810"/>
    <col width="2.44140625" customWidth="1" min="1811" max="1816"/>
    <col width="3.44140625" customWidth="1" min="1817" max="1817"/>
    <col width="2.44140625" customWidth="1" min="1818" max="1822"/>
    <col width="2.6640625" customWidth="1" min="1823" max="1823"/>
    <col width="2.44140625" customWidth="1" min="1824" max="1828"/>
    <col width="2.5546875" customWidth="1" min="1829" max="1829"/>
    <col width="2.44140625" customWidth="1" min="1830" max="1837"/>
    <col width="2.44140625" customWidth="1" min="2049" max="2053"/>
    <col width="3.33203125" customWidth="1" min="2054" max="2054"/>
    <col width="2.44140625" customWidth="1" min="2055" max="2059"/>
    <col width="2.6640625" customWidth="1" min="2060" max="2060"/>
    <col width="2.44140625" customWidth="1" min="2061" max="2062"/>
    <col width="1.5546875" customWidth="1" min="2063" max="2063"/>
    <col width="2.44140625" customWidth="1" min="2064" max="2065"/>
    <col width="2.6640625" customWidth="1" min="2066" max="2066"/>
    <col width="2.44140625" customWidth="1" min="2067" max="2072"/>
    <col width="3.44140625" customWidth="1" min="2073" max="2073"/>
    <col width="2.44140625" customWidth="1" min="2074" max="2078"/>
    <col width="2.6640625" customWidth="1" min="2079" max="2079"/>
    <col width="2.44140625" customWidth="1" min="2080" max="2084"/>
    <col width="2.5546875" customWidth="1" min="2085" max="2085"/>
    <col width="2.44140625" customWidth="1" min="2086" max="2093"/>
    <col width="2.44140625" customWidth="1" min="2305" max="2309"/>
    <col width="3.33203125" customWidth="1" min="2310" max="2310"/>
    <col width="2.44140625" customWidth="1" min="2311" max="2315"/>
    <col width="2.6640625" customWidth="1" min="2316" max="2316"/>
    <col width="2.44140625" customWidth="1" min="2317" max="2318"/>
    <col width="1.5546875" customWidth="1" min="2319" max="2319"/>
    <col width="2.44140625" customWidth="1" min="2320" max="2321"/>
    <col width="2.6640625" customWidth="1" min="2322" max="2322"/>
    <col width="2.44140625" customWidth="1" min="2323" max="2328"/>
    <col width="3.44140625" customWidth="1" min="2329" max="2329"/>
    <col width="2.44140625" customWidth="1" min="2330" max="2334"/>
    <col width="2.6640625" customWidth="1" min="2335" max="2335"/>
    <col width="2.44140625" customWidth="1" min="2336" max="2340"/>
    <col width="2.5546875" customWidth="1" min="2341" max="2341"/>
    <col width="2.44140625" customWidth="1" min="2342" max="2349"/>
    <col width="2.44140625" customWidth="1" min="2561" max="2565"/>
    <col width="3.33203125" customWidth="1" min="2566" max="2566"/>
    <col width="2.44140625" customWidth="1" min="2567" max="2571"/>
    <col width="2.6640625" customWidth="1" min="2572" max="2572"/>
    <col width="2.44140625" customWidth="1" min="2573" max="2574"/>
    <col width="1.5546875" customWidth="1" min="2575" max="2575"/>
    <col width="2.44140625" customWidth="1" min="2576" max="2577"/>
    <col width="2.6640625" customWidth="1" min="2578" max="2578"/>
    <col width="2.44140625" customWidth="1" min="2579" max="2584"/>
    <col width="3.44140625" customWidth="1" min="2585" max="2585"/>
    <col width="2.44140625" customWidth="1" min="2586" max="2590"/>
    <col width="2.6640625" customWidth="1" min="2591" max="2591"/>
    <col width="2.44140625" customWidth="1" min="2592" max="2596"/>
    <col width="2.5546875" customWidth="1" min="2597" max="2597"/>
    <col width="2.44140625" customWidth="1" min="2598" max="2605"/>
    <col width="2.44140625" customWidth="1" min="2817" max="2821"/>
    <col width="3.33203125" customWidth="1" min="2822" max="2822"/>
    <col width="2.44140625" customWidth="1" min="2823" max="2827"/>
    <col width="2.6640625" customWidth="1" min="2828" max="2828"/>
    <col width="2.44140625" customWidth="1" min="2829" max="2830"/>
    <col width="1.5546875" customWidth="1" min="2831" max="2831"/>
    <col width="2.44140625" customWidth="1" min="2832" max="2833"/>
    <col width="2.6640625" customWidth="1" min="2834" max="2834"/>
    <col width="2.44140625" customWidth="1" min="2835" max="2840"/>
    <col width="3.44140625" customWidth="1" min="2841" max="2841"/>
    <col width="2.44140625" customWidth="1" min="2842" max="2846"/>
    <col width="2.6640625" customWidth="1" min="2847" max="2847"/>
    <col width="2.44140625" customWidth="1" min="2848" max="2852"/>
    <col width="2.5546875" customWidth="1" min="2853" max="2853"/>
    <col width="2.44140625" customWidth="1" min="2854" max="2861"/>
    <col width="2.44140625" customWidth="1" min="3073" max="3077"/>
    <col width="3.33203125" customWidth="1" min="3078" max="3078"/>
    <col width="2.44140625" customWidth="1" min="3079" max="3083"/>
    <col width="2.6640625" customWidth="1" min="3084" max="3084"/>
    <col width="2.44140625" customWidth="1" min="3085" max="3086"/>
    <col width="1.5546875" customWidth="1" min="3087" max="3087"/>
    <col width="2.44140625" customWidth="1" min="3088" max="3089"/>
    <col width="2.6640625" customWidth="1" min="3090" max="3090"/>
    <col width="2.44140625" customWidth="1" min="3091" max="3096"/>
    <col width="3.44140625" customWidth="1" min="3097" max="3097"/>
    <col width="2.44140625" customWidth="1" min="3098" max="3102"/>
    <col width="2.6640625" customWidth="1" min="3103" max="3103"/>
    <col width="2.44140625" customWidth="1" min="3104" max="3108"/>
    <col width="2.5546875" customWidth="1" min="3109" max="3109"/>
    <col width="2.44140625" customWidth="1" min="3110" max="3117"/>
    <col width="2.44140625" customWidth="1" min="3329" max="3333"/>
    <col width="3.33203125" customWidth="1" min="3334" max="3334"/>
    <col width="2.44140625" customWidth="1" min="3335" max="3339"/>
    <col width="2.6640625" customWidth="1" min="3340" max="3340"/>
    <col width="2.44140625" customWidth="1" min="3341" max="3342"/>
    <col width="1.5546875" customWidth="1" min="3343" max="3343"/>
    <col width="2.44140625" customWidth="1" min="3344" max="3345"/>
    <col width="2.6640625" customWidth="1" min="3346" max="3346"/>
    <col width="2.44140625" customWidth="1" min="3347" max="3352"/>
    <col width="3.44140625" customWidth="1" min="3353" max="3353"/>
    <col width="2.44140625" customWidth="1" min="3354" max="3358"/>
    <col width="2.6640625" customWidth="1" min="3359" max="3359"/>
    <col width="2.44140625" customWidth="1" min="3360" max="3364"/>
    <col width="2.5546875" customWidth="1" min="3365" max="3365"/>
    <col width="2.44140625" customWidth="1" min="3366" max="3373"/>
    <col width="2.44140625" customWidth="1" min="3585" max="3589"/>
    <col width="3.33203125" customWidth="1" min="3590" max="3590"/>
    <col width="2.44140625" customWidth="1" min="3591" max="3595"/>
    <col width="2.6640625" customWidth="1" min="3596" max="3596"/>
    <col width="2.44140625" customWidth="1" min="3597" max="3598"/>
    <col width="1.5546875" customWidth="1" min="3599" max="3599"/>
    <col width="2.44140625" customWidth="1" min="3600" max="3601"/>
    <col width="2.6640625" customWidth="1" min="3602" max="3602"/>
    <col width="2.44140625" customWidth="1" min="3603" max="3608"/>
    <col width="3.44140625" customWidth="1" min="3609" max="3609"/>
    <col width="2.44140625" customWidth="1" min="3610" max="3614"/>
    <col width="2.6640625" customWidth="1" min="3615" max="3615"/>
    <col width="2.44140625" customWidth="1" min="3616" max="3620"/>
    <col width="2.5546875" customWidth="1" min="3621" max="3621"/>
    <col width="2.44140625" customWidth="1" min="3622" max="3629"/>
    <col width="2.44140625" customWidth="1" min="3841" max="3845"/>
    <col width="3.33203125" customWidth="1" min="3846" max="3846"/>
    <col width="2.44140625" customWidth="1" min="3847" max="3851"/>
    <col width="2.6640625" customWidth="1" min="3852" max="3852"/>
    <col width="2.44140625" customWidth="1" min="3853" max="3854"/>
    <col width="1.5546875" customWidth="1" min="3855" max="3855"/>
    <col width="2.44140625" customWidth="1" min="3856" max="3857"/>
    <col width="2.6640625" customWidth="1" min="3858" max="3858"/>
    <col width="2.44140625" customWidth="1" min="3859" max="3864"/>
    <col width="3.44140625" customWidth="1" min="3865" max="3865"/>
    <col width="2.44140625" customWidth="1" min="3866" max="3870"/>
    <col width="2.6640625" customWidth="1" min="3871" max="3871"/>
    <col width="2.44140625" customWidth="1" min="3872" max="3876"/>
    <col width="2.5546875" customWidth="1" min="3877" max="3877"/>
    <col width="2.44140625" customWidth="1" min="3878" max="3885"/>
    <col width="2.44140625" customWidth="1" min="4097" max="4101"/>
    <col width="3.33203125" customWidth="1" min="4102" max="4102"/>
    <col width="2.44140625" customWidth="1" min="4103" max="4107"/>
    <col width="2.6640625" customWidth="1" min="4108" max="4108"/>
    <col width="2.44140625" customWidth="1" min="4109" max="4110"/>
    <col width="1.5546875" customWidth="1" min="4111" max="4111"/>
    <col width="2.44140625" customWidth="1" min="4112" max="4113"/>
    <col width="2.6640625" customWidth="1" min="4114" max="4114"/>
    <col width="2.44140625" customWidth="1" min="4115" max="4120"/>
    <col width="3.44140625" customWidth="1" min="4121" max="4121"/>
    <col width="2.44140625" customWidth="1" min="4122" max="4126"/>
    <col width="2.6640625" customWidth="1" min="4127" max="4127"/>
    <col width="2.44140625" customWidth="1" min="4128" max="4132"/>
    <col width="2.5546875" customWidth="1" min="4133" max="4133"/>
    <col width="2.44140625" customWidth="1" min="4134" max="4141"/>
    <col width="2.44140625" customWidth="1" min="4353" max="4357"/>
    <col width="3.33203125" customWidth="1" min="4358" max="4358"/>
    <col width="2.44140625" customWidth="1" min="4359" max="4363"/>
    <col width="2.6640625" customWidth="1" min="4364" max="4364"/>
    <col width="2.44140625" customWidth="1" min="4365" max="4366"/>
    <col width="1.5546875" customWidth="1" min="4367" max="4367"/>
    <col width="2.44140625" customWidth="1" min="4368" max="4369"/>
    <col width="2.6640625" customWidth="1" min="4370" max="4370"/>
    <col width="2.44140625" customWidth="1" min="4371" max="4376"/>
    <col width="3.44140625" customWidth="1" min="4377" max="4377"/>
    <col width="2.44140625" customWidth="1" min="4378" max="4382"/>
    <col width="2.6640625" customWidth="1" min="4383" max="4383"/>
    <col width="2.44140625" customWidth="1" min="4384" max="4388"/>
    <col width="2.5546875" customWidth="1" min="4389" max="4389"/>
    <col width="2.44140625" customWidth="1" min="4390" max="4397"/>
    <col width="2.44140625" customWidth="1" min="4609" max="4613"/>
    <col width="3.33203125" customWidth="1" min="4614" max="4614"/>
    <col width="2.44140625" customWidth="1" min="4615" max="4619"/>
    <col width="2.6640625" customWidth="1" min="4620" max="4620"/>
    <col width="2.44140625" customWidth="1" min="4621" max="4622"/>
    <col width="1.5546875" customWidth="1" min="4623" max="4623"/>
    <col width="2.44140625" customWidth="1" min="4624" max="4625"/>
    <col width="2.6640625" customWidth="1" min="4626" max="4626"/>
    <col width="2.44140625" customWidth="1" min="4627" max="4632"/>
    <col width="3.44140625" customWidth="1" min="4633" max="4633"/>
    <col width="2.44140625" customWidth="1" min="4634" max="4638"/>
    <col width="2.6640625" customWidth="1" min="4639" max="4639"/>
    <col width="2.44140625" customWidth="1" min="4640" max="4644"/>
    <col width="2.5546875" customWidth="1" min="4645" max="4645"/>
    <col width="2.44140625" customWidth="1" min="4646" max="4653"/>
    <col width="2.44140625" customWidth="1" min="4865" max="4869"/>
    <col width="3.33203125" customWidth="1" min="4870" max="4870"/>
    <col width="2.44140625" customWidth="1" min="4871" max="4875"/>
    <col width="2.6640625" customWidth="1" min="4876" max="4876"/>
    <col width="2.44140625" customWidth="1" min="4877" max="4878"/>
    <col width="1.5546875" customWidth="1" min="4879" max="4879"/>
    <col width="2.44140625" customWidth="1" min="4880" max="4881"/>
    <col width="2.6640625" customWidth="1" min="4882" max="4882"/>
    <col width="2.44140625" customWidth="1" min="4883" max="4888"/>
    <col width="3.44140625" customWidth="1" min="4889" max="4889"/>
    <col width="2.44140625" customWidth="1" min="4890" max="4894"/>
    <col width="2.6640625" customWidth="1" min="4895" max="4895"/>
    <col width="2.44140625" customWidth="1" min="4896" max="4900"/>
    <col width="2.5546875" customWidth="1" min="4901" max="4901"/>
    <col width="2.44140625" customWidth="1" min="4902" max="4909"/>
    <col width="2.44140625" customWidth="1" min="5121" max="5125"/>
    <col width="3.33203125" customWidth="1" min="5126" max="5126"/>
    <col width="2.44140625" customWidth="1" min="5127" max="5131"/>
    <col width="2.6640625" customWidth="1" min="5132" max="5132"/>
    <col width="2.44140625" customWidth="1" min="5133" max="5134"/>
    <col width="1.5546875" customWidth="1" min="5135" max="5135"/>
    <col width="2.44140625" customWidth="1" min="5136" max="5137"/>
    <col width="2.6640625" customWidth="1" min="5138" max="5138"/>
    <col width="2.44140625" customWidth="1" min="5139" max="5144"/>
    <col width="3.44140625" customWidth="1" min="5145" max="5145"/>
    <col width="2.44140625" customWidth="1" min="5146" max="5150"/>
    <col width="2.6640625" customWidth="1" min="5151" max="5151"/>
    <col width="2.44140625" customWidth="1" min="5152" max="5156"/>
    <col width="2.5546875" customWidth="1" min="5157" max="5157"/>
    <col width="2.44140625" customWidth="1" min="5158" max="5165"/>
    <col width="2.44140625" customWidth="1" min="5377" max="5381"/>
    <col width="3.33203125" customWidth="1" min="5382" max="5382"/>
    <col width="2.44140625" customWidth="1" min="5383" max="5387"/>
    <col width="2.6640625" customWidth="1" min="5388" max="5388"/>
    <col width="2.44140625" customWidth="1" min="5389" max="5390"/>
    <col width="1.5546875" customWidth="1" min="5391" max="5391"/>
    <col width="2.44140625" customWidth="1" min="5392" max="5393"/>
    <col width="2.6640625" customWidth="1" min="5394" max="5394"/>
    <col width="2.44140625" customWidth="1" min="5395" max="5400"/>
    <col width="3.44140625" customWidth="1" min="5401" max="5401"/>
    <col width="2.44140625" customWidth="1" min="5402" max="5406"/>
    <col width="2.6640625" customWidth="1" min="5407" max="5407"/>
    <col width="2.44140625" customWidth="1" min="5408" max="5412"/>
    <col width="2.5546875" customWidth="1" min="5413" max="5413"/>
    <col width="2.44140625" customWidth="1" min="5414" max="5421"/>
    <col width="2.44140625" customWidth="1" min="5633" max="5637"/>
    <col width="3.33203125" customWidth="1" min="5638" max="5638"/>
    <col width="2.44140625" customWidth="1" min="5639" max="5643"/>
    <col width="2.6640625" customWidth="1" min="5644" max="5644"/>
    <col width="2.44140625" customWidth="1" min="5645" max="5646"/>
    <col width="1.5546875" customWidth="1" min="5647" max="5647"/>
    <col width="2.44140625" customWidth="1" min="5648" max="5649"/>
    <col width="2.6640625" customWidth="1" min="5650" max="5650"/>
    <col width="2.44140625" customWidth="1" min="5651" max="5656"/>
    <col width="3.44140625" customWidth="1" min="5657" max="5657"/>
    <col width="2.44140625" customWidth="1" min="5658" max="5662"/>
    <col width="2.6640625" customWidth="1" min="5663" max="5663"/>
    <col width="2.44140625" customWidth="1" min="5664" max="5668"/>
    <col width="2.5546875" customWidth="1" min="5669" max="5669"/>
    <col width="2.44140625" customWidth="1" min="5670" max="5677"/>
    <col width="2.44140625" customWidth="1" min="5889" max="5893"/>
    <col width="3.33203125" customWidth="1" min="5894" max="5894"/>
    <col width="2.44140625" customWidth="1" min="5895" max="5899"/>
    <col width="2.6640625" customWidth="1" min="5900" max="5900"/>
    <col width="2.44140625" customWidth="1" min="5901" max="5902"/>
    <col width="1.5546875" customWidth="1" min="5903" max="5903"/>
    <col width="2.44140625" customWidth="1" min="5904" max="5905"/>
    <col width="2.6640625" customWidth="1" min="5906" max="5906"/>
    <col width="2.44140625" customWidth="1" min="5907" max="5912"/>
    <col width="3.44140625" customWidth="1" min="5913" max="5913"/>
    <col width="2.44140625" customWidth="1" min="5914" max="5918"/>
    <col width="2.6640625" customWidth="1" min="5919" max="5919"/>
    <col width="2.44140625" customWidth="1" min="5920" max="5924"/>
    <col width="2.5546875" customWidth="1" min="5925" max="5925"/>
    <col width="2.44140625" customWidth="1" min="5926" max="5933"/>
    <col width="2.44140625" customWidth="1" min="6145" max="6149"/>
    <col width="3.33203125" customWidth="1" min="6150" max="6150"/>
    <col width="2.44140625" customWidth="1" min="6151" max="6155"/>
    <col width="2.6640625" customWidth="1" min="6156" max="6156"/>
    <col width="2.44140625" customWidth="1" min="6157" max="6158"/>
    <col width="1.5546875" customWidth="1" min="6159" max="6159"/>
    <col width="2.44140625" customWidth="1" min="6160" max="6161"/>
    <col width="2.6640625" customWidth="1" min="6162" max="6162"/>
    <col width="2.44140625" customWidth="1" min="6163" max="6168"/>
    <col width="3.44140625" customWidth="1" min="6169" max="6169"/>
    <col width="2.44140625" customWidth="1" min="6170" max="6174"/>
    <col width="2.6640625" customWidth="1" min="6175" max="6175"/>
    <col width="2.44140625" customWidth="1" min="6176" max="6180"/>
    <col width="2.5546875" customWidth="1" min="6181" max="6181"/>
    <col width="2.44140625" customWidth="1" min="6182" max="6189"/>
    <col width="2.44140625" customWidth="1" min="6401" max="6405"/>
    <col width="3.33203125" customWidth="1" min="6406" max="6406"/>
    <col width="2.44140625" customWidth="1" min="6407" max="6411"/>
    <col width="2.6640625" customWidth="1" min="6412" max="6412"/>
    <col width="2.44140625" customWidth="1" min="6413" max="6414"/>
    <col width="1.5546875" customWidth="1" min="6415" max="6415"/>
    <col width="2.44140625" customWidth="1" min="6416" max="6417"/>
    <col width="2.6640625" customWidth="1" min="6418" max="6418"/>
    <col width="2.44140625" customWidth="1" min="6419" max="6424"/>
    <col width="3.44140625" customWidth="1" min="6425" max="6425"/>
    <col width="2.44140625" customWidth="1" min="6426" max="6430"/>
    <col width="2.6640625" customWidth="1" min="6431" max="6431"/>
    <col width="2.44140625" customWidth="1" min="6432" max="6436"/>
    <col width="2.5546875" customWidth="1" min="6437" max="6437"/>
    <col width="2.44140625" customWidth="1" min="6438" max="6445"/>
    <col width="2.44140625" customWidth="1" min="6657" max="6661"/>
    <col width="3.33203125" customWidth="1" min="6662" max="6662"/>
    <col width="2.44140625" customWidth="1" min="6663" max="6667"/>
    <col width="2.6640625" customWidth="1" min="6668" max="6668"/>
    <col width="2.44140625" customWidth="1" min="6669" max="6670"/>
    <col width="1.5546875" customWidth="1" min="6671" max="6671"/>
    <col width="2.44140625" customWidth="1" min="6672" max="6673"/>
    <col width="2.6640625" customWidth="1" min="6674" max="6674"/>
    <col width="2.44140625" customWidth="1" min="6675" max="6680"/>
    <col width="3.44140625" customWidth="1" min="6681" max="6681"/>
    <col width="2.44140625" customWidth="1" min="6682" max="6686"/>
    <col width="2.6640625" customWidth="1" min="6687" max="6687"/>
    <col width="2.44140625" customWidth="1" min="6688" max="6692"/>
    <col width="2.5546875" customWidth="1" min="6693" max="6693"/>
    <col width="2.44140625" customWidth="1" min="6694" max="6701"/>
    <col width="2.44140625" customWidth="1" min="6913" max="6917"/>
    <col width="3.33203125" customWidth="1" min="6918" max="6918"/>
    <col width="2.44140625" customWidth="1" min="6919" max="6923"/>
    <col width="2.6640625" customWidth="1" min="6924" max="6924"/>
    <col width="2.44140625" customWidth="1" min="6925" max="6926"/>
    <col width="1.5546875" customWidth="1" min="6927" max="6927"/>
    <col width="2.44140625" customWidth="1" min="6928" max="6929"/>
    <col width="2.6640625" customWidth="1" min="6930" max="6930"/>
    <col width="2.44140625" customWidth="1" min="6931" max="6936"/>
    <col width="3.44140625" customWidth="1" min="6937" max="6937"/>
    <col width="2.44140625" customWidth="1" min="6938" max="6942"/>
    <col width="2.6640625" customWidth="1" min="6943" max="6943"/>
    <col width="2.44140625" customWidth="1" min="6944" max="6948"/>
    <col width="2.5546875" customWidth="1" min="6949" max="6949"/>
    <col width="2.44140625" customWidth="1" min="6950" max="6957"/>
    <col width="2.44140625" customWidth="1" min="7169" max="7173"/>
    <col width="3.33203125" customWidth="1" min="7174" max="7174"/>
    <col width="2.44140625" customWidth="1" min="7175" max="7179"/>
    <col width="2.6640625" customWidth="1" min="7180" max="7180"/>
    <col width="2.44140625" customWidth="1" min="7181" max="7182"/>
    <col width="1.5546875" customWidth="1" min="7183" max="7183"/>
    <col width="2.44140625" customWidth="1" min="7184" max="7185"/>
    <col width="2.6640625" customWidth="1" min="7186" max="7186"/>
    <col width="2.44140625" customWidth="1" min="7187" max="7192"/>
    <col width="3.44140625" customWidth="1" min="7193" max="7193"/>
    <col width="2.44140625" customWidth="1" min="7194" max="7198"/>
    <col width="2.6640625" customWidth="1" min="7199" max="7199"/>
    <col width="2.44140625" customWidth="1" min="7200" max="7204"/>
    <col width="2.5546875" customWidth="1" min="7205" max="7205"/>
    <col width="2.44140625" customWidth="1" min="7206" max="7213"/>
    <col width="2.44140625" customWidth="1" min="7425" max="7429"/>
    <col width="3.33203125" customWidth="1" min="7430" max="7430"/>
    <col width="2.44140625" customWidth="1" min="7431" max="7435"/>
    <col width="2.6640625" customWidth="1" min="7436" max="7436"/>
    <col width="2.44140625" customWidth="1" min="7437" max="7438"/>
    <col width="1.5546875" customWidth="1" min="7439" max="7439"/>
    <col width="2.44140625" customWidth="1" min="7440" max="7441"/>
    <col width="2.6640625" customWidth="1" min="7442" max="7442"/>
    <col width="2.44140625" customWidth="1" min="7443" max="7448"/>
    <col width="3.44140625" customWidth="1" min="7449" max="7449"/>
    <col width="2.44140625" customWidth="1" min="7450" max="7454"/>
    <col width="2.6640625" customWidth="1" min="7455" max="7455"/>
    <col width="2.44140625" customWidth="1" min="7456" max="7460"/>
    <col width="2.5546875" customWidth="1" min="7461" max="7461"/>
    <col width="2.44140625" customWidth="1" min="7462" max="7469"/>
    <col width="2.44140625" customWidth="1" min="7681" max="7685"/>
    <col width="3.33203125" customWidth="1" min="7686" max="7686"/>
    <col width="2.44140625" customWidth="1" min="7687" max="7691"/>
    <col width="2.6640625" customWidth="1" min="7692" max="7692"/>
    <col width="2.44140625" customWidth="1" min="7693" max="7694"/>
    <col width="1.5546875" customWidth="1" min="7695" max="7695"/>
    <col width="2.44140625" customWidth="1" min="7696" max="7697"/>
    <col width="2.6640625" customWidth="1" min="7698" max="7698"/>
    <col width="2.44140625" customWidth="1" min="7699" max="7704"/>
    <col width="3.44140625" customWidth="1" min="7705" max="7705"/>
    <col width="2.44140625" customWidth="1" min="7706" max="7710"/>
    <col width="2.6640625" customWidth="1" min="7711" max="7711"/>
    <col width="2.44140625" customWidth="1" min="7712" max="7716"/>
    <col width="2.5546875" customWidth="1" min="7717" max="7717"/>
    <col width="2.44140625" customWidth="1" min="7718" max="7725"/>
    <col width="2.44140625" customWidth="1" min="7937" max="7941"/>
    <col width="3.33203125" customWidth="1" min="7942" max="7942"/>
    <col width="2.44140625" customWidth="1" min="7943" max="7947"/>
    <col width="2.6640625" customWidth="1" min="7948" max="7948"/>
    <col width="2.44140625" customWidth="1" min="7949" max="7950"/>
    <col width="1.5546875" customWidth="1" min="7951" max="7951"/>
    <col width="2.44140625" customWidth="1" min="7952" max="7953"/>
    <col width="2.6640625" customWidth="1" min="7954" max="7954"/>
    <col width="2.44140625" customWidth="1" min="7955" max="7960"/>
    <col width="3.44140625" customWidth="1" min="7961" max="7961"/>
    <col width="2.44140625" customWidth="1" min="7962" max="7966"/>
    <col width="2.6640625" customWidth="1" min="7967" max="7967"/>
    <col width="2.44140625" customWidth="1" min="7968" max="7972"/>
    <col width="2.5546875" customWidth="1" min="7973" max="7973"/>
    <col width="2.44140625" customWidth="1" min="7974" max="7981"/>
    <col width="2.44140625" customWidth="1" min="8193" max="8197"/>
    <col width="3.33203125" customWidth="1" min="8198" max="8198"/>
    <col width="2.44140625" customWidth="1" min="8199" max="8203"/>
    <col width="2.6640625" customWidth="1" min="8204" max="8204"/>
    <col width="2.44140625" customWidth="1" min="8205" max="8206"/>
    <col width="1.5546875" customWidth="1" min="8207" max="8207"/>
    <col width="2.44140625" customWidth="1" min="8208" max="8209"/>
    <col width="2.6640625" customWidth="1" min="8210" max="8210"/>
    <col width="2.44140625" customWidth="1" min="8211" max="8216"/>
    <col width="3.44140625" customWidth="1" min="8217" max="8217"/>
    <col width="2.44140625" customWidth="1" min="8218" max="8222"/>
    <col width="2.6640625" customWidth="1" min="8223" max="8223"/>
    <col width="2.44140625" customWidth="1" min="8224" max="8228"/>
    <col width="2.5546875" customWidth="1" min="8229" max="8229"/>
    <col width="2.44140625" customWidth="1" min="8230" max="8237"/>
    <col width="2.44140625" customWidth="1" min="8449" max="8453"/>
    <col width="3.33203125" customWidth="1" min="8454" max="8454"/>
    <col width="2.44140625" customWidth="1" min="8455" max="8459"/>
    <col width="2.6640625" customWidth="1" min="8460" max="8460"/>
    <col width="2.44140625" customWidth="1" min="8461" max="8462"/>
    <col width="1.5546875" customWidth="1" min="8463" max="8463"/>
    <col width="2.44140625" customWidth="1" min="8464" max="8465"/>
    <col width="2.6640625" customWidth="1" min="8466" max="8466"/>
    <col width="2.44140625" customWidth="1" min="8467" max="8472"/>
    <col width="3.44140625" customWidth="1" min="8473" max="8473"/>
    <col width="2.44140625" customWidth="1" min="8474" max="8478"/>
    <col width="2.6640625" customWidth="1" min="8479" max="8479"/>
    <col width="2.44140625" customWidth="1" min="8480" max="8484"/>
    <col width="2.5546875" customWidth="1" min="8485" max="8485"/>
    <col width="2.44140625" customWidth="1" min="8486" max="8493"/>
    <col width="2.44140625" customWidth="1" min="8705" max="8709"/>
    <col width="3.33203125" customWidth="1" min="8710" max="8710"/>
    <col width="2.44140625" customWidth="1" min="8711" max="8715"/>
    <col width="2.6640625" customWidth="1" min="8716" max="8716"/>
    <col width="2.44140625" customWidth="1" min="8717" max="8718"/>
    <col width="1.5546875" customWidth="1" min="8719" max="8719"/>
    <col width="2.44140625" customWidth="1" min="8720" max="8721"/>
    <col width="2.6640625" customWidth="1" min="8722" max="8722"/>
    <col width="2.44140625" customWidth="1" min="8723" max="8728"/>
    <col width="3.44140625" customWidth="1" min="8729" max="8729"/>
    <col width="2.44140625" customWidth="1" min="8730" max="8734"/>
    <col width="2.6640625" customWidth="1" min="8735" max="8735"/>
    <col width="2.44140625" customWidth="1" min="8736" max="8740"/>
    <col width="2.5546875" customWidth="1" min="8741" max="8741"/>
    <col width="2.44140625" customWidth="1" min="8742" max="8749"/>
    <col width="2.44140625" customWidth="1" min="8961" max="8965"/>
    <col width="3.33203125" customWidth="1" min="8966" max="8966"/>
    <col width="2.44140625" customWidth="1" min="8967" max="8971"/>
    <col width="2.6640625" customWidth="1" min="8972" max="8972"/>
    <col width="2.44140625" customWidth="1" min="8973" max="8974"/>
    <col width="1.5546875" customWidth="1" min="8975" max="8975"/>
    <col width="2.44140625" customWidth="1" min="8976" max="8977"/>
    <col width="2.6640625" customWidth="1" min="8978" max="8978"/>
    <col width="2.44140625" customWidth="1" min="8979" max="8984"/>
    <col width="3.44140625" customWidth="1" min="8985" max="8985"/>
    <col width="2.44140625" customWidth="1" min="8986" max="8990"/>
    <col width="2.6640625" customWidth="1" min="8991" max="8991"/>
    <col width="2.44140625" customWidth="1" min="8992" max="8996"/>
    <col width="2.5546875" customWidth="1" min="8997" max="8997"/>
    <col width="2.44140625" customWidth="1" min="8998" max="9005"/>
    <col width="2.44140625" customWidth="1" min="9217" max="9221"/>
    <col width="3.33203125" customWidth="1" min="9222" max="9222"/>
    <col width="2.44140625" customWidth="1" min="9223" max="9227"/>
    <col width="2.6640625" customWidth="1" min="9228" max="9228"/>
    <col width="2.44140625" customWidth="1" min="9229" max="9230"/>
    <col width="1.5546875" customWidth="1" min="9231" max="9231"/>
    <col width="2.44140625" customWidth="1" min="9232" max="9233"/>
    <col width="2.6640625" customWidth="1" min="9234" max="9234"/>
    <col width="2.44140625" customWidth="1" min="9235" max="9240"/>
    <col width="3.44140625" customWidth="1" min="9241" max="9241"/>
    <col width="2.44140625" customWidth="1" min="9242" max="9246"/>
    <col width="2.6640625" customWidth="1" min="9247" max="9247"/>
    <col width="2.44140625" customWidth="1" min="9248" max="9252"/>
    <col width="2.5546875" customWidth="1" min="9253" max="9253"/>
    <col width="2.44140625" customWidth="1" min="9254" max="9261"/>
    <col width="2.44140625" customWidth="1" min="9473" max="9477"/>
    <col width="3.33203125" customWidth="1" min="9478" max="9478"/>
    <col width="2.44140625" customWidth="1" min="9479" max="9483"/>
    <col width="2.6640625" customWidth="1" min="9484" max="9484"/>
    <col width="2.44140625" customWidth="1" min="9485" max="9486"/>
    <col width="1.5546875" customWidth="1" min="9487" max="9487"/>
    <col width="2.44140625" customWidth="1" min="9488" max="9489"/>
    <col width="2.6640625" customWidth="1" min="9490" max="9490"/>
    <col width="2.44140625" customWidth="1" min="9491" max="9496"/>
    <col width="3.44140625" customWidth="1" min="9497" max="9497"/>
    <col width="2.44140625" customWidth="1" min="9498" max="9502"/>
    <col width="2.6640625" customWidth="1" min="9503" max="9503"/>
    <col width="2.44140625" customWidth="1" min="9504" max="9508"/>
    <col width="2.5546875" customWidth="1" min="9509" max="9509"/>
    <col width="2.44140625" customWidth="1" min="9510" max="9517"/>
    <col width="2.44140625" customWidth="1" min="9729" max="9733"/>
    <col width="3.33203125" customWidth="1" min="9734" max="9734"/>
    <col width="2.44140625" customWidth="1" min="9735" max="9739"/>
    <col width="2.6640625" customWidth="1" min="9740" max="9740"/>
    <col width="2.44140625" customWidth="1" min="9741" max="9742"/>
    <col width="1.5546875" customWidth="1" min="9743" max="9743"/>
    <col width="2.44140625" customWidth="1" min="9744" max="9745"/>
    <col width="2.6640625" customWidth="1" min="9746" max="9746"/>
    <col width="2.44140625" customWidth="1" min="9747" max="9752"/>
    <col width="3.44140625" customWidth="1" min="9753" max="9753"/>
    <col width="2.44140625" customWidth="1" min="9754" max="9758"/>
    <col width="2.6640625" customWidth="1" min="9759" max="9759"/>
    <col width="2.44140625" customWidth="1" min="9760" max="9764"/>
    <col width="2.5546875" customWidth="1" min="9765" max="9765"/>
    <col width="2.44140625" customWidth="1" min="9766" max="9773"/>
    <col width="2.44140625" customWidth="1" min="9985" max="9989"/>
    <col width="3.33203125" customWidth="1" min="9990" max="9990"/>
    <col width="2.44140625" customWidth="1" min="9991" max="9995"/>
    <col width="2.6640625" customWidth="1" min="9996" max="9996"/>
    <col width="2.44140625" customWidth="1" min="9997" max="9998"/>
    <col width="1.5546875" customWidth="1" min="9999" max="9999"/>
    <col width="2.44140625" customWidth="1" min="10000" max="10001"/>
    <col width="2.6640625" customWidth="1" min="10002" max="10002"/>
    <col width="2.44140625" customWidth="1" min="10003" max="10008"/>
    <col width="3.44140625" customWidth="1" min="10009" max="10009"/>
    <col width="2.44140625" customWidth="1" min="10010" max="10014"/>
    <col width="2.6640625" customWidth="1" min="10015" max="10015"/>
    <col width="2.44140625" customWidth="1" min="10016" max="10020"/>
    <col width="2.5546875" customWidth="1" min="10021" max="10021"/>
    <col width="2.44140625" customWidth="1" min="10022" max="10029"/>
    <col width="2.44140625" customWidth="1" min="10241" max="10245"/>
    <col width="3.33203125" customWidth="1" min="10246" max="10246"/>
    <col width="2.44140625" customWidth="1" min="10247" max="10251"/>
    <col width="2.6640625" customWidth="1" min="10252" max="10252"/>
    <col width="2.44140625" customWidth="1" min="10253" max="10254"/>
    <col width="1.5546875" customWidth="1" min="10255" max="10255"/>
    <col width="2.44140625" customWidth="1" min="10256" max="10257"/>
    <col width="2.6640625" customWidth="1" min="10258" max="10258"/>
    <col width="2.44140625" customWidth="1" min="10259" max="10264"/>
    <col width="3.44140625" customWidth="1" min="10265" max="10265"/>
    <col width="2.44140625" customWidth="1" min="10266" max="10270"/>
    <col width="2.6640625" customWidth="1" min="10271" max="10271"/>
    <col width="2.44140625" customWidth="1" min="10272" max="10276"/>
    <col width="2.5546875" customWidth="1" min="10277" max="10277"/>
    <col width="2.44140625" customWidth="1" min="10278" max="10285"/>
    <col width="2.44140625" customWidth="1" min="10497" max="10501"/>
    <col width="3.33203125" customWidth="1" min="10502" max="10502"/>
    <col width="2.44140625" customWidth="1" min="10503" max="10507"/>
    <col width="2.6640625" customWidth="1" min="10508" max="10508"/>
    <col width="2.44140625" customWidth="1" min="10509" max="10510"/>
    <col width="1.5546875" customWidth="1" min="10511" max="10511"/>
    <col width="2.44140625" customWidth="1" min="10512" max="10513"/>
    <col width="2.6640625" customWidth="1" min="10514" max="10514"/>
    <col width="2.44140625" customWidth="1" min="10515" max="10520"/>
    <col width="3.44140625" customWidth="1" min="10521" max="10521"/>
    <col width="2.44140625" customWidth="1" min="10522" max="10526"/>
    <col width="2.6640625" customWidth="1" min="10527" max="10527"/>
    <col width="2.44140625" customWidth="1" min="10528" max="10532"/>
    <col width="2.5546875" customWidth="1" min="10533" max="10533"/>
    <col width="2.44140625" customWidth="1" min="10534" max="10541"/>
    <col width="2.44140625" customWidth="1" min="10753" max="10757"/>
    <col width="3.33203125" customWidth="1" min="10758" max="10758"/>
    <col width="2.44140625" customWidth="1" min="10759" max="10763"/>
    <col width="2.6640625" customWidth="1" min="10764" max="10764"/>
    <col width="2.44140625" customWidth="1" min="10765" max="10766"/>
    <col width="1.5546875" customWidth="1" min="10767" max="10767"/>
    <col width="2.44140625" customWidth="1" min="10768" max="10769"/>
    <col width="2.6640625" customWidth="1" min="10770" max="10770"/>
    <col width="2.44140625" customWidth="1" min="10771" max="10776"/>
    <col width="3.44140625" customWidth="1" min="10777" max="10777"/>
    <col width="2.44140625" customWidth="1" min="10778" max="10782"/>
    <col width="2.6640625" customWidth="1" min="10783" max="10783"/>
    <col width="2.44140625" customWidth="1" min="10784" max="10788"/>
    <col width="2.5546875" customWidth="1" min="10789" max="10789"/>
    <col width="2.44140625" customWidth="1" min="10790" max="10797"/>
    <col width="2.44140625" customWidth="1" min="11009" max="11013"/>
    <col width="3.33203125" customWidth="1" min="11014" max="11014"/>
    <col width="2.44140625" customWidth="1" min="11015" max="11019"/>
    <col width="2.6640625" customWidth="1" min="11020" max="11020"/>
    <col width="2.44140625" customWidth="1" min="11021" max="11022"/>
    <col width="1.5546875" customWidth="1" min="11023" max="11023"/>
    <col width="2.44140625" customWidth="1" min="11024" max="11025"/>
    <col width="2.6640625" customWidth="1" min="11026" max="11026"/>
    <col width="2.44140625" customWidth="1" min="11027" max="11032"/>
    <col width="3.44140625" customWidth="1" min="11033" max="11033"/>
    <col width="2.44140625" customWidth="1" min="11034" max="11038"/>
    <col width="2.6640625" customWidth="1" min="11039" max="11039"/>
    <col width="2.44140625" customWidth="1" min="11040" max="11044"/>
    <col width="2.5546875" customWidth="1" min="11045" max="11045"/>
    <col width="2.44140625" customWidth="1" min="11046" max="11053"/>
    <col width="2.44140625" customWidth="1" min="11265" max="11269"/>
    <col width="3.33203125" customWidth="1" min="11270" max="11270"/>
    <col width="2.44140625" customWidth="1" min="11271" max="11275"/>
    <col width="2.6640625" customWidth="1" min="11276" max="11276"/>
    <col width="2.44140625" customWidth="1" min="11277" max="11278"/>
    <col width="1.5546875" customWidth="1" min="11279" max="11279"/>
    <col width="2.44140625" customWidth="1" min="11280" max="11281"/>
    <col width="2.6640625" customWidth="1" min="11282" max="11282"/>
    <col width="2.44140625" customWidth="1" min="11283" max="11288"/>
    <col width="3.44140625" customWidth="1" min="11289" max="11289"/>
    <col width="2.44140625" customWidth="1" min="11290" max="11294"/>
    <col width="2.6640625" customWidth="1" min="11295" max="11295"/>
    <col width="2.44140625" customWidth="1" min="11296" max="11300"/>
    <col width="2.5546875" customWidth="1" min="11301" max="11301"/>
    <col width="2.44140625" customWidth="1" min="11302" max="11309"/>
    <col width="2.44140625" customWidth="1" min="11521" max="11525"/>
    <col width="3.33203125" customWidth="1" min="11526" max="11526"/>
    <col width="2.44140625" customWidth="1" min="11527" max="11531"/>
    <col width="2.6640625" customWidth="1" min="11532" max="11532"/>
    <col width="2.44140625" customWidth="1" min="11533" max="11534"/>
    <col width="1.5546875" customWidth="1" min="11535" max="11535"/>
    <col width="2.44140625" customWidth="1" min="11536" max="11537"/>
    <col width="2.6640625" customWidth="1" min="11538" max="11538"/>
    <col width="2.44140625" customWidth="1" min="11539" max="11544"/>
    <col width="3.44140625" customWidth="1" min="11545" max="11545"/>
    <col width="2.44140625" customWidth="1" min="11546" max="11550"/>
    <col width="2.6640625" customWidth="1" min="11551" max="11551"/>
    <col width="2.44140625" customWidth="1" min="11552" max="11556"/>
    <col width="2.5546875" customWidth="1" min="11557" max="11557"/>
    <col width="2.44140625" customWidth="1" min="11558" max="11565"/>
    <col width="2.44140625" customWidth="1" min="11777" max="11781"/>
    <col width="3.33203125" customWidth="1" min="11782" max="11782"/>
    <col width="2.44140625" customWidth="1" min="11783" max="11787"/>
    <col width="2.6640625" customWidth="1" min="11788" max="11788"/>
    <col width="2.44140625" customWidth="1" min="11789" max="11790"/>
    <col width="1.5546875" customWidth="1" min="11791" max="11791"/>
    <col width="2.44140625" customWidth="1" min="11792" max="11793"/>
    <col width="2.6640625" customWidth="1" min="11794" max="11794"/>
    <col width="2.44140625" customWidth="1" min="11795" max="11800"/>
    <col width="3.44140625" customWidth="1" min="11801" max="11801"/>
    <col width="2.44140625" customWidth="1" min="11802" max="11806"/>
    <col width="2.6640625" customWidth="1" min="11807" max="11807"/>
    <col width="2.44140625" customWidth="1" min="11808" max="11812"/>
    <col width="2.5546875" customWidth="1" min="11813" max="11813"/>
    <col width="2.44140625" customWidth="1" min="11814" max="11821"/>
    <col width="2.44140625" customWidth="1" min="12033" max="12037"/>
    <col width="3.33203125" customWidth="1" min="12038" max="12038"/>
    <col width="2.44140625" customWidth="1" min="12039" max="12043"/>
    <col width="2.6640625" customWidth="1" min="12044" max="12044"/>
    <col width="2.44140625" customWidth="1" min="12045" max="12046"/>
    <col width="1.5546875" customWidth="1" min="12047" max="12047"/>
    <col width="2.44140625" customWidth="1" min="12048" max="12049"/>
    <col width="2.6640625" customWidth="1" min="12050" max="12050"/>
    <col width="2.44140625" customWidth="1" min="12051" max="12056"/>
    <col width="3.44140625" customWidth="1" min="12057" max="12057"/>
    <col width="2.44140625" customWidth="1" min="12058" max="12062"/>
    <col width="2.6640625" customWidth="1" min="12063" max="12063"/>
    <col width="2.44140625" customWidth="1" min="12064" max="12068"/>
    <col width="2.5546875" customWidth="1" min="12069" max="12069"/>
    <col width="2.44140625" customWidth="1" min="12070" max="12077"/>
    <col width="2.44140625" customWidth="1" min="12289" max="12293"/>
    <col width="3.33203125" customWidth="1" min="12294" max="12294"/>
    <col width="2.44140625" customWidth="1" min="12295" max="12299"/>
    <col width="2.6640625" customWidth="1" min="12300" max="12300"/>
    <col width="2.44140625" customWidth="1" min="12301" max="12302"/>
    <col width="1.5546875" customWidth="1" min="12303" max="12303"/>
    <col width="2.44140625" customWidth="1" min="12304" max="12305"/>
    <col width="2.6640625" customWidth="1" min="12306" max="12306"/>
    <col width="2.44140625" customWidth="1" min="12307" max="12312"/>
    <col width="3.44140625" customWidth="1" min="12313" max="12313"/>
    <col width="2.44140625" customWidth="1" min="12314" max="12318"/>
    <col width="2.6640625" customWidth="1" min="12319" max="12319"/>
    <col width="2.44140625" customWidth="1" min="12320" max="12324"/>
    <col width="2.5546875" customWidth="1" min="12325" max="12325"/>
    <col width="2.44140625" customWidth="1" min="12326" max="12333"/>
    <col width="2.44140625" customWidth="1" min="12545" max="12549"/>
    <col width="3.33203125" customWidth="1" min="12550" max="12550"/>
    <col width="2.44140625" customWidth="1" min="12551" max="12555"/>
    <col width="2.6640625" customWidth="1" min="12556" max="12556"/>
    <col width="2.44140625" customWidth="1" min="12557" max="12558"/>
    <col width="1.5546875" customWidth="1" min="12559" max="12559"/>
    <col width="2.44140625" customWidth="1" min="12560" max="12561"/>
    <col width="2.6640625" customWidth="1" min="12562" max="12562"/>
    <col width="2.44140625" customWidth="1" min="12563" max="12568"/>
    <col width="3.44140625" customWidth="1" min="12569" max="12569"/>
    <col width="2.44140625" customWidth="1" min="12570" max="12574"/>
    <col width="2.6640625" customWidth="1" min="12575" max="12575"/>
    <col width="2.44140625" customWidth="1" min="12576" max="12580"/>
    <col width="2.5546875" customWidth="1" min="12581" max="12581"/>
    <col width="2.44140625" customWidth="1" min="12582" max="12589"/>
    <col width="2.44140625" customWidth="1" min="12801" max="12805"/>
    <col width="3.33203125" customWidth="1" min="12806" max="12806"/>
    <col width="2.44140625" customWidth="1" min="12807" max="12811"/>
    <col width="2.6640625" customWidth="1" min="12812" max="12812"/>
    <col width="2.44140625" customWidth="1" min="12813" max="12814"/>
    <col width="1.5546875" customWidth="1" min="12815" max="12815"/>
    <col width="2.44140625" customWidth="1" min="12816" max="12817"/>
    <col width="2.6640625" customWidth="1" min="12818" max="12818"/>
    <col width="2.44140625" customWidth="1" min="12819" max="12824"/>
    <col width="3.44140625" customWidth="1" min="12825" max="12825"/>
    <col width="2.44140625" customWidth="1" min="12826" max="12830"/>
    <col width="2.6640625" customWidth="1" min="12831" max="12831"/>
    <col width="2.44140625" customWidth="1" min="12832" max="12836"/>
    <col width="2.5546875" customWidth="1" min="12837" max="12837"/>
    <col width="2.44140625" customWidth="1" min="12838" max="12845"/>
    <col width="2.44140625" customWidth="1" min="13057" max="13061"/>
    <col width="3.33203125" customWidth="1" min="13062" max="13062"/>
    <col width="2.44140625" customWidth="1" min="13063" max="13067"/>
    <col width="2.6640625" customWidth="1" min="13068" max="13068"/>
    <col width="2.44140625" customWidth="1" min="13069" max="13070"/>
    <col width="1.5546875" customWidth="1" min="13071" max="13071"/>
    <col width="2.44140625" customWidth="1" min="13072" max="13073"/>
    <col width="2.6640625" customWidth="1" min="13074" max="13074"/>
    <col width="2.44140625" customWidth="1" min="13075" max="13080"/>
    <col width="3.44140625" customWidth="1" min="13081" max="13081"/>
    <col width="2.44140625" customWidth="1" min="13082" max="13086"/>
    <col width="2.6640625" customWidth="1" min="13087" max="13087"/>
    <col width="2.44140625" customWidth="1" min="13088" max="13092"/>
    <col width="2.5546875" customWidth="1" min="13093" max="13093"/>
    <col width="2.44140625" customWidth="1" min="13094" max="13101"/>
    <col width="2.44140625" customWidth="1" min="13313" max="13317"/>
    <col width="3.33203125" customWidth="1" min="13318" max="13318"/>
    <col width="2.44140625" customWidth="1" min="13319" max="13323"/>
    <col width="2.6640625" customWidth="1" min="13324" max="13324"/>
    <col width="2.44140625" customWidth="1" min="13325" max="13326"/>
    <col width="1.5546875" customWidth="1" min="13327" max="13327"/>
    <col width="2.44140625" customWidth="1" min="13328" max="13329"/>
    <col width="2.6640625" customWidth="1" min="13330" max="13330"/>
    <col width="2.44140625" customWidth="1" min="13331" max="13336"/>
    <col width="3.44140625" customWidth="1" min="13337" max="13337"/>
    <col width="2.44140625" customWidth="1" min="13338" max="13342"/>
    <col width="2.6640625" customWidth="1" min="13343" max="13343"/>
    <col width="2.44140625" customWidth="1" min="13344" max="13348"/>
    <col width="2.5546875" customWidth="1" min="13349" max="13349"/>
    <col width="2.44140625" customWidth="1" min="13350" max="13357"/>
    <col width="2.44140625" customWidth="1" min="13569" max="13573"/>
    <col width="3.33203125" customWidth="1" min="13574" max="13574"/>
    <col width="2.44140625" customWidth="1" min="13575" max="13579"/>
    <col width="2.6640625" customWidth="1" min="13580" max="13580"/>
    <col width="2.44140625" customWidth="1" min="13581" max="13582"/>
    <col width="1.5546875" customWidth="1" min="13583" max="13583"/>
    <col width="2.44140625" customWidth="1" min="13584" max="13585"/>
    <col width="2.6640625" customWidth="1" min="13586" max="13586"/>
    <col width="2.44140625" customWidth="1" min="13587" max="13592"/>
    <col width="3.44140625" customWidth="1" min="13593" max="13593"/>
    <col width="2.44140625" customWidth="1" min="13594" max="13598"/>
    <col width="2.6640625" customWidth="1" min="13599" max="13599"/>
    <col width="2.44140625" customWidth="1" min="13600" max="13604"/>
    <col width="2.5546875" customWidth="1" min="13605" max="13605"/>
    <col width="2.44140625" customWidth="1" min="13606" max="13613"/>
    <col width="2.44140625" customWidth="1" min="13825" max="13829"/>
    <col width="3.33203125" customWidth="1" min="13830" max="13830"/>
    <col width="2.44140625" customWidth="1" min="13831" max="13835"/>
    <col width="2.6640625" customWidth="1" min="13836" max="13836"/>
    <col width="2.44140625" customWidth="1" min="13837" max="13838"/>
    <col width="1.5546875" customWidth="1" min="13839" max="13839"/>
    <col width="2.44140625" customWidth="1" min="13840" max="13841"/>
    <col width="2.6640625" customWidth="1" min="13842" max="13842"/>
    <col width="2.44140625" customWidth="1" min="13843" max="13848"/>
    <col width="3.44140625" customWidth="1" min="13849" max="13849"/>
    <col width="2.44140625" customWidth="1" min="13850" max="13854"/>
    <col width="2.6640625" customWidth="1" min="13855" max="13855"/>
    <col width="2.44140625" customWidth="1" min="13856" max="13860"/>
    <col width="2.5546875" customWidth="1" min="13861" max="13861"/>
    <col width="2.44140625" customWidth="1" min="13862" max="13869"/>
    <col width="2.44140625" customWidth="1" min="14081" max="14085"/>
    <col width="3.33203125" customWidth="1" min="14086" max="14086"/>
    <col width="2.44140625" customWidth="1" min="14087" max="14091"/>
    <col width="2.6640625" customWidth="1" min="14092" max="14092"/>
    <col width="2.44140625" customWidth="1" min="14093" max="14094"/>
    <col width="1.5546875" customWidth="1" min="14095" max="14095"/>
    <col width="2.44140625" customWidth="1" min="14096" max="14097"/>
    <col width="2.6640625" customWidth="1" min="14098" max="14098"/>
    <col width="2.44140625" customWidth="1" min="14099" max="14104"/>
    <col width="3.44140625" customWidth="1" min="14105" max="14105"/>
    <col width="2.44140625" customWidth="1" min="14106" max="14110"/>
    <col width="2.6640625" customWidth="1" min="14111" max="14111"/>
    <col width="2.44140625" customWidth="1" min="14112" max="14116"/>
    <col width="2.5546875" customWidth="1" min="14117" max="14117"/>
    <col width="2.44140625" customWidth="1" min="14118" max="14125"/>
    <col width="2.44140625" customWidth="1" min="14337" max="14341"/>
    <col width="3.33203125" customWidth="1" min="14342" max="14342"/>
    <col width="2.44140625" customWidth="1" min="14343" max="14347"/>
    <col width="2.6640625" customWidth="1" min="14348" max="14348"/>
    <col width="2.44140625" customWidth="1" min="14349" max="14350"/>
    <col width="1.5546875" customWidth="1" min="14351" max="14351"/>
    <col width="2.44140625" customWidth="1" min="14352" max="14353"/>
    <col width="2.6640625" customWidth="1" min="14354" max="14354"/>
    <col width="2.44140625" customWidth="1" min="14355" max="14360"/>
    <col width="3.44140625" customWidth="1" min="14361" max="14361"/>
    <col width="2.44140625" customWidth="1" min="14362" max="14366"/>
    <col width="2.6640625" customWidth="1" min="14367" max="14367"/>
    <col width="2.44140625" customWidth="1" min="14368" max="14372"/>
    <col width="2.5546875" customWidth="1" min="14373" max="14373"/>
    <col width="2.44140625" customWidth="1" min="14374" max="14381"/>
    <col width="2.44140625" customWidth="1" min="14593" max="14597"/>
    <col width="3.33203125" customWidth="1" min="14598" max="14598"/>
    <col width="2.44140625" customWidth="1" min="14599" max="14603"/>
    <col width="2.6640625" customWidth="1" min="14604" max="14604"/>
    <col width="2.44140625" customWidth="1" min="14605" max="14606"/>
    <col width="1.5546875" customWidth="1" min="14607" max="14607"/>
    <col width="2.44140625" customWidth="1" min="14608" max="14609"/>
    <col width="2.6640625" customWidth="1" min="14610" max="14610"/>
    <col width="2.44140625" customWidth="1" min="14611" max="14616"/>
    <col width="3.44140625" customWidth="1" min="14617" max="14617"/>
    <col width="2.44140625" customWidth="1" min="14618" max="14622"/>
    <col width="2.6640625" customWidth="1" min="14623" max="14623"/>
    <col width="2.44140625" customWidth="1" min="14624" max="14628"/>
    <col width="2.5546875" customWidth="1" min="14629" max="14629"/>
    <col width="2.44140625" customWidth="1" min="14630" max="14637"/>
    <col width="2.44140625" customWidth="1" min="14849" max="14853"/>
    <col width="3.33203125" customWidth="1" min="14854" max="14854"/>
    <col width="2.44140625" customWidth="1" min="14855" max="14859"/>
    <col width="2.6640625" customWidth="1" min="14860" max="14860"/>
    <col width="2.44140625" customWidth="1" min="14861" max="14862"/>
    <col width="1.5546875" customWidth="1" min="14863" max="14863"/>
    <col width="2.44140625" customWidth="1" min="14864" max="14865"/>
    <col width="2.6640625" customWidth="1" min="14866" max="14866"/>
    <col width="2.44140625" customWidth="1" min="14867" max="14872"/>
    <col width="3.44140625" customWidth="1" min="14873" max="14873"/>
    <col width="2.44140625" customWidth="1" min="14874" max="14878"/>
    <col width="2.6640625" customWidth="1" min="14879" max="14879"/>
    <col width="2.44140625" customWidth="1" min="14880" max="14884"/>
    <col width="2.5546875" customWidth="1" min="14885" max="14885"/>
    <col width="2.44140625" customWidth="1" min="14886" max="14893"/>
    <col width="2.44140625" customWidth="1" min="15105" max="15109"/>
    <col width="3.33203125" customWidth="1" min="15110" max="15110"/>
    <col width="2.44140625" customWidth="1" min="15111" max="15115"/>
    <col width="2.6640625" customWidth="1" min="15116" max="15116"/>
    <col width="2.44140625" customWidth="1" min="15117" max="15118"/>
    <col width="1.5546875" customWidth="1" min="15119" max="15119"/>
    <col width="2.44140625" customWidth="1" min="15120" max="15121"/>
    <col width="2.6640625" customWidth="1" min="15122" max="15122"/>
    <col width="2.44140625" customWidth="1" min="15123" max="15128"/>
    <col width="3.44140625" customWidth="1" min="15129" max="15129"/>
    <col width="2.44140625" customWidth="1" min="15130" max="15134"/>
    <col width="2.6640625" customWidth="1" min="15135" max="15135"/>
    <col width="2.44140625" customWidth="1" min="15136" max="15140"/>
    <col width="2.5546875" customWidth="1" min="15141" max="15141"/>
    <col width="2.44140625" customWidth="1" min="15142" max="15149"/>
    <col width="2.44140625" customWidth="1" min="15361" max="15365"/>
    <col width="3.33203125" customWidth="1" min="15366" max="15366"/>
    <col width="2.44140625" customWidth="1" min="15367" max="15371"/>
    <col width="2.6640625" customWidth="1" min="15372" max="15372"/>
    <col width="2.44140625" customWidth="1" min="15373" max="15374"/>
    <col width="1.5546875" customWidth="1" min="15375" max="15375"/>
    <col width="2.44140625" customWidth="1" min="15376" max="15377"/>
    <col width="2.6640625" customWidth="1" min="15378" max="15378"/>
    <col width="2.44140625" customWidth="1" min="15379" max="15384"/>
    <col width="3.44140625" customWidth="1" min="15385" max="15385"/>
    <col width="2.44140625" customWidth="1" min="15386" max="15390"/>
    <col width="2.6640625" customWidth="1" min="15391" max="15391"/>
    <col width="2.44140625" customWidth="1" min="15392" max="15396"/>
    <col width="2.5546875" customWidth="1" min="15397" max="15397"/>
    <col width="2.44140625" customWidth="1" min="15398" max="15405"/>
    <col width="2.44140625" customWidth="1" min="15617" max="15621"/>
    <col width="3.33203125" customWidth="1" min="15622" max="15622"/>
    <col width="2.44140625" customWidth="1" min="15623" max="15627"/>
    <col width="2.6640625" customWidth="1" min="15628" max="15628"/>
    <col width="2.44140625" customWidth="1" min="15629" max="15630"/>
    <col width="1.5546875" customWidth="1" min="15631" max="15631"/>
    <col width="2.44140625" customWidth="1" min="15632" max="15633"/>
    <col width="2.6640625" customWidth="1" min="15634" max="15634"/>
    <col width="2.44140625" customWidth="1" min="15635" max="15640"/>
    <col width="3.44140625" customWidth="1" min="15641" max="15641"/>
    <col width="2.44140625" customWidth="1" min="15642" max="15646"/>
    <col width="2.6640625" customWidth="1" min="15647" max="15647"/>
    <col width="2.44140625" customWidth="1" min="15648" max="15652"/>
    <col width="2.5546875" customWidth="1" min="15653" max="15653"/>
    <col width="2.44140625" customWidth="1" min="15654" max="15661"/>
    <col width="2.44140625" customWidth="1" min="15873" max="15877"/>
    <col width="3.33203125" customWidth="1" min="15878" max="15878"/>
    <col width="2.44140625" customWidth="1" min="15879" max="15883"/>
    <col width="2.6640625" customWidth="1" min="15884" max="15884"/>
    <col width="2.44140625" customWidth="1" min="15885" max="15886"/>
    <col width="1.5546875" customWidth="1" min="15887" max="15887"/>
    <col width="2.44140625" customWidth="1" min="15888" max="15889"/>
    <col width="2.6640625" customWidth="1" min="15890" max="15890"/>
    <col width="2.44140625" customWidth="1" min="15891" max="15896"/>
    <col width="3.44140625" customWidth="1" min="15897" max="15897"/>
    <col width="2.44140625" customWidth="1" min="15898" max="15902"/>
    <col width="2.6640625" customWidth="1" min="15903" max="15903"/>
    <col width="2.44140625" customWidth="1" min="15904" max="15908"/>
    <col width="2.5546875" customWidth="1" min="15909" max="15909"/>
    <col width="2.44140625" customWidth="1" min="15910" max="15917"/>
    <col width="2.44140625" customWidth="1" min="16129" max="16133"/>
    <col width="3.33203125" customWidth="1" min="16134" max="16134"/>
    <col width="2.44140625" customWidth="1" min="16135" max="16139"/>
    <col width="2.6640625" customWidth="1" min="16140" max="16140"/>
    <col width="2.44140625" customWidth="1" min="16141" max="16142"/>
    <col width="1.5546875" customWidth="1" min="16143" max="16143"/>
    <col width="2.44140625" customWidth="1" min="16144" max="16145"/>
    <col width="2.6640625" customWidth="1" min="16146" max="16146"/>
    <col width="2.44140625" customWidth="1" min="16147" max="16152"/>
    <col width="3.44140625" customWidth="1" min="16153" max="16153"/>
    <col width="2.44140625" customWidth="1" min="16154" max="16158"/>
    <col width="2.6640625" customWidth="1" min="16159" max="16159"/>
    <col width="2.44140625" customWidth="1" min="16160" max="16164"/>
    <col width="2.5546875" customWidth="1" min="16165" max="16165"/>
    <col width="2.44140625" customWidth="1" min="16166" max="16173"/>
  </cols>
  <sheetData>
    <row r="1" ht="17.4" customHeight="1">
      <c r="A1" s="666" t="inlineStr">
        <is>
          <t>,</t>
        </is>
      </c>
    </row>
    <row r="2">
      <c r="A2" s="544" t="inlineStr">
        <is>
          <t>DATE</t>
        </is>
      </c>
      <c r="D2" s="667">
        <f>+Draft!T2</f>
        <v/>
      </c>
      <c r="E2" s="934" t="n"/>
      <c r="F2" s="934" t="n"/>
      <c r="H2" s="544" t="inlineStr">
        <is>
          <t>FROM</t>
        </is>
      </c>
      <c r="K2" s="668">
        <f>Draft!T3</f>
        <v/>
      </c>
      <c r="L2" s="934" t="n"/>
      <c r="M2" s="934" t="n"/>
      <c r="N2" s="544" t="inlineStr">
        <is>
          <t>TO</t>
        </is>
      </c>
      <c r="P2" s="668">
        <f>Draft!T4</f>
        <v/>
      </c>
      <c r="Q2" s="934" t="n"/>
      <c r="R2" s="934" t="n"/>
      <c r="T2" s="544" t="inlineStr">
        <is>
          <t>DATE</t>
        </is>
      </c>
      <c r="W2" s="667">
        <f>+Draft!AS2</f>
        <v/>
      </c>
      <c r="X2" s="934" t="n"/>
      <c r="Y2" s="934" t="n"/>
      <c r="AA2" s="544" t="inlineStr">
        <is>
          <t>FROM</t>
        </is>
      </c>
      <c r="AD2" s="668">
        <f>Draft!AS3</f>
        <v/>
      </c>
      <c r="AE2" s="934" t="n"/>
      <c r="AF2" s="934" t="n"/>
      <c r="AG2" s="544" t="inlineStr">
        <is>
          <t>TO</t>
        </is>
      </c>
      <c r="AI2" s="668">
        <f>Draft!AS4</f>
        <v/>
      </c>
      <c r="AJ2" s="934" t="n"/>
      <c r="AK2" s="934" t="n"/>
    </row>
    <row r="3">
      <c r="A3" s="544" t="n"/>
      <c r="B3" s="544" t="n"/>
      <c r="C3" s="544" t="n"/>
      <c r="D3" s="173" t="n"/>
      <c r="E3" s="173" t="n"/>
      <c r="F3" s="173" t="n"/>
      <c r="H3" s="544" t="n"/>
      <c r="I3" s="544" t="n"/>
      <c r="J3" s="544" t="n"/>
      <c r="K3" s="425" t="n"/>
      <c r="L3" s="425" t="n"/>
      <c r="M3" s="425" t="n"/>
      <c r="N3" s="544" t="n"/>
      <c r="O3" s="544" t="n"/>
      <c r="P3" s="425" t="n"/>
      <c r="Q3" s="425" t="n"/>
      <c r="R3" s="425" t="n"/>
      <c r="T3" s="544" t="n"/>
      <c r="U3" s="544" t="n"/>
      <c r="V3" s="544" t="n"/>
      <c r="W3" s="173" t="n"/>
      <c r="X3" s="173" t="n"/>
      <c r="Y3" s="173" t="n"/>
      <c r="AA3" s="544" t="n"/>
      <c r="AB3" s="544" t="n"/>
      <c r="AC3" s="544" t="n"/>
      <c r="AD3" s="425" t="n"/>
      <c r="AE3" s="425" t="n"/>
      <c r="AF3" s="425" t="n"/>
      <c r="AG3" s="544" t="n"/>
      <c r="AH3" s="544" t="n"/>
      <c r="AI3" s="425" t="n"/>
      <c r="AJ3" s="425" t="n"/>
      <c r="AK3" s="425" t="n"/>
    </row>
    <row r="4">
      <c r="A4" s="282" t="inlineStr">
        <is>
          <t>SI HAY DIFERENCIAS ENTRE  LAS DISTANCIAS DE LAS SONDAS DE DOS TANQUES</t>
        </is>
      </c>
      <c r="B4" s="86" t="n"/>
      <c r="C4" s="86" t="n"/>
      <c r="D4" s="174" t="n"/>
      <c r="E4" s="174" t="n"/>
      <c r="F4" s="174" t="n"/>
      <c r="G4" s="175" t="n"/>
      <c r="H4" s="86" t="n"/>
      <c r="I4" s="86" t="n"/>
      <c r="J4" s="86" t="n"/>
      <c r="K4" s="86" t="n"/>
      <c r="L4" s="86" t="n"/>
      <c r="M4" s="86" t="n"/>
      <c r="N4" s="86" t="n"/>
      <c r="O4" s="86" t="n"/>
      <c r="P4" s="86" t="n"/>
      <c r="Q4" s="86" t="n"/>
      <c r="R4" s="86" t="n"/>
      <c r="S4" s="175" t="n"/>
      <c r="T4" s="86" t="n"/>
      <c r="U4" s="86" t="n"/>
      <c r="V4" s="86" t="n"/>
      <c r="W4" s="174" t="n"/>
      <c r="X4" s="174" t="n"/>
      <c r="Y4" s="174" t="n"/>
      <c r="Z4" s="175" t="n"/>
      <c r="AA4" s="86" t="n"/>
      <c r="AB4" s="86" t="n"/>
      <c r="AC4" s="176" t="n"/>
      <c r="AD4" s="177" t="inlineStr">
        <is>
          <t>*** POSIBLY OBSTRUCTION</t>
        </is>
      </c>
      <c r="AE4" s="425" t="n"/>
      <c r="AF4" s="425" t="n"/>
      <c r="AG4" s="544" t="n"/>
      <c r="AH4" s="544" t="n"/>
      <c r="AI4" s="425" t="n"/>
      <c r="AJ4" s="425" t="n"/>
      <c r="AK4" s="425" t="n"/>
    </row>
    <row r="5">
      <c r="A5" s="282" t="inlineStr">
        <is>
          <t>GEMELOS (EJ. TST 2 P Y TST 2S) SE DEBE CLOCAR UN ASTERISCO EN EL</t>
        </is>
      </c>
      <c r="B5" s="86" t="n"/>
      <c r="C5" s="86" t="n"/>
      <c r="D5" s="174" t="n"/>
      <c r="E5" s="174" t="n"/>
      <c r="F5" s="174" t="n"/>
      <c r="G5" s="175" t="n"/>
      <c r="H5" s="86" t="n"/>
      <c r="I5" s="86" t="n"/>
      <c r="J5" s="86" t="n"/>
      <c r="K5" s="86" t="n"/>
      <c r="L5" s="86" t="n"/>
      <c r="M5" s="86" t="n"/>
      <c r="N5" s="86" t="n"/>
      <c r="O5" s="86" t="n"/>
      <c r="P5" s="86" t="n"/>
      <c r="Q5" s="86" t="n"/>
      <c r="R5" s="86" t="n"/>
      <c r="S5" s="175" t="n"/>
      <c r="T5" s="86" t="n"/>
      <c r="U5" s="86" t="n"/>
      <c r="V5" s="86" t="n"/>
      <c r="W5" s="174" t="n"/>
      <c r="X5" s="174" t="n"/>
      <c r="Y5" s="174" t="n"/>
      <c r="Z5" s="175" t="n"/>
      <c r="AA5" s="86" t="n"/>
      <c r="AB5" s="86" t="n"/>
      <c r="AC5" s="544" t="n"/>
      <c r="AD5" s="425" t="n"/>
      <c r="AE5" s="425" t="n"/>
      <c r="AF5" s="425" t="n"/>
      <c r="AG5" s="544" t="n"/>
      <c r="AH5" s="544" t="n"/>
      <c r="AI5" s="425" t="n"/>
      <c r="AJ5" s="425" t="n"/>
      <c r="AK5" s="425" t="n"/>
    </row>
    <row r="6">
      <c r="A6" s="178" t="inlineStr">
        <is>
          <t>NOMBRE DEL TANQUE, Y MARCAR CON "X" LA CASILLA DE POSIBLE OBSTRUCCION</t>
        </is>
      </c>
      <c r="B6" s="86" t="n"/>
      <c r="C6" s="86" t="n"/>
      <c r="D6" s="174" t="n"/>
      <c r="E6" s="174" t="n"/>
      <c r="F6" s="174" t="n"/>
      <c r="G6" s="175" t="n"/>
      <c r="H6" s="86" t="n"/>
      <c r="I6" s="86" t="n"/>
      <c r="J6" s="86" t="n"/>
      <c r="K6" s="86" t="n"/>
      <c r="L6" s="86" t="n"/>
      <c r="M6" s="86" t="n"/>
      <c r="N6" s="86" t="n"/>
      <c r="O6" s="86" t="n"/>
      <c r="P6" s="86" t="n"/>
      <c r="Q6" s="86" t="n"/>
      <c r="R6" s="86" t="n"/>
      <c r="S6" s="175" t="n"/>
      <c r="T6" s="86" t="n"/>
      <c r="U6" s="86" t="n"/>
      <c r="V6" s="86" t="n"/>
      <c r="W6" s="174" t="n"/>
      <c r="X6" s="174" t="n"/>
      <c r="Y6" s="174" t="n"/>
      <c r="Z6" s="175" t="n"/>
      <c r="AA6" s="86" t="n"/>
      <c r="AB6" s="86" t="n"/>
      <c r="AC6" s="544" t="n"/>
      <c r="AD6" s="425" t="n"/>
      <c r="AE6" s="425" t="n"/>
      <c r="AF6" s="425" t="n"/>
      <c r="AG6" s="544" t="n"/>
      <c r="AH6" s="544" t="n"/>
      <c r="AI6" s="425" t="n"/>
      <c r="AJ6" s="425" t="n"/>
      <c r="AK6" s="425" t="n"/>
    </row>
    <row r="7" ht="13.8" customHeight="1" thickBot="1"/>
    <row r="8" ht="12.75" customHeight="1">
      <c r="A8" s="1152" t="inlineStr">
        <is>
          <t>Tank</t>
        </is>
      </c>
      <c r="B8" s="1043" t="n"/>
      <c r="C8" s="1098" t="n"/>
      <c r="D8" s="1153" t="inlineStr">
        <is>
          <t>Height</t>
        </is>
      </c>
      <c r="E8" s="1043" t="n"/>
      <c r="F8" s="1098" t="n"/>
      <c r="G8" s="1154" t="inlineStr">
        <is>
          <t>Sounding</t>
        </is>
      </c>
      <c r="H8" s="1043" t="n"/>
      <c r="I8" s="1098" t="n"/>
      <c r="J8" s="1153" t="inlineStr">
        <is>
          <t>Volume</t>
        </is>
      </c>
      <c r="K8" s="1043" t="n"/>
      <c r="L8" s="1098" t="n"/>
      <c r="M8" s="1153" t="inlineStr">
        <is>
          <t>Density</t>
        </is>
      </c>
      <c r="N8" s="1043" t="n"/>
      <c r="O8" s="1098" t="n"/>
      <c r="P8" s="1155" t="inlineStr">
        <is>
          <t>Total</t>
        </is>
      </c>
      <c r="Q8" s="1043" t="n"/>
      <c r="R8" s="1044" t="n"/>
      <c r="T8" s="1152" t="inlineStr">
        <is>
          <t>Tank</t>
        </is>
      </c>
      <c r="U8" s="1043" t="n"/>
      <c r="V8" s="1098" t="n"/>
      <c r="W8" s="1153" t="inlineStr">
        <is>
          <t>Height</t>
        </is>
      </c>
      <c r="X8" s="1043" t="n"/>
      <c r="Y8" s="1098" t="n"/>
      <c r="Z8" s="1154" t="inlineStr">
        <is>
          <t>Sounding</t>
        </is>
      </c>
      <c r="AA8" s="1043" t="n"/>
      <c r="AB8" s="1098" t="n"/>
      <c r="AC8" s="1153" t="inlineStr">
        <is>
          <t>Volume</t>
        </is>
      </c>
      <c r="AD8" s="1043" t="n"/>
      <c r="AE8" s="1098" t="n"/>
      <c r="AF8" s="1153" t="inlineStr">
        <is>
          <t>Density</t>
        </is>
      </c>
      <c r="AG8" s="1043" t="n"/>
      <c r="AH8" s="1098" t="n"/>
      <c r="AI8" s="1155" t="inlineStr">
        <is>
          <t>Total</t>
        </is>
      </c>
      <c r="AJ8" s="1043" t="n"/>
      <c r="AK8" s="1044" t="n"/>
    </row>
    <row r="9" ht="12.75" customHeight="1">
      <c r="A9" s="1156" t="n"/>
      <c r="B9" s="934" t="n"/>
      <c r="C9" s="935" t="n"/>
      <c r="D9" s="1000" t="n"/>
      <c r="E9" s="934" t="n"/>
      <c r="F9" s="935" t="n"/>
      <c r="G9" s="1000" t="n"/>
      <c r="H9" s="934" t="n"/>
      <c r="I9" s="935" t="n"/>
      <c r="J9" s="1000" t="n"/>
      <c r="K9" s="934" t="n"/>
      <c r="L9" s="935" t="n"/>
      <c r="M9" s="1000" t="n"/>
      <c r="N9" s="934" t="n"/>
      <c r="O9" s="935" t="n"/>
      <c r="P9" s="1000" t="n"/>
      <c r="Q9" s="934" t="n"/>
      <c r="R9" s="1157" t="n"/>
      <c r="T9" s="1156" t="n"/>
      <c r="U9" s="934" t="n"/>
      <c r="V9" s="935" t="n"/>
      <c r="W9" s="1000" t="n"/>
      <c r="X9" s="934" t="n"/>
      <c r="Y9" s="935" t="n"/>
      <c r="Z9" s="1000" t="n"/>
      <c r="AA9" s="934" t="n"/>
      <c r="AB9" s="935" t="n"/>
      <c r="AC9" s="1000" t="n"/>
      <c r="AD9" s="934" t="n"/>
      <c r="AE9" s="935" t="n"/>
      <c r="AF9" s="1000" t="n"/>
      <c r="AG9" s="934" t="n"/>
      <c r="AH9" s="935" t="n"/>
      <c r="AI9" s="1000" t="n"/>
      <c r="AJ9" s="934" t="n"/>
      <c r="AK9" s="1157" t="n"/>
    </row>
    <row r="10">
      <c r="A10" s="1158" t="inlineStr">
        <is>
          <t>INITIAL BALLAST</t>
        </is>
      </c>
      <c r="B10" s="203" t="n"/>
      <c r="C10" s="203" t="n"/>
      <c r="D10" s="203" t="n"/>
      <c r="E10" s="203" t="n"/>
      <c r="F10" s="203" t="n"/>
      <c r="G10" s="203" t="n"/>
      <c r="H10" s="203" t="n"/>
      <c r="I10" s="203" t="n"/>
      <c r="J10" s="203" t="n"/>
      <c r="K10" s="203" t="n"/>
      <c r="L10" s="203" t="n"/>
      <c r="M10" s="203" t="n"/>
      <c r="N10" s="203" t="n"/>
      <c r="O10" s="203" t="n"/>
      <c r="P10" s="203" t="n"/>
      <c r="Q10" s="203" t="n"/>
      <c r="R10" s="1064" t="n"/>
      <c r="T10" s="1158" t="inlineStr">
        <is>
          <t>FINAL BALLAST</t>
        </is>
      </c>
      <c r="U10" s="203" t="n"/>
      <c r="V10" s="203" t="n"/>
      <c r="W10" s="203" t="n"/>
      <c r="X10" s="203" t="n"/>
      <c r="Y10" s="203" t="n"/>
      <c r="Z10" s="203" t="n"/>
      <c r="AA10" s="203" t="n"/>
      <c r="AB10" s="203" t="n"/>
      <c r="AC10" s="203" t="n"/>
      <c r="AD10" s="203" t="n"/>
      <c r="AE10" s="203" t="n"/>
      <c r="AF10" s="203" t="n"/>
      <c r="AG10" s="203" t="n"/>
      <c r="AH10" s="203" t="n"/>
      <c r="AI10" s="203" t="n"/>
      <c r="AJ10" s="203" t="n"/>
      <c r="AK10" s="1064" t="n"/>
      <c r="AN10" s="209" t="n"/>
      <c r="AO10" s="209" t="n"/>
      <c r="AP10" s="209" t="n"/>
      <c r="AQ10" s="209" t="n"/>
      <c r="AR10" s="209" t="n"/>
      <c r="AS10" s="209" t="n"/>
    </row>
    <row r="11" ht="13.8" customHeight="1" thickBot="1">
      <c r="A11" s="1159" t="n"/>
      <c r="B11" s="1160" t="n"/>
      <c r="C11" s="1161" t="n"/>
      <c r="D11" s="1162" t="n">
        <v>0</v>
      </c>
      <c r="E11" s="1160" t="n"/>
      <c r="F11" s="1161" t="n"/>
      <c r="G11" s="1163" t="n"/>
      <c r="H11" s="1160" t="n"/>
      <c r="I11" s="1161" t="n"/>
      <c r="J11" s="1164" t="n"/>
      <c r="K11" s="1160" t="n"/>
      <c r="L11" s="1161" t="n"/>
      <c r="M11" s="1165" t="n"/>
      <c r="N11" s="1160" t="n"/>
      <c r="O11" s="1161" t="n"/>
      <c r="P11" s="1166">
        <f>+M11*J11</f>
        <v/>
      </c>
      <c r="Q11" s="13" t="n"/>
      <c r="R11" s="1167" t="n"/>
      <c r="S11" s="25" t="n"/>
      <c r="T11" s="1168" t="n"/>
      <c r="U11" s="13" t="n"/>
      <c r="V11" s="184" t="n"/>
      <c r="W11" s="1162" t="n"/>
      <c r="X11" s="1160" t="n"/>
      <c r="Y11" s="1161" t="n"/>
      <c r="Z11" s="1163" t="n"/>
      <c r="AA11" s="1160" t="n"/>
      <c r="AB11" s="1161" t="n"/>
      <c r="AC11" s="1164" t="n"/>
      <c r="AD11" s="1160" t="n"/>
      <c r="AE11" s="1161" t="n"/>
      <c r="AF11" s="1165" t="n"/>
      <c r="AG11" s="1160" t="n"/>
      <c r="AH11" s="1161" t="n"/>
      <c r="AI11" s="1166">
        <f>+AF11*AC11</f>
        <v/>
      </c>
      <c r="AJ11" s="13" t="n"/>
      <c r="AK11" s="1167" t="n"/>
      <c r="AR11" s="662">
        <f>AP15/AR13</f>
        <v/>
      </c>
    </row>
    <row r="12" ht="13.8" customHeight="1" thickBot="1">
      <c r="A12" s="1169" t="n"/>
      <c r="B12" s="187" t="n"/>
      <c r="C12" s="1170" t="n"/>
      <c r="D12" s="1171" t="n">
        <v>0</v>
      </c>
      <c r="E12" s="187" t="n"/>
      <c r="F12" s="1170" t="n"/>
      <c r="G12" s="1172" t="n"/>
      <c r="H12" s="187" t="n"/>
      <c r="I12" s="1170" t="n"/>
      <c r="J12" s="1173" t="n"/>
      <c r="K12" s="187" t="n"/>
      <c r="L12" s="187" t="n"/>
      <c r="M12" s="1165" t="n"/>
      <c r="N12" s="1160" t="n"/>
      <c r="O12" s="1161" t="n"/>
      <c r="P12" s="1174">
        <f>+M12*J12</f>
        <v/>
      </c>
      <c r="R12" s="1111" t="n"/>
      <c r="S12" s="25" t="n"/>
      <c r="T12" s="1175" t="n"/>
      <c r="V12" s="30" t="n"/>
      <c r="W12" s="1171" t="n"/>
      <c r="X12" s="187" t="n"/>
      <c r="Y12" s="1170" t="n"/>
      <c r="Z12" s="1172" t="n"/>
      <c r="AA12" s="187" t="n"/>
      <c r="AB12" s="1170" t="n"/>
      <c r="AC12" s="1173" t="n"/>
      <c r="AD12" s="187" t="n"/>
      <c r="AE12" s="187" t="n"/>
      <c r="AF12" s="1165" t="n"/>
      <c r="AG12" s="1160" t="n"/>
      <c r="AH12" s="1161" t="n"/>
      <c r="AI12" s="1174">
        <f>+AF12*AC12</f>
        <v/>
      </c>
      <c r="AK12" s="1111" t="n"/>
      <c r="AN12" s="211" t="inlineStr">
        <is>
          <t>SOUNDING</t>
        </is>
      </c>
      <c r="AO12" s="212" t="n"/>
      <c r="AP12" s="213" t="inlineStr">
        <is>
          <t>TRIM</t>
        </is>
      </c>
      <c r="AQ12" s="214" t="n"/>
      <c r="AR12" s="1176" t="inlineStr">
        <is>
          <t>CORRECCION SONDA M.M</t>
        </is>
      </c>
      <c r="AS12" s="1139" t="n"/>
    </row>
    <row r="13" ht="15.6" customHeight="1" thickBot="1">
      <c r="A13" s="1177" t="n"/>
      <c r="B13" s="187" t="n"/>
      <c r="C13" s="1170" t="n"/>
      <c r="D13" s="1178" t="n">
        <v>0</v>
      </c>
      <c r="E13" s="187" t="n"/>
      <c r="F13" s="1170" t="n"/>
      <c r="G13" s="1172" t="n"/>
      <c r="H13" s="187" t="n"/>
      <c r="I13" s="1170" t="n"/>
      <c r="J13" s="1179" t="n"/>
      <c r="K13" s="187" t="n"/>
      <c r="L13" s="1170" t="n"/>
      <c r="M13" s="1165" t="n"/>
      <c r="N13" s="1160" t="n"/>
      <c r="O13" s="1161" t="n"/>
      <c r="P13" s="1180">
        <f>+M13*J13</f>
        <v/>
      </c>
      <c r="R13" s="1111" t="n"/>
      <c r="S13" s="25" t="n"/>
      <c r="T13" s="1181" t="n"/>
      <c r="V13" s="30" t="n"/>
      <c r="W13" s="1178" t="n"/>
      <c r="X13" s="187" t="n"/>
      <c r="Y13" s="1170" t="n"/>
      <c r="Z13" s="1172" t="n"/>
      <c r="AA13" s="187" t="n"/>
      <c r="AB13" s="1170" t="n"/>
      <c r="AC13" s="1179" t="n"/>
      <c r="AD13" s="187" t="n"/>
      <c r="AE13" s="1170" t="n"/>
      <c r="AF13" s="1165" t="n"/>
      <c r="AG13" s="1160" t="n"/>
      <c r="AH13" s="1161" t="n"/>
      <c r="AI13" s="1180">
        <f>+AF13*AC13</f>
        <v/>
      </c>
      <c r="AK13" s="1111" t="n"/>
      <c r="AN13" s="215" t="n"/>
      <c r="AO13" s="1182" t="n">
        <v>2</v>
      </c>
      <c r="AP13" s="1182" t="n">
        <v>2.42</v>
      </c>
      <c r="AQ13" s="1183" t="n">
        <v>2.5</v>
      </c>
      <c r="AR13" s="665" t="n">
        <v>1000</v>
      </c>
      <c r="AS13" s="665" t="n"/>
    </row>
    <row r="14" ht="15.6" customHeight="1" thickBot="1">
      <c r="A14" s="1169" t="n"/>
      <c r="B14" s="187" t="n"/>
      <c r="C14" s="1170" t="n"/>
      <c r="D14" s="1171" t="n">
        <v>0</v>
      </c>
      <c r="E14" s="187" t="n"/>
      <c r="F14" s="1170" t="n"/>
      <c r="G14" s="1172" t="n"/>
      <c r="H14" s="187" t="n"/>
      <c r="I14" s="1170" t="n"/>
      <c r="J14" s="1179" t="n"/>
      <c r="K14" s="187" t="n"/>
      <c r="L14" s="1170" t="n"/>
      <c r="M14" s="1165" t="n"/>
      <c r="N14" s="1160" t="n"/>
      <c r="O14" s="1161" t="n"/>
      <c r="P14" s="1174">
        <f>+M14*J14</f>
        <v/>
      </c>
      <c r="R14" s="1111" t="n"/>
      <c r="S14" s="25" t="n"/>
      <c r="T14" s="1175" t="n"/>
      <c r="V14" s="30" t="n"/>
      <c r="W14" s="1171" t="n"/>
      <c r="X14" s="187" t="n"/>
      <c r="Y14" s="1170" t="n"/>
      <c r="Z14" s="1172" t="n"/>
      <c r="AA14" s="187" t="n"/>
      <c r="AB14" s="1170" t="n"/>
      <c r="AC14" s="1179" t="n"/>
      <c r="AD14" s="187" t="n"/>
      <c r="AE14" s="1170" t="n"/>
      <c r="AF14" s="1165" t="n"/>
      <c r="AG14" s="1160" t="n"/>
      <c r="AH14" s="1161" t="n"/>
      <c r="AI14" s="1174">
        <f>+AF14*AC14</f>
        <v/>
      </c>
      <c r="AK14" s="1111" t="n"/>
      <c r="AN14" s="1184" t="n">
        <v>1</v>
      </c>
      <c r="AO14" s="1185" t="n">
        <v>487.6</v>
      </c>
      <c r="AP14" s="1186" t="n"/>
      <c r="AQ14" s="1187" t="n">
        <v>489.9</v>
      </c>
      <c r="AR14" s="1188">
        <f>AN15+AR11</f>
        <v/>
      </c>
      <c r="AS14" s="224" t="inlineStr">
        <is>
          <t>+</t>
        </is>
      </c>
    </row>
    <row r="15" ht="15.6" customHeight="1" thickBot="1">
      <c r="A15" s="1177" t="n"/>
      <c r="B15" s="187" t="n"/>
      <c r="C15" s="1170" t="n"/>
      <c r="D15" s="1178" t="n">
        <v>0</v>
      </c>
      <c r="E15" s="187" t="n"/>
      <c r="F15" s="1170" t="n"/>
      <c r="G15" s="1172" t="n"/>
      <c r="H15" s="187" t="n"/>
      <c r="I15" s="1170" t="n"/>
      <c r="J15" s="1179" t="n"/>
      <c r="K15" s="187" t="n"/>
      <c r="L15" s="1170" t="n"/>
      <c r="M15" s="1165" t="n"/>
      <c r="N15" s="1160" t="n"/>
      <c r="O15" s="1161" t="n"/>
      <c r="P15" s="1180">
        <f>+M15*J15</f>
        <v/>
      </c>
      <c r="R15" s="1111" t="n"/>
      <c r="S15" s="25" t="n"/>
      <c r="T15" s="1181" t="n"/>
      <c r="V15" s="30" t="n"/>
      <c r="W15" s="1178" t="n"/>
      <c r="X15" s="187" t="n"/>
      <c r="Y15" s="1170" t="n"/>
      <c r="Z15" s="1172" t="n"/>
      <c r="AA15" s="187" t="n"/>
      <c r="AB15" s="1170" t="n"/>
      <c r="AC15" s="1179" t="n"/>
      <c r="AD15" s="187" t="n"/>
      <c r="AE15" s="1170" t="n"/>
      <c r="AF15" s="1165" t="n"/>
      <c r="AG15" s="1160" t="n"/>
      <c r="AH15" s="1161" t="n"/>
      <c r="AI15" s="1180">
        <f>+AF15*AC15</f>
        <v/>
      </c>
      <c r="AK15" s="1111" t="n"/>
      <c r="AN15" s="1184" t="n">
        <v>1.08</v>
      </c>
      <c r="AO15" s="1189">
        <f>((AO14-AO16)/(AN14-AN16))*(AN15-AN16)+AO16</f>
        <v/>
      </c>
      <c r="AP15" s="1186">
        <f>AO15-(AO15-AQ15)/(AQ13-AO13)*(AP13-AO13)</f>
        <v/>
      </c>
      <c r="AQ15" s="1190">
        <f>((AQ14-AQ16)/(AN14-AN16))*(AN15-AN16)+AQ16</f>
        <v/>
      </c>
      <c r="AR15" s="1188">
        <f>AN15-AR11</f>
        <v/>
      </c>
      <c r="AS15" s="227" t="inlineStr">
        <is>
          <t>-</t>
        </is>
      </c>
    </row>
    <row r="16" ht="13.8" customHeight="1" thickBot="1">
      <c r="A16" s="1169" t="n"/>
      <c r="B16" s="187" t="n"/>
      <c r="C16" s="1170" t="n"/>
      <c r="D16" s="1171" t="n">
        <v>0</v>
      </c>
      <c r="E16" s="187" t="n"/>
      <c r="F16" s="1170" t="n"/>
      <c r="G16" s="1172" t="n"/>
      <c r="H16" s="187" t="n"/>
      <c r="I16" s="1170" t="n"/>
      <c r="J16" s="1179" t="n"/>
      <c r="K16" s="187" t="n"/>
      <c r="L16" s="1170" t="n"/>
      <c r="M16" s="1165" t="n"/>
      <c r="N16" s="1160" t="n"/>
      <c r="O16" s="1161" t="n"/>
      <c r="P16" s="1174">
        <f>+M16*J16</f>
        <v/>
      </c>
      <c r="R16" s="1111" t="n"/>
      <c r="S16" s="25" t="n"/>
      <c r="T16" s="1175" t="n"/>
      <c r="V16" s="30" t="n"/>
      <c r="W16" s="1171" t="n"/>
      <c r="X16" s="187" t="n"/>
      <c r="Y16" s="1170" t="n"/>
      <c r="Z16" s="1172" t="n"/>
      <c r="AA16" s="187" t="n"/>
      <c r="AB16" s="1170" t="n"/>
      <c r="AC16" s="1179" t="n"/>
      <c r="AD16" s="187" t="n"/>
      <c r="AE16" s="1170" t="n"/>
      <c r="AF16" s="1165" t="n"/>
      <c r="AG16" s="1160" t="n"/>
      <c r="AH16" s="1161" t="n"/>
      <c r="AI16" s="1174">
        <f>+AF16*AC16</f>
        <v/>
      </c>
      <c r="AK16" s="1111" t="n"/>
      <c r="AN16" s="1191" t="n">
        <v>1.1</v>
      </c>
      <c r="AO16" s="1192" t="n">
        <v>511.2</v>
      </c>
      <c r="AP16" s="1193" t="n"/>
      <c r="AQ16" s="1194" t="n">
        <v>513.5</v>
      </c>
      <c r="AU16" s="1195">
        <f>AN15-0.0339</f>
        <v/>
      </c>
    </row>
    <row r="17" ht="13.8" customHeight="1" thickBot="1">
      <c r="A17" s="1177" t="n"/>
      <c r="B17" s="187" t="n"/>
      <c r="C17" s="1170" t="n"/>
      <c r="D17" s="1178" t="n">
        <v>0</v>
      </c>
      <c r="E17" s="187" t="n"/>
      <c r="F17" s="1170" t="n"/>
      <c r="G17" s="1172" t="n"/>
      <c r="H17" s="187" t="n"/>
      <c r="I17" s="1170" t="n"/>
      <c r="J17" s="1179" t="n"/>
      <c r="K17" s="187" t="n"/>
      <c r="L17" s="1170" t="n"/>
      <c r="M17" s="1165" t="n"/>
      <c r="N17" s="1160" t="n"/>
      <c r="O17" s="1161" t="n"/>
      <c r="P17" s="1180">
        <f>+M17*J17</f>
        <v/>
      </c>
      <c r="R17" s="1111" t="n"/>
      <c r="S17" s="25" t="n"/>
      <c r="T17" s="1181" t="n"/>
      <c r="V17" s="30" t="n"/>
      <c r="W17" s="1178" t="n"/>
      <c r="X17" s="187" t="n"/>
      <c r="Y17" s="1170" t="n"/>
      <c r="Z17" s="1172" t="n"/>
      <c r="AA17" s="187" t="n"/>
      <c r="AB17" s="1170" t="n"/>
      <c r="AC17" s="1179" t="n"/>
      <c r="AD17" s="187" t="n"/>
      <c r="AE17" s="1170" t="n"/>
      <c r="AF17" s="1165" t="n"/>
      <c r="AG17" s="1160" t="n"/>
      <c r="AH17" s="1161" t="n"/>
      <c r="AI17" s="1180">
        <f>+AF17*AC17</f>
        <v/>
      </c>
      <c r="AK17" s="1111" t="n"/>
    </row>
    <row r="18" ht="13.8" customHeight="1" thickBot="1">
      <c r="A18" s="1169" t="n"/>
      <c r="B18" s="187" t="n"/>
      <c r="C18" s="1170" t="n"/>
      <c r="D18" s="1171" t="n">
        <v>0</v>
      </c>
      <c r="E18" s="187" t="n"/>
      <c r="F18" s="1170" t="n"/>
      <c r="G18" s="1172" t="n"/>
      <c r="H18" s="187" t="n"/>
      <c r="I18" s="1170" t="n"/>
      <c r="J18" s="1179" t="n"/>
      <c r="K18" s="187" t="n"/>
      <c r="L18" s="1170" t="n"/>
      <c r="M18" s="1165" t="n"/>
      <c r="N18" s="1160" t="n"/>
      <c r="O18" s="1161" t="n"/>
      <c r="P18" s="1174">
        <f>+M18*J18</f>
        <v/>
      </c>
      <c r="R18" s="1111" t="n"/>
      <c r="S18" s="25" t="n"/>
      <c r="T18" s="1175" t="n"/>
      <c r="V18" s="30" t="n"/>
      <c r="W18" s="1171" t="n"/>
      <c r="X18" s="187" t="n"/>
      <c r="Y18" s="1170" t="n"/>
      <c r="Z18" s="1172" t="n"/>
      <c r="AA18" s="187" t="n"/>
      <c r="AB18" s="1170" t="n"/>
      <c r="AC18" s="1179" t="n"/>
      <c r="AD18" s="187" t="n"/>
      <c r="AE18" s="1170" t="n"/>
      <c r="AF18" s="1165" t="n"/>
      <c r="AG18" s="1160" t="n"/>
      <c r="AH18" s="1161" t="n"/>
      <c r="AI18" s="1174">
        <f>+AF18*AC18</f>
        <v/>
      </c>
      <c r="AK18" s="1111" t="n"/>
      <c r="AN18" s="211" t="inlineStr">
        <is>
          <t>SOUNDING</t>
        </is>
      </c>
      <c r="AO18" s="212" t="n"/>
      <c r="AP18" s="213" t="inlineStr">
        <is>
          <t>HEEL</t>
        </is>
      </c>
      <c r="AQ18" s="214" t="n"/>
      <c r="AR18" s="662">
        <f>AP21/AR20</f>
        <v/>
      </c>
      <c r="AU18" t="n">
        <v>0.064</v>
      </c>
    </row>
    <row r="19" ht="13.8" customHeight="1" thickBot="1">
      <c r="A19" s="1177" t="n"/>
      <c r="B19" s="187" t="n"/>
      <c r="C19" s="1170" t="n"/>
      <c r="D19" s="1178" t="n">
        <v>0</v>
      </c>
      <c r="E19" s="187" t="n"/>
      <c r="F19" s="1170" t="n"/>
      <c r="G19" s="1172" t="n"/>
      <c r="H19" s="187" t="n"/>
      <c r="I19" s="1170" t="n"/>
      <c r="J19" s="1179" t="n"/>
      <c r="K19" s="187" t="n"/>
      <c r="L19" s="1170" t="n"/>
      <c r="M19" s="1165" t="n"/>
      <c r="N19" s="1160" t="n"/>
      <c r="O19" s="1161" t="n"/>
      <c r="P19" s="1180">
        <f>+M19*J19</f>
        <v/>
      </c>
      <c r="R19" s="1111" t="n"/>
      <c r="S19" s="25" t="n"/>
      <c r="T19" s="1181" t="n"/>
      <c r="V19" s="30" t="n"/>
      <c r="W19" s="1178" t="n"/>
      <c r="X19" s="187" t="n"/>
      <c r="Y19" s="1170" t="n"/>
      <c r="Z19" s="1172" t="n"/>
      <c r="AA19" s="187" t="n"/>
      <c r="AB19" s="1170" t="n"/>
      <c r="AC19" s="1179" t="n"/>
      <c r="AD19" s="187" t="n"/>
      <c r="AE19" s="1170" t="n"/>
      <c r="AF19" s="1165" t="n"/>
      <c r="AG19" s="1160" t="n"/>
      <c r="AH19" s="1161" t="n"/>
      <c r="AI19" s="1180">
        <f>+AF19*AC19</f>
        <v/>
      </c>
      <c r="AK19" s="1111" t="n"/>
      <c r="AN19" s="215" t="n"/>
      <c r="AO19" s="1182" t="n">
        <v>1</v>
      </c>
      <c r="AP19" s="1182">
        <f>AP13</f>
        <v/>
      </c>
      <c r="AQ19" s="1183" t="n">
        <v>2</v>
      </c>
      <c r="AR19" s="1176" t="inlineStr">
        <is>
          <t>CORRECCION SONDA M.M</t>
        </is>
      </c>
      <c r="AS19" s="1139" t="n"/>
      <c r="AU19" s="1195">
        <f>AN15-AU18</f>
        <v/>
      </c>
    </row>
    <row r="20" ht="15.6" customHeight="1" thickBot="1">
      <c r="A20" s="1169" t="n"/>
      <c r="B20" s="187" t="n"/>
      <c r="C20" s="1170" t="n"/>
      <c r="D20" s="1171" t="n">
        <v>0</v>
      </c>
      <c r="E20" s="187" t="n"/>
      <c r="F20" s="1170" t="n"/>
      <c r="G20" s="1172" t="n"/>
      <c r="H20" s="187" t="n"/>
      <c r="I20" s="1170" t="n"/>
      <c r="J20" s="1179" t="n"/>
      <c r="K20" s="187" t="n"/>
      <c r="L20" s="1170" t="n"/>
      <c r="M20" s="1165" t="n"/>
      <c r="N20" s="1160" t="n"/>
      <c r="O20" s="1161" t="n"/>
      <c r="P20" s="1174">
        <f>+M20*J20</f>
        <v/>
      </c>
      <c r="R20" s="1111" t="n"/>
      <c r="S20" s="25" t="n"/>
      <c r="T20" s="1175" t="n"/>
      <c r="V20" s="30" t="n"/>
      <c r="W20" s="1171" t="n"/>
      <c r="X20" s="187" t="n"/>
      <c r="Y20" s="1170" t="n"/>
      <c r="Z20" s="1172" t="n"/>
      <c r="AA20" s="187" t="n"/>
      <c r="AB20" s="1170" t="n"/>
      <c r="AC20" s="1179" t="n"/>
      <c r="AD20" s="187" t="n"/>
      <c r="AE20" s="1170" t="n"/>
      <c r="AF20" s="1165" t="n"/>
      <c r="AG20" s="1160" t="n"/>
      <c r="AH20" s="1161" t="n"/>
      <c r="AI20" s="1174">
        <f>+AF20*AC20</f>
        <v/>
      </c>
      <c r="AK20" s="1111" t="n"/>
      <c r="AN20" s="1184" t="n">
        <v>0.8</v>
      </c>
      <c r="AO20" s="1185" t="n">
        <v>0</v>
      </c>
      <c r="AP20" s="1186" t="n"/>
      <c r="AQ20" s="1187" t="n">
        <v>0</v>
      </c>
      <c r="AR20" s="665" t="n">
        <v>1000</v>
      </c>
      <c r="AS20" s="198" t="n"/>
    </row>
    <row r="21" ht="15.6" customHeight="1" thickBot="1">
      <c r="A21" s="1177" t="n"/>
      <c r="B21" s="187" t="n"/>
      <c r="C21" s="1170" t="n"/>
      <c r="D21" s="1178" t="n">
        <v>0</v>
      </c>
      <c r="E21" s="187" t="n"/>
      <c r="F21" s="1170" t="n"/>
      <c r="G21" s="1172" t="n"/>
      <c r="H21" s="187" t="n"/>
      <c r="I21" s="1170" t="n"/>
      <c r="J21" s="1179" t="n"/>
      <c r="K21" s="187" t="n"/>
      <c r="L21" s="1170" t="n"/>
      <c r="M21" s="1165" t="n"/>
      <c r="N21" s="1160" t="n"/>
      <c r="O21" s="1161" t="n"/>
      <c r="P21" s="1180">
        <f>+M21*J21</f>
        <v/>
      </c>
      <c r="R21" s="1111" t="n"/>
      <c r="S21" s="25" t="n"/>
      <c r="T21" s="1181" t="n"/>
      <c r="V21" s="30" t="n"/>
      <c r="W21" s="1178" t="n"/>
      <c r="X21" s="187" t="n"/>
      <c r="Y21" s="1170" t="n"/>
      <c r="Z21" s="1172" t="n"/>
      <c r="AA21" s="187" t="n"/>
      <c r="AB21" s="1170" t="n"/>
      <c r="AC21" s="1179" t="n"/>
      <c r="AD21" s="187" t="n"/>
      <c r="AE21" s="1170" t="n"/>
      <c r="AF21" s="1165" t="n"/>
      <c r="AG21" s="1160" t="n"/>
      <c r="AH21" s="1161" t="n"/>
      <c r="AI21" s="1180">
        <f>+AF21*AC21</f>
        <v/>
      </c>
      <c r="AK21" s="1111" t="n"/>
      <c r="AN21" s="1184" t="n">
        <v>0.84</v>
      </c>
      <c r="AO21" s="1189">
        <f>((AO20-AO22)/(AN20-AN22))*(AN21-AN22)+AO22</f>
        <v/>
      </c>
      <c r="AP21" s="1186">
        <f>AO21-(AO21-AQ21)/(AQ19-AO19)*(AP19-AO19)</f>
        <v/>
      </c>
      <c r="AQ21" s="1190">
        <f>((AQ20-AQ22)/(AN20-AN22))*(AN21-AN22)+AQ22</f>
        <v/>
      </c>
      <c r="AR21" s="1188">
        <f>AN21+AR18</f>
        <v/>
      </c>
      <c r="AS21" s="224" t="inlineStr">
        <is>
          <t>+</t>
        </is>
      </c>
    </row>
    <row r="22" ht="15.6" customHeight="1" thickBot="1">
      <c r="A22" s="1169" t="n"/>
      <c r="B22" s="187" t="n"/>
      <c r="C22" s="1170" t="n"/>
      <c r="D22" s="1171" t="n"/>
      <c r="E22" s="187" t="n"/>
      <c r="F22" s="1170" t="n"/>
      <c r="G22" s="1172" t="n"/>
      <c r="H22" s="187" t="n"/>
      <c r="I22" s="1170" t="n"/>
      <c r="J22" s="1179" t="n"/>
      <c r="K22" s="187" t="n"/>
      <c r="L22" s="1170" t="n"/>
      <c r="M22" s="1165" t="n"/>
      <c r="N22" s="1160" t="n"/>
      <c r="O22" s="1161" t="n"/>
      <c r="P22" s="1174">
        <f>+M22*J22</f>
        <v/>
      </c>
      <c r="R22" s="1111" t="n"/>
      <c r="S22" s="25" t="n"/>
      <c r="T22" s="1175" t="n"/>
      <c r="V22" s="30" t="n"/>
      <c r="W22" s="1171" t="n"/>
      <c r="X22" s="187" t="n"/>
      <c r="Y22" s="1170" t="n"/>
      <c r="Z22" s="1172" t="n"/>
      <c r="AA22" s="187" t="n"/>
      <c r="AB22" s="1170" t="n"/>
      <c r="AC22" s="1179" t="n"/>
      <c r="AD22" s="187" t="n"/>
      <c r="AE22" s="1170" t="n"/>
      <c r="AF22" s="1165" t="n"/>
      <c r="AG22" s="1160" t="n"/>
      <c r="AH22" s="1161" t="n"/>
      <c r="AI22" s="1174">
        <f>+AF22*AC22</f>
        <v/>
      </c>
      <c r="AK22" s="1111" t="n"/>
      <c r="AN22" s="1191" t="n">
        <v>1</v>
      </c>
      <c r="AO22" s="1192" t="n">
        <v>3</v>
      </c>
      <c r="AP22" s="1193" t="n"/>
      <c r="AQ22" s="1194" t="n">
        <v>5</v>
      </c>
      <c r="AR22" s="1196">
        <f>AN21-AR18</f>
        <v/>
      </c>
      <c r="AS22" s="227" t="inlineStr">
        <is>
          <t>-</t>
        </is>
      </c>
    </row>
    <row r="23" ht="13.8" customHeight="1" thickBot="1">
      <c r="A23" s="1177" t="n"/>
      <c r="B23" s="187" t="n"/>
      <c r="C23" s="1170" t="n"/>
      <c r="D23" s="1178" t="n"/>
      <c r="E23" s="187" t="n"/>
      <c r="F23" s="1170" t="n"/>
      <c r="G23" s="1172" t="n"/>
      <c r="H23" s="187" t="n"/>
      <c r="I23" s="1170" t="n"/>
      <c r="J23" s="1179" t="n"/>
      <c r="K23" s="187" t="n"/>
      <c r="L23" s="1170" t="n"/>
      <c r="M23" s="1165" t="n"/>
      <c r="N23" s="1160" t="n"/>
      <c r="O23" s="1161" t="n"/>
      <c r="P23" s="1180">
        <f>+M23*J23</f>
        <v/>
      </c>
      <c r="R23" s="1111" t="n"/>
      <c r="S23" s="25" t="n"/>
      <c r="T23" s="1181" t="n"/>
      <c r="V23" s="30" t="n"/>
      <c r="W23" s="1178" t="n"/>
      <c r="X23" s="187" t="n"/>
      <c r="Y23" s="1170" t="n"/>
      <c r="Z23" s="1172" t="n"/>
      <c r="AA23" s="187" t="n"/>
      <c r="AB23" s="1170" t="n"/>
      <c r="AC23" s="1179" t="n"/>
      <c r="AD23" s="187" t="n"/>
      <c r="AE23" s="1170" t="n"/>
      <c r="AF23" s="1165" t="n"/>
      <c r="AG23" s="1160" t="n"/>
      <c r="AH23" s="1161" t="n"/>
      <c r="AI23" s="1180">
        <f>+AF23*AC23</f>
        <v/>
      </c>
      <c r="AK23" s="1111" t="n"/>
    </row>
    <row r="24">
      <c r="A24" s="1169" t="n"/>
      <c r="B24" s="187" t="n"/>
      <c r="C24" s="1170" t="n"/>
      <c r="D24" s="1171" t="n"/>
      <c r="E24" s="187" t="n"/>
      <c r="F24" s="1170" t="n"/>
      <c r="G24" s="1172" t="n"/>
      <c r="H24" s="187" t="n"/>
      <c r="I24" s="1170" t="n"/>
      <c r="J24" s="1179" t="n"/>
      <c r="K24" s="187" t="n"/>
      <c r="L24" s="1170" t="n"/>
      <c r="M24" s="1165" t="n"/>
      <c r="N24" s="1160" t="n"/>
      <c r="O24" s="1161" t="n"/>
      <c r="P24" s="1174">
        <f>+M24*J24</f>
        <v/>
      </c>
      <c r="R24" s="1111" t="n"/>
      <c r="S24" s="25" t="n"/>
      <c r="T24" s="1175" t="n"/>
      <c r="V24" s="30" t="n"/>
      <c r="W24" s="1171" t="n"/>
      <c r="X24" s="187" t="n"/>
      <c r="Y24" s="1170" t="n"/>
      <c r="Z24" s="1172" t="n"/>
      <c r="AA24" s="187" t="n"/>
      <c r="AB24" s="1170" t="n"/>
      <c r="AC24" s="1179" t="n"/>
      <c r="AD24" s="187" t="n"/>
      <c r="AE24" s="1170" t="n"/>
      <c r="AF24" s="1165" t="n"/>
      <c r="AG24" s="1160" t="n"/>
      <c r="AH24" s="1161" t="n"/>
      <c r="AI24" s="1174">
        <f>+AF24*AC24</f>
        <v/>
      </c>
      <c r="AK24" s="1111" t="n"/>
      <c r="AN24" s="233" t="inlineStr">
        <is>
          <t>SOUNDING</t>
        </is>
      </c>
      <c r="AO24" s="234" t="n"/>
      <c r="AP24" s="235" t="inlineStr">
        <is>
          <t>TRIM</t>
        </is>
      </c>
      <c r="AQ24" s="236" t="n"/>
    </row>
    <row r="25">
      <c r="A25" s="1177" t="n"/>
      <c r="B25" s="187" t="n"/>
      <c r="C25" s="1170" t="n"/>
      <c r="D25" s="1178" t="n"/>
      <c r="E25" s="187" t="n"/>
      <c r="F25" s="1170" t="n"/>
      <c r="G25" s="1172" t="n"/>
      <c r="H25" s="187" t="n"/>
      <c r="I25" s="1170" t="n"/>
      <c r="J25" s="1179" t="n"/>
      <c r="K25" s="187" t="n"/>
      <c r="L25" s="1170" t="n"/>
      <c r="M25" s="1197" t="n"/>
      <c r="N25" s="187" t="n"/>
      <c r="O25" s="1170" t="n"/>
      <c r="P25" s="1180" t="n"/>
      <c r="R25" s="1111" t="n"/>
      <c r="S25" s="25" t="n"/>
      <c r="T25" s="1181" t="n"/>
      <c r="V25" s="30" t="n"/>
      <c r="W25" s="1198">
        <f>+D25</f>
        <v/>
      </c>
      <c r="Y25" s="30" t="n"/>
      <c r="Z25" s="1178" t="n">
        <v>0</v>
      </c>
      <c r="AA25" s="187" t="n"/>
      <c r="AB25" s="1170" t="n"/>
      <c r="AC25" s="1199" t="n">
        <v>0</v>
      </c>
      <c r="AD25" s="187" t="n"/>
      <c r="AE25" s="1170" t="n"/>
      <c r="AF25" s="1200" t="n">
        <v>0</v>
      </c>
      <c r="AG25" s="187" t="n"/>
      <c r="AH25" s="1170" t="n"/>
      <c r="AI25" s="1180">
        <f>+AF25*AC25</f>
        <v/>
      </c>
      <c r="AK25" s="1111" t="n"/>
      <c r="AN25" s="237" t="n"/>
      <c r="AO25" s="1201" t="n">
        <v>0</v>
      </c>
      <c r="AP25" s="1201" t="n">
        <v>1</v>
      </c>
      <c r="AQ25" s="1202" t="n">
        <v>1</v>
      </c>
    </row>
    <row r="26">
      <c r="A26" s="1169" t="n"/>
      <c r="B26" s="187" t="n"/>
      <c r="C26" s="1170" t="n"/>
      <c r="D26" s="1171" t="n"/>
      <c r="E26" s="187" t="n"/>
      <c r="F26" s="1170" t="n"/>
      <c r="G26" s="1171" t="n"/>
      <c r="H26" s="187" t="n"/>
      <c r="I26" s="1170" t="n"/>
      <c r="J26" s="1203" t="n"/>
      <c r="K26" s="187" t="n"/>
      <c r="L26" s="1170" t="n"/>
      <c r="M26" s="1204" t="n"/>
      <c r="N26" s="187" t="n"/>
      <c r="O26" s="1170" t="n"/>
      <c r="P26" s="1174" t="n"/>
      <c r="R26" s="1111" t="n"/>
      <c r="S26" s="25" t="n"/>
      <c r="T26" s="1175">
        <f>+A26</f>
        <v/>
      </c>
      <c r="V26" s="30" t="n"/>
      <c r="W26" s="1205">
        <f>+D26</f>
        <v/>
      </c>
      <c r="Y26" s="30" t="n"/>
      <c r="Z26" s="1171" t="n">
        <v>0</v>
      </c>
      <c r="AA26" s="187" t="n"/>
      <c r="AB26" s="1170" t="n"/>
      <c r="AC26" s="1203" t="n">
        <v>0</v>
      </c>
      <c r="AD26" s="187" t="n"/>
      <c r="AE26" s="1170" t="n"/>
      <c r="AF26" s="1204" t="n">
        <v>0</v>
      </c>
      <c r="AG26" s="187" t="n"/>
      <c r="AH26" s="1170" t="n"/>
      <c r="AI26" s="1174">
        <f>+AF26*AC26</f>
        <v/>
      </c>
      <c r="AK26" s="1111" t="n"/>
      <c r="AN26" s="1206" t="n">
        <v>0.2</v>
      </c>
      <c r="AO26" s="1207" t="n">
        <v>319.8</v>
      </c>
      <c r="AP26" s="1208" t="n"/>
      <c r="AQ26" s="1209">
        <f>AO26</f>
        <v/>
      </c>
    </row>
    <row r="27">
      <c r="A27" s="1177" t="n"/>
      <c r="B27" s="187" t="n"/>
      <c r="C27" s="1170" t="n"/>
      <c r="D27" s="1178" t="n"/>
      <c r="E27" s="187" t="n"/>
      <c r="F27" s="1170" t="n"/>
      <c r="G27" s="1178" t="n"/>
      <c r="H27" s="187" t="n"/>
      <c r="I27" s="1170" t="n"/>
      <c r="J27" s="1199" t="n"/>
      <c r="K27" s="187" t="n"/>
      <c r="L27" s="1170" t="n"/>
      <c r="M27" s="1200" t="n"/>
      <c r="N27" s="187" t="n"/>
      <c r="O27" s="1170" t="n"/>
      <c r="P27" s="1180" t="n"/>
      <c r="R27" s="1111" t="n"/>
      <c r="S27" s="25" t="n"/>
      <c r="T27" s="1181">
        <f>+A27</f>
        <v/>
      </c>
      <c r="V27" s="30" t="n"/>
      <c r="W27" s="1198">
        <f>+D27</f>
        <v/>
      </c>
      <c r="Y27" s="30" t="n"/>
      <c r="Z27" s="1178" t="n">
        <v>0</v>
      </c>
      <c r="AA27" s="187" t="n"/>
      <c r="AB27" s="1170" t="n"/>
      <c r="AC27" s="1199" t="n">
        <v>0</v>
      </c>
      <c r="AD27" s="187" t="n"/>
      <c r="AE27" s="1170" t="n"/>
      <c r="AF27" s="1200" t="n">
        <v>0</v>
      </c>
      <c r="AG27" s="187" t="n"/>
      <c r="AH27" s="1170" t="n"/>
      <c r="AI27" s="1180">
        <f>+AF27*AC27</f>
        <v/>
      </c>
      <c r="AK27" s="1111" t="n"/>
      <c r="AN27" s="1206" t="n">
        <v>0.84</v>
      </c>
      <c r="AO27" s="1210">
        <f>((AO26-AO28)/(AN26-AN28))*(AN27-AN28)+AO28</f>
        <v/>
      </c>
      <c r="AP27" s="1208">
        <f>AO27-(AO27-AQ27)/(AQ25-AO25)*(AP25-AO25)</f>
        <v/>
      </c>
      <c r="AQ27" s="1211">
        <f>((AQ26-AQ28)/(AN26-AN28))*(AN27-AN28)+AQ28</f>
        <v/>
      </c>
    </row>
    <row r="28" ht="13.8" customHeight="1" thickBot="1">
      <c r="A28" s="1169" t="n"/>
      <c r="B28" s="187" t="n"/>
      <c r="C28" s="1170" t="n"/>
      <c r="D28" s="1171" t="n"/>
      <c r="E28" s="187" t="n"/>
      <c r="F28" s="1170" t="n"/>
      <c r="G28" s="1171" t="n"/>
      <c r="H28" s="187" t="n"/>
      <c r="I28" s="1170" t="n"/>
      <c r="J28" s="1203" t="n"/>
      <c r="K28" s="187" t="n"/>
      <c r="L28" s="1170" t="n"/>
      <c r="M28" s="1204" t="n"/>
      <c r="N28" s="187" t="n"/>
      <c r="O28" s="1170" t="n"/>
      <c r="P28" s="1174" t="n"/>
      <c r="R28" s="1111" t="n"/>
      <c r="S28" s="25" t="n"/>
      <c r="T28" s="1175">
        <f>+A28</f>
        <v/>
      </c>
      <c r="V28" s="30" t="n"/>
      <c r="W28" s="1205">
        <f>+D28</f>
        <v/>
      </c>
      <c r="Y28" s="30" t="n"/>
      <c r="Z28" s="1171" t="n">
        <v>0</v>
      </c>
      <c r="AA28" s="187" t="n"/>
      <c r="AB28" s="1170" t="n"/>
      <c r="AC28" s="1203" t="n">
        <v>0</v>
      </c>
      <c r="AD28" s="187" t="n"/>
      <c r="AE28" s="1170" t="n"/>
      <c r="AF28" s="1204" t="n">
        <v>0</v>
      </c>
      <c r="AG28" s="187" t="n"/>
      <c r="AH28" s="1170" t="n"/>
      <c r="AI28" s="1174">
        <f>+AF28*AC28</f>
        <v/>
      </c>
      <c r="AK28" s="1111" t="n"/>
      <c r="AN28" s="1212" t="n">
        <v>0.4</v>
      </c>
      <c r="AO28" s="1213" t="n">
        <v>321.2</v>
      </c>
      <c r="AP28" s="1214" t="n"/>
      <c r="AQ28" s="1215">
        <f>AO28</f>
        <v/>
      </c>
    </row>
    <row r="29" ht="13.8" customHeight="1" thickBot="1">
      <c r="A29" s="1177" t="n"/>
      <c r="B29" s="187" t="n"/>
      <c r="C29" s="1170" t="n"/>
      <c r="D29" s="1178" t="n"/>
      <c r="E29" s="187" t="n"/>
      <c r="F29" s="1170" t="n"/>
      <c r="G29" s="1178" t="n"/>
      <c r="H29" s="187" t="n"/>
      <c r="I29" s="1170" t="n"/>
      <c r="J29" s="1199" t="n"/>
      <c r="K29" s="187" t="n"/>
      <c r="L29" s="1170" t="n"/>
      <c r="M29" s="1200" t="n"/>
      <c r="N29" s="187" t="n"/>
      <c r="O29" s="1170" t="n"/>
      <c r="P29" s="1180" t="n"/>
      <c r="R29" s="1111" t="n"/>
      <c r="S29" s="25" t="n"/>
      <c r="T29" s="1181">
        <f>+A29</f>
        <v/>
      </c>
      <c r="V29" s="30" t="n"/>
      <c r="W29" s="1198">
        <f>+D29</f>
        <v/>
      </c>
      <c r="Y29" s="30" t="n"/>
      <c r="Z29" s="1178" t="n">
        <v>0</v>
      </c>
      <c r="AA29" s="187" t="n"/>
      <c r="AB29" s="1170" t="n"/>
      <c r="AC29" s="1199" t="n">
        <v>0</v>
      </c>
      <c r="AD29" s="187" t="n"/>
      <c r="AE29" s="1170" t="n"/>
      <c r="AF29" s="1200" t="n">
        <v>0</v>
      </c>
      <c r="AG29" s="187" t="n"/>
      <c r="AH29" s="1170" t="n"/>
      <c r="AI29" s="1180">
        <f>+AF29*AC29</f>
        <v/>
      </c>
      <c r="AK29" s="1111" t="n"/>
    </row>
    <row r="30">
      <c r="A30" s="1169" t="n"/>
      <c r="B30" s="187" t="n"/>
      <c r="C30" s="1170" t="n"/>
      <c r="D30" s="1171" t="n">
        <v>0</v>
      </c>
      <c r="E30" s="187" t="n"/>
      <c r="F30" s="1170" t="n"/>
      <c r="G30" s="1171" t="n">
        <v>0</v>
      </c>
      <c r="H30" s="187" t="n"/>
      <c r="I30" s="1170" t="n"/>
      <c r="J30" s="1203" t="n">
        <v>0</v>
      </c>
      <c r="K30" s="187" t="n"/>
      <c r="L30" s="1170" t="n"/>
      <c r="M30" s="1204" t="n">
        <v>0</v>
      </c>
      <c r="N30" s="187" t="n"/>
      <c r="O30" s="1170" t="n"/>
      <c r="P30" s="1174">
        <f>+M30*J30</f>
        <v/>
      </c>
      <c r="R30" s="1111" t="n"/>
      <c r="S30" s="25" t="n"/>
      <c r="T30" s="1175">
        <f>+A30</f>
        <v/>
      </c>
      <c r="V30" s="30" t="n"/>
      <c r="W30" s="1205">
        <f>+D30</f>
        <v/>
      </c>
      <c r="Y30" s="30" t="n"/>
      <c r="Z30" s="1171" t="n">
        <v>0</v>
      </c>
      <c r="AA30" s="187" t="n"/>
      <c r="AB30" s="1170" t="n"/>
      <c r="AC30" s="1203" t="n">
        <v>0</v>
      </c>
      <c r="AD30" s="187" t="n"/>
      <c r="AE30" s="1170" t="n"/>
      <c r="AF30" s="1204" t="n">
        <v>0</v>
      </c>
      <c r="AG30" s="187" t="n"/>
      <c r="AH30" s="1170" t="n"/>
      <c r="AI30" s="1174">
        <f>+AF30*AC30</f>
        <v/>
      </c>
      <c r="AK30" s="1111" t="n"/>
      <c r="AN30" s="211" t="inlineStr">
        <is>
          <t>SOUNDING</t>
        </is>
      </c>
      <c r="AO30" s="212" t="n"/>
      <c r="AP30" s="213" t="inlineStr">
        <is>
          <t>TRIM</t>
        </is>
      </c>
      <c r="AQ30" s="214" t="n"/>
    </row>
    <row r="31">
      <c r="A31" s="1177" t="n"/>
      <c r="B31" s="187" t="n"/>
      <c r="C31" s="1170" t="n"/>
      <c r="D31" s="1178" t="n">
        <v>0</v>
      </c>
      <c r="E31" s="187" t="n"/>
      <c r="F31" s="1170" t="n"/>
      <c r="G31" s="1178" t="n">
        <v>0</v>
      </c>
      <c r="H31" s="187" t="n"/>
      <c r="I31" s="1170" t="n"/>
      <c r="J31" s="1199" t="n">
        <v>0</v>
      </c>
      <c r="K31" s="187" t="n"/>
      <c r="L31" s="1170" t="n"/>
      <c r="M31" s="1200" t="n">
        <v>0</v>
      </c>
      <c r="N31" s="187" t="n"/>
      <c r="O31" s="1170" t="n"/>
      <c r="P31" s="1180">
        <f>+M31*J31</f>
        <v/>
      </c>
      <c r="R31" s="1111" t="n"/>
      <c r="S31" s="25" t="n"/>
      <c r="T31" s="1181">
        <f>+A31</f>
        <v/>
      </c>
      <c r="V31" s="30" t="n"/>
      <c r="W31" s="1198">
        <f>+D31</f>
        <v/>
      </c>
      <c r="Y31" s="30" t="n"/>
      <c r="Z31" s="1178" t="n">
        <v>0</v>
      </c>
      <c r="AA31" s="187" t="n"/>
      <c r="AB31" s="1170" t="n"/>
      <c r="AC31" s="1199" t="n">
        <v>0</v>
      </c>
      <c r="AD31" s="187" t="n"/>
      <c r="AE31" s="1170" t="n"/>
      <c r="AF31" s="1200" t="n">
        <v>0</v>
      </c>
      <c r="AG31" s="187" t="n"/>
      <c r="AH31" s="1170" t="n"/>
      <c r="AI31" s="1180">
        <f>+AF31*AC31</f>
        <v/>
      </c>
      <c r="AK31" s="1111" t="n"/>
      <c r="AN31" s="215" t="n"/>
      <c r="AO31" s="1182" t="n">
        <v>1</v>
      </c>
      <c r="AP31" s="1182" t="n">
        <v>1.15</v>
      </c>
      <c r="AQ31" s="1183" t="n">
        <v>2</v>
      </c>
    </row>
    <row r="32">
      <c r="A32" s="1169" t="n"/>
      <c r="B32" s="187" t="n"/>
      <c r="C32" s="1170" t="n"/>
      <c r="D32" s="1171" t="n">
        <v>0</v>
      </c>
      <c r="E32" s="187" t="n"/>
      <c r="F32" s="1170" t="n"/>
      <c r="G32" s="1171" t="n">
        <v>0</v>
      </c>
      <c r="H32" s="187" t="n"/>
      <c r="I32" s="1170" t="n"/>
      <c r="J32" s="1203" t="n">
        <v>0</v>
      </c>
      <c r="K32" s="187" t="n"/>
      <c r="L32" s="1170" t="n"/>
      <c r="M32" s="1204" t="n">
        <v>0</v>
      </c>
      <c r="N32" s="187" t="n"/>
      <c r="O32" s="1170" t="n"/>
      <c r="P32" s="1174">
        <f>+M32*J32</f>
        <v/>
      </c>
      <c r="R32" s="1111" t="n"/>
      <c r="S32" s="25" t="n"/>
      <c r="T32" s="1175">
        <f>+A32</f>
        <v/>
      </c>
      <c r="V32" s="30" t="n"/>
      <c r="W32" s="1205">
        <f>+D32</f>
        <v/>
      </c>
      <c r="Y32" s="30" t="n"/>
      <c r="Z32" s="1171" t="n">
        <v>0</v>
      </c>
      <c r="AA32" s="187" t="n"/>
      <c r="AB32" s="1170" t="n"/>
      <c r="AC32" s="1203" t="n">
        <v>0</v>
      </c>
      <c r="AD32" s="187" t="n"/>
      <c r="AE32" s="1170" t="n"/>
      <c r="AF32" s="1204" t="n">
        <v>0</v>
      </c>
      <c r="AG32" s="187" t="n"/>
      <c r="AH32" s="1170" t="n"/>
      <c r="AI32" s="1174">
        <f>+AF32*AC32</f>
        <v/>
      </c>
      <c r="AK32" s="1111" t="n"/>
      <c r="AN32" s="1184" t="n">
        <v>0</v>
      </c>
      <c r="AO32" s="1185" t="n"/>
      <c r="AP32" s="1186" t="n"/>
      <c r="AQ32" s="1183">
        <f>AO32</f>
        <v/>
      </c>
    </row>
    <row r="33">
      <c r="A33" s="1177" t="n"/>
      <c r="B33" s="187" t="n"/>
      <c r="C33" s="1170" t="n"/>
      <c r="D33" s="1178" t="n">
        <v>0</v>
      </c>
      <c r="E33" s="187" t="n"/>
      <c r="F33" s="1170" t="n"/>
      <c r="G33" s="1178" t="n">
        <v>0</v>
      </c>
      <c r="H33" s="187" t="n"/>
      <c r="I33" s="1170" t="n"/>
      <c r="J33" s="1199" t="n">
        <v>0</v>
      </c>
      <c r="K33" s="187" t="n"/>
      <c r="L33" s="1170" t="n"/>
      <c r="M33" s="1200" t="n">
        <v>0</v>
      </c>
      <c r="N33" s="187" t="n"/>
      <c r="O33" s="1170" t="n"/>
      <c r="P33" s="1180">
        <f>+M33*J33</f>
        <v/>
      </c>
      <c r="R33" s="1111" t="n"/>
      <c r="S33" s="25" t="n"/>
      <c r="T33" s="1181">
        <f>+A33</f>
        <v/>
      </c>
      <c r="V33" s="30" t="n"/>
      <c r="W33" s="1198">
        <f>+D33</f>
        <v/>
      </c>
      <c r="Y33" s="30" t="n"/>
      <c r="Z33" s="1178" t="n">
        <v>0</v>
      </c>
      <c r="AA33" s="187" t="n"/>
      <c r="AB33" s="1170" t="n"/>
      <c r="AC33" s="1199" t="n">
        <v>0</v>
      </c>
      <c r="AD33" s="187" t="n"/>
      <c r="AE33" s="1170" t="n"/>
      <c r="AF33" s="1200" t="n">
        <v>0</v>
      </c>
      <c r="AG33" s="187" t="n"/>
      <c r="AH33" s="1170" t="n"/>
      <c r="AI33" s="1180">
        <f>+AF33*AC33</f>
        <v/>
      </c>
      <c r="AK33" s="1111" t="n"/>
      <c r="AN33" s="1184" t="n">
        <v>6.476</v>
      </c>
      <c r="AO33" s="1189">
        <f>((AO32-AO34)/(AN32-AN34))*(AN33-AN34)+AO34</f>
        <v/>
      </c>
      <c r="AP33" s="1186">
        <f>AO33-(AO33-AQ33)/(AQ31-AO31)*(AP31-AO31)</f>
        <v/>
      </c>
      <c r="AQ33" s="1190">
        <f>((AQ32-AQ34)/(AN32-AN34))*(AN33-AN34)+AQ34</f>
        <v/>
      </c>
    </row>
    <row r="34" ht="13.8" customHeight="1" thickBot="1">
      <c r="A34" s="1169" t="n"/>
      <c r="B34" s="187" t="n"/>
      <c r="C34" s="1170" t="n"/>
      <c r="D34" s="1171" t="n">
        <v>0</v>
      </c>
      <c r="E34" s="187" t="n"/>
      <c r="F34" s="1170" t="n"/>
      <c r="G34" s="1171" t="n">
        <v>0</v>
      </c>
      <c r="H34" s="187" t="n"/>
      <c r="I34" s="1170" t="n"/>
      <c r="J34" s="1203" t="n">
        <v>0</v>
      </c>
      <c r="K34" s="187" t="n"/>
      <c r="L34" s="1170" t="n"/>
      <c r="M34" s="1204" t="n">
        <v>0</v>
      </c>
      <c r="N34" s="187" t="n"/>
      <c r="O34" s="1170" t="n"/>
      <c r="P34" s="1174">
        <f>+M34*J34</f>
        <v/>
      </c>
      <c r="R34" s="1111" t="n"/>
      <c r="S34" s="25" t="n"/>
      <c r="T34" s="1175">
        <f>+A34</f>
        <v/>
      </c>
      <c r="V34" s="30" t="n"/>
      <c r="W34" s="1205">
        <f>+D34</f>
        <v/>
      </c>
      <c r="Y34" s="30" t="n"/>
      <c r="Z34" s="1171" t="n">
        <v>0</v>
      </c>
      <c r="AA34" s="187" t="n"/>
      <c r="AB34" s="1170" t="n"/>
      <c r="AC34" s="1203" t="n">
        <v>0</v>
      </c>
      <c r="AD34" s="187" t="n"/>
      <c r="AE34" s="1170" t="n"/>
      <c r="AF34" s="1204" t="n">
        <v>0</v>
      </c>
      <c r="AG34" s="187" t="n"/>
      <c r="AH34" s="1170" t="n"/>
      <c r="AI34" s="1174">
        <f>+AF34*AC34</f>
        <v/>
      </c>
      <c r="AK34" s="1111" t="n"/>
      <c r="AN34" s="1191" t="n">
        <v>6.48</v>
      </c>
      <c r="AO34" s="1192" t="n">
        <v>92.22</v>
      </c>
      <c r="AP34" s="1193" t="n"/>
      <c r="AQ34" s="1216">
        <f>AO34</f>
        <v/>
      </c>
    </row>
    <row r="35" ht="13.8" customHeight="1" thickBot="1">
      <c r="A35" s="1177" t="n"/>
      <c r="B35" s="187" t="n"/>
      <c r="C35" s="1170" t="n"/>
      <c r="D35" s="1178" t="n">
        <v>0</v>
      </c>
      <c r="E35" s="187" t="n"/>
      <c r="F35" s="1170" t="n"/>
      <c r="G35" s="1178" t="n">
        <v>0</v>
      </c>
      <c r="H35" s="187" t="n"/>
      <c r="I35" s="1170" t="n"/>
      <c r="J35" s="1199" t="n">
        <v>0</v>
      </c>
      <c r="K35" s="187" t="n"/>
      <c r="L35" s="1170" t="n"/>
      <c r="M35" s="1200" t="n">
        <v>0</v>
      </c>
      <c r="N35" s="187" t="n"/>
      <c r="O35" s="1170" t="n"/>
      <c r="P35" s="1180">
        <f>+M35*J35</f>
        <v/>
      </c>
      <c r="R35" s="1111" t="n"/>
      <c r="S35" s="25" t="n"/>
      <c r="T35" s="1181">
        <f>+A35</f>
        <v/>
      </c>
      <c r="V35" s="30" t="n"/>
      <c r="W35" s="1198">
        <f>+D35</f>
        <v/>
      </c>
      <c r="Y35" s="30" t="n"/>
      <c r="Z35" s="1178" t="n">
        <v>0</v>
      </c>
      <c r="AA35" s="187" t="n"/>
      <c r="AB35" s="1170" t="n"/>
      <c r="AC35" s="1199" t="n">
        <v>0</v>
      </c>
      <c r="AD35" s="187" t="n"/>
      <c r="AE35" s="1170" t="n"/>
      <c r="AF35" s="1200" t="n">
        <v>0</v>
      </c>
      <c r="AG35" s="187" t="n"/>
      <c r="AH35" s="1170" t="n"/>
      <c r="AI35" s="1180">
        <f>+AF35*AC35</f>
        <v/>
      </c>
      <c r="AK35" s="1111" t="n"/>
    </row>
    <row r="36">
      <c r="A36" s="1169" t="n"/>
      <c r="B36" s="187" t="n"/>
      <c r="C36" s="1170" t="n"/>
      <c r="D36" s="1171" t="n">
        <v>0</v>
      </c>
      <c r="E36" s="187" t="n"/>
      <c r="F36" s="1170" t="n"/>
      <c r="G36" s="1171" t="n">
        <v>0</v>
      </c>
      <c r="H36" s="187" t="n"/>
      <c r="I36" s="1170" t="n"/>
      <c r="J36" s="1203" t="n">
        <v>0</v>
      </c>
      <c r="K36" s="187" t="n"/>
      <c r="L36" s="1170" t="n"/>
      <c r="M36" s="1204" t="n">
        <v>0</v>
      </c>
      <c r="N36" s="187" t="n"/>
      <c r="O36" s="1170" t="n"/>
      <c r="P36" s="1174">
        <f>+M36*J36</f>
        <v/>
      </c>
      <c r="R36" s="1111" t="n"/>
      <c r="S36" s="25" t="n"/>
      <c r="T36" s="1175">
        <f>+A36</f>
        <v/>
      </c>
      <c r="V36" s="30" t="n"/>
      <c r="W36" s="1205">
        <f>+D36</f>
        <v/>
      </c>
      <c r="Y36" s="30" t="n"/>
      <c r="Z36" s="1171" t="n">
        <v>0</v>
      </c>
      <c r="AA36" s="187" t="n"/>
      <c r="AB36" s="1170" t="n"/>
      <c r="AC36" s="1203" t="n">
        <v>0</v>
      </c>
      <c r="AD36" s="187" t="n"/>
      <c r="AE36" s="1170" t="n"/>
      <c r="AF36" s="1204" t="n">
        <v>0</v>
      </c>
      <c r="AG36" s="187" t="n"/>
      <c r="AH36" s="1170" t="n"/>
      <c r="AI36" s="1174">
        <f>+AF36*AC36</f>
        <v/>
      </c>
      <c r="AK36" s="1111" t="n"/>
      <c r="AN36" s="211" t="inlineStr">
        <is>
          <t>SOUNDING</t>
        </is>
      </c>
      <c r="AO36" s="212" t="n"/>
      <c r="AP36" s="213" t="inlineStr">
        <is>
          <t>TRIM</t>
        </is>
      </c>
      <c r="AQ36" s="214" t="n"/>
    </row>
    <row r="37">
      <c r="A37" s="1177" t="n"/>
      <c r="B37" s="187" t="n"/>
      <c r="C37" s="1170" t="n"/>
      <c r="D37" s="1178" t="n">
        <v>0</v>
      </c>
      <c r="E37" s="187" t="n"/>
      <c r="F37" s="1170" t="n"/>
      <c r="G37" s="1178" t="n">
        <v>0</v>
      </c>
      <c r="H37" s="187" t="n"/>
      <c r="I37" s="1170" t="n"/>
      <c r="J37" s="1199" t="n">
        <v>0</v>
      </c>
      <c r="K37" s="187" t="n"/>
      <c r="L37" s="1170" t="n"/>
      <c r="M37" s="1200" t="n">
        <v>0</v>
      </c>
      <c r="N37" s="187" t="n"/>
      <c r="O37" s="1170" t="n"/>
      <c r="P37" s="1180">
        <f>+M37*J37</f>
        <v/>
      </c>
      <c r="R37" s="1111" t="n"/>
      <c r="S37" s="25" t="n"/>
      <c r="T37" s="1181">
        <f>+A37</f>
        <v/>
      </c>
      <c r="V37" s="30" t="n"/>
      <c r="W37" s="1198">
        <f>+D37</f>
        <v/>
      </c>
      <c r="Y37" s="30" t="n"/>
      <c r="Z37" s="1178" t="n">
        <v>0</v>
      </c>
      <c r="AA37" s="187" t="n"/>
      <c r="AB37" s="1170" t="n"/>
      <c r="AC37" s="1199" t="n">
        <v>0</v>
      </c>
      <c r="AD37" s="187" t="n"/>
      <c r="AE37" s="1170" t="n"/>
      <c r="AF37" s="1200" t="n">
        <v>0</v>
      </c>
      <c r="AG37" s="187" t="n"/>
      <c r="AH37" s="1170" t="n"/>
      <c r="AI37" s="1180">
        <f>+AF37*AC37</f>
        <v/>
      </c>
      <c r="AK37" s="1111" t="n"/>
      <c r="AN37" s="215" t="n"/>
      <c r="AO37" s="1182" t="n">
        <v>2</v>
      </c>
      <c r="AP37" s="1182" t="n">
        <v>0</v>
      </c>
      <c r="AQ37" s="1183" t="n">
        <v>3</v>
      </c>
    </row>
    <row r="38">
      <c r="A38" s="1169" t="n"/>
      <c r="B38" s="187" t="n"/>
      <c r="C38" s="1170" t="n"/>
      <c r="D38" s="1171" t="n">
        <v>0</v>
      </c>
      <c r="E38" s="187" t="n"/>
      <c r="F38" s="1170" t="n"/>
      <c r="G38" s="1171" t="n">
        <v>0</v>
      </c>
      <c r="H38" s="187" t="n"/>
      <c r="I38" s="1170" t="n"/>
      <c r="J38" s="1203" t="n">
        <v>0</v>
      </c>
      <c r="K38" s="187" t="n"/>
      <c r="L38" s="1170" t="n"/>
      <c r="M38" s="1204">
        <f>+M37</f>
        <v/>
      </c>
      <c r="N38" s="187" t="n"/>
      <c r="O38" s="1170" t="n"/>
      <c r="P38" s="1174">
        <f>+M38*J38</f>
        <v/>
      </c>
      <c r="R38" s="1111" t="n"/>
      <c r="S38" s="25" t="n"/>
      <c r="T38" s="1175">
        <f>+A38</f>
        <v/>
      </c>
      <c r="V38" s="30" t="n"/>
      <c r="W38" s="1205">
        <f>+D38</f>
        <v/>
      </c>
      <c r="Y38" s="30" t="n"/>
      <c r="Z38" s="1171" t="n">
        <v>0</v>
      </c>
      <c r="AA38" s="187" t="n"/>
      <c r="AB38" s="1170" t="n"/>
      <c r="AC38" s="1203" t="n">
        <v>0</v>
      </c>
      <c r="AD38" s="187" t="n"/>
      <c r="AE38" s="1170" t="n"/>
      <c r="AF38" s="1204" t="n">
        <v>0</v>
      </c>
      <c r="AG38" s="187" t="n"/>
      <c r="AH38" s="1170" t="n"/>
      <c r="AI38" s="1174">
        <f>+AF38*AC38</f>
        <v/>
      </c>
      <c r="AK38" s="1111" t="n"/>
      <c r="AN38" s="1184" t="n">
        <v>3.4</v>
      </c>
      <c r="AO38" s="1185" t="n">
        <v>245.3</v>
      </c>
      <c r="AP38" s="1186" t="n"/>
      <c r="AQ38" s="1183" t="n">
        <v>247.1</v>
      </c>
    </row>
    <row r="39">
      <c r="A39" s="1177" t="n"/>
      <c r="B39" s="187" t="n"/>
      <c r="C39" s="1170" t="n"/>
      <c r="D39" s="1178" t="n">
        <v>0</v>
      </c>
      <c r="E39" s="187" t="n"/>
      <c r="F39" s="1170" t="n"/>
      <c r="G39" s="1178" t="n">
        <v>0</v>
      </c>
      <c r="H39" s="187" t="n"/>
      <c r="I39" s="1170" t="n"/>
      <c r="J39" s="1199" t="n">
        <v>0</v>
      </c>
      <c r="K39" s="187" t="n"/>
      <c r="L39" s="1170" t="n"/>
      <c r="M39" s="1200" t="n">
        <v>0</v>
      </c>
      <c r="N39" s="187" t="n"/>
      <c r="O39" s="1170" t="n"/>
      <c r="P39" s="1180">
        <f>+M39*J39</f>
        <v/>
      </c>
      <c r="R39" s="1111" t="n"/>
      <c r="S39" s="25" t="n"/>
      <c r="T39" s="1181">
        <f>+A39</f>
        <v/>
      </c>
      <c r="V39" s="30" t="n"/>
      <c r="W39" s="1198">
        <f>+D39</f>
        <v/>
      </c>
      <c r="Y39" s="30" t="n"/>
      <c r="Z39" s="1178" t="n">
        <v>0</v>
      </c>
      <c r="AA39" s="187" t="n"/>
      <c r="AB39" s="1170" t="n"/>
      <c r="AC39" s="1199" t="n">
        <v>0</v>
      </c>
      <c r="AD39" s="187" t="n"/>
      <c r="AE39" s="1170" t="n"/>
      <c r="AF39" s="1200" t="n">
        <v>0</v>
      </c>
      <c r="AG39" s="187" t="n"/>
      <c r="AH39" s="1170" t="n"/>
      <c r="AI39" s="1180">
        <f>+AF39*AC39</f>
        <v/>
      </c>
      <c r="AK39" s="1111" t="n"/>
      <c r="AN39" s="1184" t="n">
        <v>3.47</v>
      </c>
      <c r="AO39" s="1189">
        <f>((AO38-AO40)/(AN38-AN40))*(AN39-AN40)+AO40</f>
        <v/>
      </c>
      <c r="AP39" s="1186">
        <f>AO39-(AO39-AQ39)/(AQ37-AO37)*(AP37-AO37)</f>
        <v/>
      </c>
      <c r="AQ39" s="1190">
        <f>((AQ38-AQ40)/(AN38-AN40))*(AN39-AN40)+AQ40</f>
        <v/>
      </c>
    </row>
    <row r="40" ht="13.8" customHeight="1" thickBot="1">
      <c r="A40" s="1169" t="n"/>
      <c r="B40" s="187" t="n"/>
      <c r="C40" s="1170" t="n"/>
      <c r="D40" s="1171" t="n">
        <v>0</v>
      </c>
      <c r="E40" s="187" t="n"/>
      <c r="F40" s="1170" t="n"/>
      <c r="G40" s="1171" t="n">
        <v>0</v>
      </c>
      <c r="H40" s="187" t="n"/>
      <c r="I40" s="1170" t="n"/>
      <c r="J40" s="1203" t="n">
        <v>0</v>
      </c>
      <c r="K40" s="187" t="n"/>
      <c r="L40" s="1170" t="n"/>
      <c r="M40" s="1204" t="n">
        <v>0</v>
      </c>
      <c r="N40" s="187" t="n"/>
      <c r="O40" s="1170" t="n"/>
      <c r="P40" s="1174">
        <f>+M40*J40</f>
        <v/>
      </c>
      <c r="R40" s="1111" t="n"/>
      <c r="S40" s="25" t="n"/>
      <c r="T40" s="1175">
        <f>+A40</f>
        <v/>
      </c>
      <c r="V40" s="30" t="n"/>
      <c r="W40" s="1205">
        <f>+D40</f>
        <v/>
      </c>
      <c r="Y40" s="30" t="n"/>
      <c r="Z40" s="1171" t="n">
        <v>0</v>
      </c>
      <c r="AA40" s="187" t="n"/>
      <c r="AB40" s="1170" t="n"/>
      <c r="AC40" s="1203" t="n">
        <v>0</v>
      </c>
      <c r="AD40" s="187" t="n"/>
      <c r="AE40" s="1170" t="n"/>
      <c r="AF40" s="1204" t="n">
        <v>0</v>
      </c>
      <c r="AG40" s="187" t="n"/>
      <c r="AH40" s="1170" t="n"/>
      <c r="AI40" s="1174">
        <f>+AF40*AC40</f>
        <v/>
      </c>
      <c r="AK40" s="1111" t="n"/>
      <c r="AN40" s="1191" t="n">
        <v>3.5</v>
      </c>
      <c r="AO40" s="1192" t="n">
        <v>257.2</v>
      </c>
      <c r="AP40" s="1193" t="n"/>
      <c r="AQ40" s="1216" t="n">
        <v>257</v>
      </c>
    </row>
    <row r="41">
      <c r="A41" s="1217" t="n"/>
      <c r="B41" s="1025" t="n"/>
      <c r="C41" s="1026" t="n"/>
      <c r="D41" s="1218" t="n">
        <v>0</v>
      </c>
      <c r="E41" s="1025" t="n"/>
      <c r="F41" s="1026" t="n"/>
      <c r="G41" s="1218" t="n">
        <v>0</v>
      </c>
      <c r="H41" s="1025" t="n"/>
      <c r="I41" s="1026" t="n"/>
      <c r="J41" s="1219" t="n">
        <v>0</v>
      </c>
      <c r="K41" s="1025" t="n"/>
      <c r="L41" s="1026" t="n"/>
      <c r="M41" s="1220" t="n">
        <v>0</v>
      </c>
      <c r="N41" s="1025" t="n"/>
      <c r="O41" s="1026" t="n"/>
      <c r="P41" s="1221">
        <f>+M41*J41</f>
        <v/>
      </c>
      <c r="Q41" s="934" t="n"/>
      <c r="R41" s="1157" t="n"/>
      <c r="S41" s="25" t="n"/>
      <c r="T41" s="1222">
        <f>+A41</f>
        <v/>
      </c>
      <c r="U41" s="934" t="n"/>
      <c r="V41" s="935" t="n"/>
      <c r="W41" s="1223">
        <f>+D41</f>
        <v/>
      </c>
      <c r="X41" s="934" t="n"/>
      <c r="Y41" s="935" t="n"/>
      <c r="Z41" s="1218" t="n">
        <v>0</v>
      </c>
      <c r="AA41" s="1025" t="n"/>
      <c r="AB41" s="1026" t="n"/>
      <c r="AC41" s="1219" t="n">
        <v>0</v>
      </c>
      <c r="AD41" s="1025" t="n"/>
      <c r="AE41" s="1026" t="n"/>
      <c r="AF41" s="1220" t="n">
        <v>0</v>
      </c>
      <c r="AG41" s="1025" t="n"/>
      <c r="AH41" s="1026" t="n"/>
      <c r="AI41" s="1221">
        <f>+AF41*AC41</f>
        <v/>
      </c>
      <c r="AJ41" s="934" t="n"/>
      <c r="AK41" s="1157" t="n"/>
      <c r="AN41" s="784" t="n"/>
      <c r="AO41" s="187" t="n"/>
      <c r="AP41" s="187" t="n"/>
      <c r="AQ41" s="209" t="n"/>
      <c r="AR41" s="209" t="n"/>
      <c r="AS41" s="209" t="n"/>
    </row>
    <row r="42" ht="13.8" customHeight="1" thickBot="1">
      <c r="A42" s="179" t="n"/>
      <c r="B42" s="785" t="inlineStr">
        <is>
          <t>Total A</t>
        </is>
      </c>
      <c r="C42" s="1075" t="n"/>
      <c r="D42" s="1075" t="n"/>
      <c r="E42" s="1075" t="n"/>
      <c r="F42" s="1075" t="n"/>
      <c r="G42" s="1075" t="n"/>
      <c r="H42" s="1075" t="n"/>
      <c r="I42" s="1075" t="n"/>
      <c r="J42" s="1075" t="n"/>
      <c r="K42" s="1075" t="n"/>
      <c r="L42" s="1075" t="n"/>
      <c r="M42" s="1075" t="n"/>
      <c r="N42" s="1075" t="n"/>
      <c r="O42" s="1075" t="n"/>
      <c r="P42" s="1224">
        <f>SUM(P11:R41)</f>
        <v/>
      </c>
      <c r="Q42" s="1075" t="n"/>
      <c r="R42" s="1078" t="n"/>
      <c r="T42" s="179" t="n"/>
      <c r="U42" s="785" t="inlineStr">
        <is>
          <t>Total A</t>
        </is>
      </c>
      <c r="V42" s="1075" t="n"/>
      <c r="W42" s="1075" t="n"/>
      <c r="X42" s="1075" t="n"/>
      <c r="Y42" s="1075" t="n"/>
      <c r="Z42" s="1075" t="n"/>
      <c r="AA42" s="1075" t="n"/>
      <c r="AB42" s="1075" t="n"/>
      <c r="AC42" s="1075" t="n"/>
      <c r="AD42" s="1075" t="n"/>
      <c r="AE42" s="1075" t="n"/>
      <c r="AF42" s="1075" t="n"/>
      <c r="AG42" s="1075" t="n"/>
      <c r="AH42" s="1075" t="n"/>
      <c r="AI42" s="1224">
        <f>SUM(AI11:AK41)</f>
        <v/>
      </c>
      <c r="AJ42" s="1075" t="n"/>
      <c r="AK42" s="1078" t="n"/>
      <c r="AN42" s="790" t="n"/>
      <c r="AO42" s="187" t="n"/>
      <c r="AP42" s="187" t="n"/>
      <c r="AQ42" s="209" t="n"/>
      <c r="AR42" s="209" t="n"/>
      <c r="AS42" s="209" t="n"/>
    </row>
    <row r="43" ht="13.8" customHeight="1" thickBot="1">
      <c r="A43" s="24" t="n"/>
      <c r="B43" s="512" t="n"/>
      <c r="C43" s="512" t="n"/>
      <c r="D43" s="512" t="n"/>
      <c r="E43" s="512" t="n"/>
      <c r="F43" s="512" t="n"/>
      <c r="G43" s="512" t="n"/>
      <c r="H43" s="512" t="n"/>
      <c r="I43" s="512" t="n"/>
      <c r="J43" s="512" t="n"/>
      <c r="K43" s="512" t="n"/>
      <c r="L43" s="512" t="n"/>
      <c r="M43" s="512" t="n"/>
      <c r="N43" s="512" t="n"/>
      <c r="O43" s="512" t="n"/>
      <c r="P43" s="1225" t="n"/>
      <c r="Q43" s="1225" t="n"/>
      <c r="R43" s="1225" t="n"/>
      <c r="T43" s="24" t="n"/>
      <c r="U43" s="512" t="n"/>
      <c r="V43" s="512" t="n"/>
      <c r="W43" s="512" t="n"/>
      <c r="X43" s="512" t="n"/>
      <c r="Y43" s="512" t="n"/>
      <c r="Z43" s="512" t="n"/>
      <c r="AA43" s="512" t="n"/>
      <c r="AB43" s="512" t="n"/>
      <c r="AC43" s="512" t="n"/>
      <c r="AD43" s="512" t="n"/>
      <c r="AE43" s="512" t="n"/>
      <c r="AF43" s="512" t="n"/>
      <c r="AG43" s="512" t="n"/>
      <c r="AH43" s="512" t="n"/>
      <c r="AI43" s="1225" t="n"/>
      <c r="AJ43" s="1225" t="n"/>
      <c r="AK43" s="1225" t="n"/>
      <c r="AN43" s="790" t="n"/>
      <c r="AO43" s="790" t="n"/>
      <c r="AP43" s="790" t="n"/>
      <c r="AQ43" s="209" t="n"/>
      <c r="AR43" s="209" t="n"/>
      <c r="AS43" s="209" t="n"/>
    </row>
    <row r="44">
      <c r="A44" s="1152" t="inlineStr">
        <is>
          <t>Tank</t>
        </is>
      </c>
      <c r="B44" s="1043" t="n"/>
      <c r="C44" s="1098" t="n"/>
      <c r="D44" s="1153" t="inlineStr">
        <is>
          <t>Height</t>
        </is>
      </c>
      <c r="E44" s="1043" t="n"/>
      <c r="F44" s="1098" t="n"/>
      <c r="G44" s="1154" t="inlineStr">
        <is>
          <t>Sounding</t>
        </is>
      </c>
      <c r="H44" s="1043" t="n"/>
      <c r="I44" s="1098" t="n"/>
      <c r="J44" s="1153" t="inlineStr">
        <is>
          <t>Volume</t>
        </is>
      </c>
      <c r="K44" s="1043" t="n"/>
      <c r="L44" s="1098" t="n"/>
      <c r="M44" s="1153" t="inlineStr">
        <is>
          <t>Density</t>
        </is>
      </c>
      <c r="N44" s="1043" t="n"/>
      <c r="O44" s="1098" t="n"/>
      <c r="P44" s="1155" t="inlineStr">
        <is>
          <t>Total</t>
        </is>
      </c>
      <c r="Q44" s="1043" t="n"/>
      <c r="R44" s="1044" t="n"/>
      <c r="T44" s="1152" t="inlineStr">
        <is>
          <t>Tank</t>
        </is>
      </c>
      <c r="U44" s="1043" t="n"/>
      <c r="V44" s="1098" t="n"/>
      <c r="W44" s="1153" t="inlineStr">
        <is>
          <t>Height</t>
        </is>
      </c>
      <c r="X44" s="1043" t="n"/>
      <c r="Y44" s="1098" t="n"/>
      <c r="Z44" s="1154" t="inlineStr">
        <is>
          <t>Sounding</t>
        </is>
      </c>
      <c r="AA44" s="1043" t="n"/>
      <c r="AB44" s="1098" t="n"/>
      <c r="AC44" s="1153" t="inlineStr">
        <is>
          <t>Volume</t>
        </is>
      </c>
      <c r="AD44" s="1043" t="n"/>
      <c r="AE44" s="1098" t="n"/>
      <c r="AF44" s="1153" t="inlineStr">
        <is>
          <t>Density</t>
        </is>
      </c>
      <c r="AG44" s="1043" t="n"/>
      <c r="AH44" s="1098" t="n"/>
      <c r="AI44" s="1155" t="inlineStr">
        <is>
          <t>Total</t>
        </is>
      </c>
      <c r="AJ44" s="1043" t="n"/>
      <c r="AK44" s="1044" t="n"/>
      <c r="AN44" s="790" t="n"/>
      <c r="AO44" s="790" t="n"/>
      <c r="AP44" s="790" t="n"/>
      <c r="AQ44" s="209" t="n"/>
      <c r="AR44" s="209" t="n"/>
      <c r="AS44" s="209" t="n"/>
    </row>
    <row r="45" ht="13.2" customHeight="1" thickBot="1">
      <c r="A45" s="1156" t="n"/>
      <c r="B45" s="934" t="n"/>
      <c r="C45" s="935" t="n"/>
      <c r="D45" s="1000" t="n"/>
      <c r="E45" s="934" t="n"/>
      <c r="F45" s="935" t="n"/>
      <c r="G45" s="1000" t="n"/>
      <c r="H45" s="934" t="n"/>
      <c r="I45" s="935" t="n"/>
      <c r="J45" s="1000" t="n"/>
      <c r="K45" s="934" t="n"/>
      <c r="L45" s="935" t="n"/>
      <c r="M45" s="1000" t="n"/>
      <c r="N45" s="934" t="n"/>
      <c r="O45" s="935" t="n"/>
      <c r="P45" s="1000" t="n"/>
      <c r="Q45" s="934" t="n"/>
      <c r="R45" s="1157" t="n"/>
      <c r="T45" s="1156" t="n"/>
      <c r="U45" s="934" t="n"/>
      <c r="V45" s="935" t="n"/>
      <c r="W45" s="1000" t="n"/>
      <c r="X45" s="934" t="n"/>
      <c r="Y45" s="935" t="n"/>
      <c r="Z45" s="1000" t="n"/>
      <c r="AA45" s="934" t="n"/>
      <c r="AB45" s="935" t="n"/>
      <c r="AC45" s="1000" t="n"/>
      <c r="AD45" s="934" t="n"/>
      <c r="AE45" s="935" t="n"/>
      <c r="AF45" s="1000" t="n"/>
      <c r="AG45" s="934" t="n"/>
      <c r="AH45" s="935" t="n"/>
      <c r="AI45" s="1000" t="n"/>
      <c r="AJ45" s="934" t="n"/>
      <c r="AK45" s="1157" t="n"/>
      <c r="AN45" s="790" t="n"/>
      <c r="AO45" s="187" t="n"/>
      <c r="AP45" s="187" t="n"/>
      <c r="AQ45" s="209" t="n"/>
      <c r="AR45" s="209" t="n"/>
      <c r="AS45" s="209" t="n"/>
    </row>
    <row r="46" ht="13.2" customHeight="1">
      <c r="A46" s="1226" t="inlineStr">
        <is>
          <t>INITIAL FRESH WATER</t>
        </is>
      </c>
      <c r="B46" s="1050" t="n"/>
      <c r="C46" s="1050" t="n"/>
      <c r="D46" s="1050" t="n"/>
      <c r="E46" s="1050" t="n"/>
      <c r="F46" s="1050" t="n"/>
      <c r="G46" s="1050" t="n"/>
      <c r="H46" s="1050" t="n"/>
      <c r="I46" s="1050" t="n"/>
      <c r="J46" s="1050" t="n"/>
      <c r="K46" s="1050" t="n"/>
      <c r="L46" s="1050" t="n"/>
      <c r="M46" s="1050" t="n"/>
      <c r="N46" s="1050" t="n"/>
      <c r="O46" s="1050" t="n"/>
      <c r="P46" s="1050" t="n"/>
      <c r="Q46" s="1050" t="n"/>
      <c r="R46" s="1054" t="n"/>
      <c r="T46" s="1226" t="inlineStr">
        <is>
          <t>FINAL FRESH WATER</t>
        </is>
      </c>
      <c r="U46" s="1050" t="n"/>
      <c r="V46" s="1050" t="n"/>
      <c r="W46" s="1050" t="n"/>
      <c r="X46" s="1050" t="n"/>
      <c r="Y46" s="1050" t="n"/>
      <c r="Z46" s="1050" t="n"/>
      <c r="AA46" s="1050" t="n"/>
      <c r="AB46" s="1050" t="n"/>
      <c r="AC46" s="1050" t="n"/>
      <c r="AD46" s="1050" t="n"/>
      <c r="AE46" s="1050" t="n"/>
      <c r="AF46" s="1050" t="n"/>
      <c r="AG46" s="1050" t="n"/>
      <c r="AH46" s="1050" t="n"/>
      <c r="AI46" s="1050" t="n"/>
      <c r="AJ46" s="1050" t="n"/>
      <c r="AK46" s="1054" t="n"/>
      <c r="AN46" s="790" t="n"/>
      <c r="AO46" s="187" t="n"/>
      <c r="AP46" s="187" t="n"/>
      <c r="AQ46" s="209" t="n"/>
      <c r="AR46" s="209" t="n"/>
      <c r="AS46" s="209" t="n"/>
    </row>
    <row r="47">
      <c r="A47" s="1159" t="n"/>
      <c r="B47" s="1160" t="n"/>
      <c r="C47" s="1161" t="n"/>
      <c r="D47" s="1227" t="n"/>
      <c r="E47" s="1160" t="n"/>
      <c r="F47" s="1161" t="n"/>
      <c r="G47" s="1162" t="n"/>
      <c r="H47" s="1160" t="n"/>
      <c r="I47" s="1161" t="n"/>
      <c r="J47" s="1164" t="n"/>
      <c r="K47" s="1160" t="n"/>
      <c r="L47" s="1161" t="n"/>
      <c r="M47" s="1228" t="n"/>
      <c r="N47" s="1160" t="n"/>
      <c r="O47" s="1161" t="n"/>
      <c r="P47" s="1229">
        <f>+M47*J47</f>
        <v/>
      </c>
      <c r="Q47" s="1160" t="n"/>
      <c r="R47" s="1230" t="n"/>
      <c r="S47" s="25" t="n"/>
      <c r="T47" s="1159">
        <f>+A47</f>
        <v/>
      </c>
      <c r="U47" s="1160" t="n"/>
      <c r="V47" s="1161" t="n"/>
      <c r="W47" s="1231">
        <f>+D47</f>
        <v/>
      </c>
      <c r="X47" s="13" t="n"/>
      <c r="Y47" s="184" t="n"/>
      <c r="Z47" s="1162" t="n"/>
      <c r="AA47" s="1160" t="n"/>
      <c r="AB47" s="1161" t="n"/>
      <c r="AC47" s="1164" t="n"/>
      <c r="AD47" s="1160" t="n"/>
      <c r="AE47" s="1161" t="n"/>
      <c r="AF47" s="1228" t="n"/>
      <c r="AG47" s="1160" t="n"/>
      <c r="AH47" s="1161" t="n"/>
      <c r="AI47" s="1162">
        <f>+AF47*AC47</f>
        <v/>
      </c>
      <c r="AJ47" s="1160" t="n"/>
      <c r="AK47" s="1161" t="n"/>
      <c r="AN47" s="790" t="n"/>
      <c r="AO47" s="187" t="n"/>
      <c r="AP47" s="187" t="n"/>
      <c r="AQ47" s="209" t="n"/>
      <c r="AR47" s="209" t="n"/>
      <c r="AS47" s="209" t="n"/>
    </row>
    <row r="48">
      <c r="A48" s="1169" t="n"/>
      <c r="B48" s="187" t="n"/>
      <c r="C48" s="1170" t="n"/>
      <c r="D48" s="1232" t="n"/>
      <c r="E48" s="187" t="n"/>
      <c r="F48" s="1170" t="n"/>
      <c r="G48" s="1171" t="n"/>
      <c r="H48" s="187" t="n"/>
      <c r="I48" s="1170" t="n"/>
      <c r="J48" s="1179" t="n"/>
      <c r="K48" s="187" t="n"/>
      <c r="L48" s="1170" t="n"/>
      <c r="M48" s="1233" t="n"/>
      <c r="N48" s="187" t="n"/>
      <c r="O48" s="1170" t="n"/>
      <c r="P48" s="1229">
        <f>+M48*J48</f>
        <v/>
      </c>
      <c r="Q48" s="1160" t="n"/>
      <c r="R48" s="1230" t="n"/>
      <c r="S48" s="25" t="n"/>
      <c r="T48" s="1169">
        <f>+A48</f>
        <v/>
      </c>
      <c r="U48" s="187" t="n"/>
      <c r="V48" s="1170" t="n"/>
      <c r="W48" s="1234">
        <f>+D48</f>
        <v/>
      </c>
      <c r="Y48" s="30" t="n"/>
      <c r="Z48" s="1171" t="n"/>
      <c r="AA48" s="187" t="n"/>
      <c r="AB48" s="1170" t="n"/>
      <c r="AC48" s="1179" t="n"/>
      <c r="AD48" s="187" t="n"/>
      <c r="AE48" s="1170" t="n"/>
      <c r="AF48" s="1233" t="n"/>
      <c r="AG48" s="187" t="n"/>
      <c r="AH48" s="1170" t="n"/>
      <c r="AI48" s="1162">
        <f>+AF48*AC48</f>
        <v/>
      </c>
      <c r="AJ48" s="1160" t="n"/>
      <c r="AK48" s="1161" t="n"/>
      <c r="AN48" s="790" t="n"/>
      <c r="AO48" s="187" t="n"/>
      <c r="AP48" s="187" t="n"/>
      <c r="AQ48" s="209" t="n"/>
      <c r="AR48" s="209" t="n"/>
      <c r="AS48" s="209" t="n"/>
    </row>
    <row r="49">
      <c r="A49" s="1177" t="n"/>
      <c r="B49" s="187" t="n"/>
      <c r="C49" s="1170" t="n"/>
      <c r="D49" s="1232" t="n"/>
      <c r="E49" s="187" t="n"/>
      <c r="F49" s="1170" t="n"/>
      <c r="G49" s="1178" t="n"/>
      <c r="H49" s="187" t="n"/>
      <c r="I49" s="1170" t="n"/>
      <c r="J49" s="1179" t="n"/>
      <c r="K49" s="187" t="n"/>
      <c r="L49" s="1170" t="n"/>
      <c r="M49" s="1235" t="n"/>
      <c r="N49" s="187" t="n"/>
      <c r="O49" s="1170" t="n"/>
      <c r="P49" s="1229">
        <f>+M49*J49</f>
        <v/>
      </c>
      <c r="Q49" s="1160" t="n"/>
      <c r="R49" s="1230" t="n"/>
      <c r="S49" s="25" t="n"/>
      <c r="T49" s="1177">
        <f>+A49</f>
        <v/>
      </c>
      <c r="U49" s="187" t="n"/>
      <c r="V49" s="1170" t="n"/>
      <c r="W49" s="1234">
        <f>+D49</f>
        <v/>
      </c>
      <c r="Y49" s="30" t="n"/>
      <c r="Z49" s="1171" t="n"/>
      <c r="AA49" s="187" t="n"/>
      <c r="AB49" s="1170" t="n"/>
      <c r="AC49" s="1179" t="n"/>
      <c r="AD49" s="187" t="n"/>
      <c r="AE49" s="1170" t="n"/>
      <c r="AF49" s="1235" t="n"/>
      <c r="AG49" s="187" t="n"/>
      <c r="AH49" s="1170" t="n"/>
      <c r="AI49" s="1162">
        <f>+AF49*AC49</f>
        <v/>
      </c>
      <c r="AJ49" s="1160" t="n"/>
      <c r="AK49" s="1161" t="n"/>
      <c r="AN49" s="790" t="n"/>
      <c r="AO49" s="187" t="n"/>
      <c r="AP49" s="187" t="n"/>
      <c r="AQ49" s="209" t="n"/>
      <c r="AR49" s="209" t="n"/>
      <c r="AS49" s="209" t="n"/>
    </row>
    <row r="50">
      <c r="A50" s="1169" t="n"/>
      <c r="B50" s="187" t="n"/>
      <c r="C50" s="1170" t="n"/>
      <c r="D50" s="1171" t="n"/>
      <c r="E50" s="187" t="n"/>
      <c r="F50" s="1170" t="n"/>
      <c r="G50" s="1171" t="n"/>
      <c r="H50" s="187" t="n"/>
      <c r="I50" s="1170" t="n"/>
      <c r="J50" s="1203" t="n"/>
      <c r="K50" s="187" t="n"/>
      <c r="L50" s="1170" t="n"/>
      <c r="M50" s="1233" t="n"/>
      <c r="N50" s="187" t="n"/>
      <c r="O50" s="1170" t="n"/>
      <c r="P50" s="1236">
        <f>+J50</f>
        <v/>
      </c>
      <c r="Q50" s="187" t="n"/>
      <c r="R50" s="1237" t="n"/>
      <c r="S50" s="25" t="n"/>
      <c r="T50" s="1169">
        <f>+A50</f>
        <v/>
      </c>
      <c r="U50" s="187" t="n"/>
      <c r="V50" s="1170" t="n"/>
      <c r="W50" s="1205">
        <f>+D50</f>
        <v/>
      </c>
      <c r="Y50" s="30" t="n"/>
      <c r="Z50" s="1171" t="n">
        <v>0</v>
      </c>
      <c r="AA50" s="187" t="n"/>
      <c r="AB50" s="1170" t="n"/>
      <c r="AC50" s="1203" t="n">
        <v>0</v>
      </c>
      <c r="AD50" s="187" t="n"/>
      <c r="AE50" s="1170" t="n"/>
      <c r="AF50" s="1233" t="n">
        <v>0</v>
      </c>
      <c r="AG50" s="187" t="n"/>
      <c r="AH50" s="1170" t="n"/>
      <c r="AI50" s="1236">
        <f>+AC50</f>
        <v/>
      </c>
      <c r="AJ50" s="187" t="n"/>
      <c r="AK50" s="1237" t="n"/>
      <c r="AN50" s="790" t="n"/>
      <c r="AO50" s="187" t="n"/>
      <c r="AP50" s="187" t="n"/>
      <c r="AQ50" s="209" t="n"/>
      <c r="AR50" s="209" t="n"/>
      <c r="AS50" s="209" t="n"/>
    </row>
    <row r="51">
      <c r="A51" s="1177" t="n">
        <v>0</v>
      </c>
      <c r="B51" s="187" t="n"/>
      <c r="C51" s="1170" t="n"/>
      <c r="D51" s="1178" t="n"/>
      <c r="E51" s="187" t="n"/>
      <c r="F51" s="1170" t="n"/>
      <c r="G51" s="1178" t="n">
        <v>0</v>
      </c>
      <c r="H51" s="187" t="n"/>
      <c r="I51" s="1170" t="n"/>
      <c r="J51" s="1199" t="n">
        <v>0</v>
      </c>
      <c r="K51" s="187" t="n"/>
      <c r="L51" s="1170" t="n"/>
      <c r="M51" s="1235" t="n">
        <v>0</v>
      </c>
      <c r="N51" s="187" t="n"/>
      <c r="O51" s="1170" t="n"/>
      <c r="P51" s="1238">
        <f>+J51</f>
        <v/>
      </c>
      <c r="Q51" s="187" t="n"/>
      <c r="R51" s="1237" t="n"/>
      <c r="S51" s="25" t="n"/>
      <c r="T51" s="1177">
        <f>+A51</f>
        <v/>
      </c>
      <c r="U51" s="187" t="n"/>
      <c r="V51" s="1170" t="n"/>
      <c r="W51" s="1198">
        <f>+D51</f>
        <v/>
      </c>
      <c r="Y51" s="30" t="n"/>
      <c r="Z51" s="1178" t="n">
        <v>0</v>
      </c>
      <c r="AA51" s="187" t="n"/>
      <c r="AB51" s="1170" t="n"/>
      <c r="AC51" s="1199" t="n">
        <v>0</v>
      </c>
      <c r="AD51" s="187" t="n"/>
      <c r="AE51" s="1170" t="n"/>
      <c r="AF51" s="1235" t="n">
        <v>0</v>
      </c>
      <c r="AG51" s="187" t="n"/>
      <c r="AH51" s="1170" t="n"/>
      <c r="AI51" s="1238">
        <f>+AC51</f>
        <v/>
      </c>
      <c r="AJ51" s="187" t="n"/>
      <c r="AK51" s="1237" t="n"/>
      <c r="AN51" s="790" t="n"/>
      <c r="AO51" s="187" t="n"/>
      <c r="AP51" s="187" t="n"/>
      <c r="AQ51" s="209" t="n"/>
      <c r="AR51" s="209" t="n"/>
      <c r="AS51" s="209" t="n"/>
    </row>
    <row r="52">
      <c r="A52" s="1169" t="n">
        <v>0</v>
      </c>
      <c r="B52" s="187" t="n"/>
      <c r="C52" s="1170" t="n"/>
      <c r="D52" s="1171" t="n"/>
      <c r="E52" s="187" t="n"/>
      <c r="F52" s="1170" t="n"/>
      <c r="G52" s="1171" t="n"/>
      <c r="H52" s="187" t="n"/>
      <c r="I52" s="1170" t="n"/>
      <c r="J52" s="1203" t="n"/>
      <c r="K52" s="187" t="n"/>
      <c r="L52" s="1170" t="n"/>
      <c r="M52" s="1233" t="n"/>
      <c r="N52" s="187" t="n"/>
      <c r="O52" s="1170" t="n"/>
      <c r="P52" s="1236">
        <f>+J52</f>
        <v/>
      </c>
      <c r="Q52" s="187" t="n"/>
      <c r="R52" s="1237" t="n"/>
      <c r="S52" s="25" t="n"/>
      <c r="T52" s="1169">
        <f>+A52</f>
        <v/>
      </c>
      <c r="U52" s="187" t="n"/>
      <c r="V52" s="1170" t="n"/>
      <c r="W52" s="1205">
        <f>+D52</f>
        <v/>
      </c>
      <c r="Y52" s="30" t="n"/>
      <c r="Z52" s="1171" t="n"/>
      <c r="AA52" s="187" t="n"/>
      <c r="AB52" s="1170" t="n"/>
      <c r="AC52" s="1203" t="n"/>
      <c r="AD52" s="187" t="n"/>
      <c r="AE52" s="1170" t="n"/>
      <c r="AF52" s="1233" t="n"/>
      <c r="AG52" s="187" t="n"/>
      <c r="AH52" s="1170" t="n"/>
      <c r="AI52" s="1236">
        <f>+AC52</f>
        <v/>
      </c>
      <c r="AJ52" s="187" t="n"/>
      <c r="AK52" s="1237" t="n"/>
      <c r="AN52" s="790" t="n"/>
      <c r="AO52" s="187" t="n"/>
      <c r="AP52" s="187" t="n"/>
      <c r="AQ52" s="209" t="n"/>
      <c r="AR52" s="209" t="n"/>
      <c r="AS52" s="209" t="n"/>
    </row>
    <row r="53">
      <c r="A53" s="1217" t="n"/>
      <c r="B53" s="1025" t="n"/>
      <c r="C53" s="1026" t="n"/>
      <c r="D53" s="1218" t="n"/>
      <c r="E53" s="1025" t="n"/>
      <c r="F53" s="1026" t="n"/>
      <c r="G53" s="1218" t="n"/>
      <c r="H53" s="1025" t="n"/>
      <c r="I53" s="1026" t="n"/>
      <c r="J53" s="1219" t="n"/>
      <c r="K53" s="1025" t="n"/>
      <c r="L53" s="1026" t="n"/>
      <c r="M53" s="1239" t="n"/>
      <c r="N53" s="1025" t="n"/>
      <c r="O53" s="1026" t="n"/>
      <c r="P53" s="1240">
        <f>+J53</f>
        <v/>
      </c>
      <c r="Q53" s="1025" t="n"/>
      <c r="R53" s="1241" t="n"/>
      <c r="S53" s="25" t="n"/>
      <c r="T53" s="1217">
        <f>+A53</f>
        <v/>
      </c>
      <c r="U53" s="1025" t="n"/>
      <c r="V53" s="1026" t="n"/>
      <c r="W53" s="1223">
        <f>+D53</f>
        <v/>
      </c>
      <c r="X53" s="934" t="n"/>
      <c r="Y53" s="935" t="n"/>
      <c r="Z53" s="1218" t="n"/>
      <c r="AA53" s="1025" t="n"/>
      <c r="AB53" s="1026" t="n"/>
      <c r="AC53" s="1219" t="n"/>
      <c r="AD53" s="1025" t="n"/>
      <c r="AE53" s="1026" t="n"/>
      <c r="AF53" s="1239" t="n"/>
      <c r="AG53" s="1025" t="n"/>
      <c r="AH53" s="1026" t="n"/>
      <c r="AI53" s="1240">
        <f>+AC53</f>
        <v/>
      </c>
      <c r="AJ53" s="1025" t="n"/>
      <c r="AK53" s="1241" t="n"/>
      <c r="AN53" s="790" t="n"/>
      <c r="AO53" s="187" t="n"/>
      <c r="AP53" s="187" t="n"/>
      <c r="AQ53" s="209" t="n"/>
      <c r="AR53" s="209" t="n"/>
      <c r="AS53" s="209" t="n"/>
    </row>
    <row r="54" ht="13.8" customHeight="1" thickBot="1">
      <c r="A54" s="179" t="n"/>
      <c r="B54" s="785" t="inlineStr">
        <is>
          <t>Total B</t>
        </is>
      </c>
      <c r="C54" s="1075" t="n"/>
      <c r="D54" s="1075" t="n"/>
      <c r="E54" s="1075" t="n"/>
      <c r="F54" s="1075" t="n"/>
      <c r="G54" s="1075" t="n"/>
      <c r="H54" s="1075" t="n"/>
      <c r="I54" s="1075" t="n"/>
      <c r="J54" s="1075" t="n"/>
      <c r="K54" s="1075" t="n"/>
      <c r="L54" s="1075" t="n"/>
      <c r="M54" s="1075" t="n"/>
      <c r="N54" s="1075" t="n"/>
      <c r="O54" s="1075" t="n"/>
      <c r="P54" s="1242">
        <f>SUM(P47:R53)</f>
        <v/>
      </c>
      <c r="Q54" s="1075" t="n"/>
      <c r="R54" s="1078" t="n"/>
      <c r="T54" s="179" t="n"/>
      <c r="U54" s="785" t="inlineStr">
        <is>
          <t>Total B</t>
        </is>
      </c>
      <c r="V54" s="1075" t="n"/>
      <c r="W54" s="1075" t="n"/>
      <c r="X54" s="1075" t="n"/>
      <c r="Y54" s="1075" t="n"/>
      <c r="Z54" s="1075" t="n"/>
      <c r="AA54" s="1075" t="n"/>
      <c r="AB54" s="1075" t="n"/>
      <c r="AC54" s="1075" t="n"/>
      <c r="AD54" s="1075" t="n"/>
      <c r="AE54" s="1075" t="n"/>
      <c r="AF54" s="1075" t="n"/>
      <c r="AG54" s="1075" t="n"/>
      <c r="AH54" s="1075" t="n"/>
      <c r="AI54" s="1242">
        <f>SUM(AI47:AK53)</f>
        <v/>
      </c>
      <c r="AJ54" s="1075" t="n"/>
      <c r="AK54" s="1078" t="n"/>
      <c r="AN54" s="790" t="n"/>
      <c r="AO54" s="187" t="n"/>
      <c r="AP54" s="187" t="n"/>
      <c r="AQ54" s="209" t="n"/>
      <c r="AR54" s="209" t="n"/>
      <c r="AS54" s="209" t="n"/>
    </row>
    <row r="55">
      <c r="AN55" s="790" t="n"/>
      <c r="AO55" s="187" t="n"/>
      <c r="AP55" s="187" t="n"/>
      <c r="AQ55" s="209" t="n"/>
      <c r="AR55" s="209" t="n"/>
      <c r="AS55" s="209" t="n"/>
    </row>
    <row r="56">
      <c r="AN56" s="790" t="n"/>
      <c r="AO56" s="187" t="n"/>
      <c r="AP56" s="187" t="n"/>
      <c r="AQ56" s="209" t="n"/>
      <c r="AR56" s="209" t="n"/>
      <c r="AS56" s="209" t="n"/>
    </row>
    <row r="57">
      <c r="AN57" s="790" t="n"/>
      <c r="AO57" s="187" t="n"/>
      <c r="AP57" s="187" t="n"/>
      <c r="AQ57" s="209" t="n"/>
      <c r="AR57" s="209" t="n"/>
      <c r="AS57" s="209" t="n"/>
    </row>
    <row r="58">
      <c r="AN58" s="790" t="n"/>
      <c r="AO58" s="187" t="n"/>
      <c r="AP58" s="187" t="n"/>
      <c r="AQ58" s="209" t="n"/>
      <c r="AR58" s="209" t="n"/>
      <c r="AS58" s="209" t="n"/>
    </row>
    <row r="59">
      <c r="AN59" s="790" t="n"/>
      <c r="AO59" s="187" t="n"/>
      <c r="AP59" s="187" t="n"/>
      <c r="AQ59" s="209" t="n"/>
      <c r="AR59" s="209" t="n"/>
      <c r="AS59" s="209" t="n"/>
    </row>
    <row r="60">
      <c r="AN60" s="790" t="n"/>
      <c r="AO60" s="187" t="n"/>
      <c r="AP60" s="187" t="n"/>
      <c r="AQ60" s="209" t="n"/>
      <c r="AR60" s="209" t="n"/>
      <c r="AS60" s="209" t="n"/>
    </row>
    <row r="61">
      <c r="AN61" s="790" t="n"/>
      <c r="AO61" s="187" t="n"/>
      <c r="AP61" s="187" t="n"/>
      <c r="AQ61" s="209" t="n"/>
      <c r="AR61" s="209" t="n"/>
      <c r="AS61" s="209" t="n"/>
    </row>
    <row r="62">
      <c r="AN62" s="790" t="n"/>
      <c r="AO62" s="187" t="n"/>
      <c r="AP62" s="187" t="n"/>
      <c r="AQ62" s="209" t="n"/>
      <c r="AR62" s="209" t="n"/>
      <c r="AS62" s="209" t="n"/>
    </row>
    <row r="63">
      <c r="AN63" s="790" t="n"/>
      <c r="AO63" s="187" t="n"/>
      <c r="AP63" s="187" t="n"/>
      <c r="AQ63" s="209" t="n"/>
      <c r="AR63" s="209" t="n"/>
      <c r="AS63" s="209" t="n"/>
    </row>
    <row r="64">
      <c r="AN64" s="790" t="n"/>
      <c r="AO64" s="187" t="n"/>
      <c r="AP64" s="187" t="n"/>
      <c r="AQ64" s="209" t="n"/>
      <c r="AR64" s="209" t="n"/>
      <c r="AS64" s="209" t="n"/>
    </row>
    <row r="65">
      <c r="AN65" s="790" t="n"/>
      <c r="AO65" s="187" t="n"/>
      <c r="AP65" s="187" t="n"/>
      <c r="AQ65" s="209" t="n"/>
      <c r="AR65" s="209" t="n"/>
      <c r="AS65" s="209" t="n"/>
    </row>
    <row r="66">
      <c r="AN66" s="790" t="n"/>
      <c r="AO66" s="187" t="n"/>
      <c r="AP66" s="187" t="n"/>
      <c r="AQ66" s="209" t="n"/>
      <c r="AR66" s="209" t="n"/>
      <c r="AS66" s="209" t="n"/>
    </row>
    <row r="67">
      <c r="AN67" s="790" t="n"/>
      <c r="AO67" s="187" t="n"/>
      <c r="AP67" s="187" t="n"/>
      <c r="AQ67" s="209" t="n"/>
      <c r="AR67" s="209" t="n"/>
      <c r="AS67" s="209" t="n"/>
    </row>
    <row r="68">
      <c r="AN68" s="790" t="n"/>
      <c r="AO68" s="187" t="n"/>
      <c r="AP68" s="187" t="n"/>
      <c r="AQ68" s="209" t="n"/>
      <c r="AR68" s="209" t="n"/>
      <c r="AS68" s="209" t="n"/>
    </row>
    <row r="69">
      <c r="AN69" s="790" t="n"/>
      <c r="AO69" s="187" t="n"/>
      <c r="AP69" s="187" t="n"/>
      <c r="AQ69" s="209" t="n"/>
      <c r="AR69" s="209" t="n"/>
      <c r="AS69" s="209" t="n"/>
    </row>
    <row r="70">
      <c r="AN70" s="790" t="n"/>
      <c r="AO70" s="187" t="n"/>
      <c r="AP70" s="187" t="n"/>
      <c r="AQ70" s="209" t="n"/>
      <c r="AR70" s="209" t="n"/>
      <c r="AS70" s="209" t="n"/>
    </row>
  </sheetData>
  <mergeCells count="538">
    <mergeCell ref="D2:F2"/>
    <mergeCell ref="W47:Y47"/>
    <mergeCell ref="AN60:AP60"/>
    <mergeCell ref="A21:C21"/>
    <mergeCell ref="P17:R17"/>
    <mergeCell ref="D53:F53"/>
    <mergeCell ref="D47:F47"/>
    <mergeCell ref="J11:L11"/>
    <mergeCell ref="AF30:AH30"/>
    <mergeCell ref="A23:C23"/>
    <mergeCell ref="P19:R19"/>
    <mergeCell ref="P44:R45"/>
    <mergeCell ref="P37:R37"/>
    <mergeCell ref="G8:I9"/>
    <mergeCell ref="J50:L50"/>
    <mergeCell ref="P12:R12"/>
    <mergeCell ref="W2:Y2"/>
    <mergeCell ref="A52:C52"/>
    <mergeCell ref="T34:V34"/>
    <mergeCell ref="G16:I16"/>
    <mergeCell ref="T28:V28"/>
    <mergeCell ref="J52:L52"/>
    <mergeCell ref="AI42:AK42"/>
    <mergeCell ref="P14:R14"/>
    <mergeCell ref="J39:L39"/>
    <mergeCell ref="AI17:AK17"/>
    <mergeCell ref="W53:Y53"/>
    <mergeCell ref="A34:C34"/>
    <mergeCell ref="T30:V30"/>
    <mergeCell ref="A49:C49"/>
    <mergeCell ref="G36:I36"/>
    <mergeCell ref="T29:V29"/>
    <mergeCell ref="AI19:AK19"/>
    <mergeCell ref="D8:F9"/>
    <mergeCell ref="D41:F41"/>
    <mergeCell ref="AC39:AE39"/>
    <mergeCell ref="M31:O31"/>
    <mergeCell ref="Z51:AB51"/>
    <mergeCell ref="W21:Y21"/>
    <mergeCell ref="AI37:AK37"/>
    <mergeCell ref="M26:O26"/>
    <mergeCell ref="AI47:AK47"/>
    <mergeCell ref="W48:Y48"/>
    <mergeCell ref="B42:O42"/>
    <mergeCell ref="G51:I51"/>
    <mergeCell ref="A29:C29"/>
    <mergeCell ref="A31:C31"/>
    <mergeCell ref="A24:C24"/>
    <mergeCell ref="P20:R20"/>
    <mergeCell ref="AN68:AP68"/>
    <mergeCell ref="T49:V49"/>
    <mergeCell ref="Z11:AB11"/>
    <mergeCell ref="J14:L14"/>
    <mergeCell ref="AR11:AS11"/>
    <mergeCell ref="P22:R22"/>
    <mergeCell ref="G17:I17"/>
    <mergeCell ref="M8:O9"/>
    <mergeCell ref="D21:F21"/>
    <mergeCell ref="J53:L53"/>
    <mergeCell ref="T50:V50"/>
    <mergeCell ref="G19:I19"/>
    <mergeCell ref="AI27:AK27"/>
    <mergeCell ref="A50:C50"/>
    <mergeCell ref="AI20:AK20"/>
    <mergeCell ref="D16:F16"/>
    <mergeCell ref="AF21:AH21"/>
    <mergeCell ref="AC25:AE25"/>
    <mergeCell ref="AF32:AH32"/>
    <mergeCell ref="AI22:AK22"/>
    <mergeCell ref="D18:F18"/>
    <mergeCell ref="AF26:AH26"/>
    <mergeCell ref="AF23:AH23"/>
    <mergeCell ref="D51:F51"/>
    <mergeCell ref="P33:R33"/>
    <mergeCell ref="M32:O32"/>
    <mergeCell ref="W29:Y29"/>
    <mergeCell ref="W23:Y23"/>
    <mergeCell ref="AF27:AH27"/>
    <mergeCell ref="G12:I12"/>
    <mergeCell ref="P35:R35"/>
    <mergeCell ref="AI38:AK38"/>
    <mergeCell ref="AN49:AP49"/>
    <mergeCell ref="AC13:AE13"/>
    <mergeCell ref="AI40:AK40"/>
    <mergeCell ref="W51:Y51"/>
    <mergeCell ref="AC15:AE15"/>
    <mergeCell ref="AF16:AH16"/>
    <mergeCell ref="Z44:AB45"/>
    <mergeCell ref="Z37:AB37"/>
    <mergeCell ref="AI41:AK41"/>
    <mergeCell ref="Z12:AB12"/>
    <mergeCell ref="AI35:AK35"/>
    <mergeCell ref="M16:O16"/>
    <mergeCell ref="K2:M2"/>
    <mergeCell ref="M27:O27"/>
    <mergeCell ref="AF11:AH11"/>
    <mergeCell ref="Z14:AB14"/>
    <mergeCell ref="M18:O18"/>
    <mergeCell ref="AG2:AH2"/>
    <mergeCell ref="Z13:AB13"/>
    <mergeCell ref="W17:Y17"/>
    <mergeCell ref="AF40:AH40"/>
    <mergeCell ref="J21:L21"/>
    <mergeCell ref="W11:Y11"/>
    <mergeCell ref="G25:I25"/>
    <mergeCell ref="D24:F24"/>
    <mergeCell ref="AC8:AE9"/>
    <mergeCell ref="M47:O47"/>
    <mergeCell ref="Z15:AB15"/>
    <mergeCell ref="W19:Y19"/>
    <mergeCell ref="J23:L23"/>
    <mergeCell ref="D26:F26"/>
    <mergeCell ref="P8:R9"/>
    <mergeCell ref="T38:V38"/>
    <mergeCell ref="AF37:AH37"/>
    <mergeCell ref="D19:F19"/>
    <mergeCell ref="P41:R41"/>
    <mergeCell ref="AC28:AE28"/>
    <mergeCell ref="P34:R34"/>
    <mergeCell ref="Z25:AB25"/>
    <mergeCell ref="AC30:AE30"/>
    <mergeCell ref="G38:I38"/>
    <mergeCell ref="AR18:AS18"/>
    <mergeCell ref="P49:R49"/>
    <mergeCell ref="G13:I13"/>
    <mergeCell ref="P36:R36"/>
    <mergeCell ref="M40:O40"/>
    <mergeCell ref="W32:Y32"/>
    <mergeCell ref="AC23:AE23"/>
    <mergeCell ref="M44:O45"/>
    <mergeCell ref="M12:O12"/>
    <mergeCell ref="A26:C26"/>
    <mergeCell ref="G15:I15"/>
    <mergeCell ref="T2:V2"/>
    <mergeCell ref="AI54:AK54"/>
    <mergeCell ref="D44:F45"/>
    <mergeCell ref="D37:F37"/>
    <mergeCell ref="AN42:AP42"/>
    <mergeCell ref="M41:O41"/>
    <mergeCell ref="D12:F12"/>
    <mergeCell ref="AN52:AP52"/>
    <mergeCell ref="T31:V31"/>
    <mergeCell ref="AF17:AH17"/>
    <mergeCell ref="Z20:AB20"/>
    <mergeCell ref="M24:O24"/>
    <mergeCell ref="AF47:AH47"/>
    <mergeCell ref="D14:F14"/>
    <mergeCell ref="AF19:AH19"/>
    <mergeCell ref="P54:R54"/>
    <mergeCell ref="M53:O53"/>
    <mergeCell ref="AF44:AH45"/>
    <mergeCell ref="AC16:AE16"/>
    <mergeCell ref="AF48:AH48"/>
    <mergeCell ref="J29:L29"/>
    <mergeCell ref="AC18:AE18"/>
    <mergeCell ref="W20:Y20"/>
    <mergeCell ref="J24:L24"/>
    <mergeCell ref="D27:F27"/>
    <mergeCell ref="G28:I28"/>
    <mergeCell ref="AI11:AK11"/>
    <mergeCell ref="AN63:AP63"/>
    <mergeCell ref="B54:O54"/>
    <mergeCell ref="AN50:AP50"/>
    <mergeCell ref="W22:Y22"/>
    <mergeCell ref="AN47:AP47"/>
    <mergeCell ref="J26:L26"/>
    <mergeCell ref="T26:V26"/>
    <mergeCell ref="G30:I30"/>
    <mergeCell ref="AC29:AE29"/>
    <mergeCell ref="Z33:AB33"/>
    <mergeCell ref="M37:O37"/>
    <mergeCell ref="A32:C32"/>
    <mergeCell ref="AI31:AK31"/>
    <mergeCell ref="AC31:AE31"/>
    <mergeCell ref="Z35:AB35"/>
    <mergeCell ref="AR19:AS19"/>
    <mergeCell ref="M14:O14"/>
    <mergeCell ref="Z34:AB34"/>
    <mergeCell ref="M38:O38"/>
    <mergeCell ref="W38:Y38"/>
    <mergeCell ref="Z28:AB28"/>
    <mergeCell ref="G41:I41"/>
    <mergeCell ref="Z36:AB36"/>
    <mergeCell ref="W40:Y40"/>
    <mergeCell ref="T39:V39"/>
    <mergeCell ref="Z30:AB30"/>
    <mergeCell ref="U54:AH54"/>
    <mergeCell ref="AN53:AP53"/>
    <mergeCell ref="W33:Y33"/>
    <mergeCell ref="T32:V32"/>
    <mergeCell ref="J37:L37"/>
    <mergeCell ref="D40:F40"/>
    <mergeCell ref="A8:C9"/>
    <mergeCell ref="AN45:AP45"/>
    <mergeCell ref="T47:V47"/>
    <mergeCell ref="AN55:AP55"/>
    <mergeCell ref="W35:Y35"/>
    <mergeCell ref="A16:C16"/>
    <mergeCell ref="A18:C18"/>
    <mergeCell ref="AI50:AK50"/>
    <mergeCell ref="G34:I34"/>
    <mergeCell ref="M25:O25"/>
    <mergeCell ref="T21:V21"/>
    <mergeCell ref="AC19:AE19"/>
    <mergeCell ref="AF51:AH51"/>
    <mergeCell ref="A47:C47"/>
    <mergeCell ref="M33:O33"/>
    <mergeCell ref="J32:L32"/>
    <mergeCell ref="T23:V23"/>
    <mergeCell ref="A22:C22"/>
    <mergeCell ref="AN58:AP58"/>
    <mergeCell ref="J47:L47"/>
    <mergeCell ref="AI44:AK45"/>
    <mergeCell ref="G29:I29"/>
    <mergeCell ref="D33:F33"/>
    <mergeCell ref="T16:V16"/>
    <mergeCell ref="AI12:AK12"/>
    <mergeCell ref="AF38:AH38"/>
    <mergeCell ref="T52:V52"/>
    <mergeCell ref="Z24:AB24"/>
    <mergeCell ref="T27:V27"/>
    <mergeCell ref="G31:I31"/>
    <mergeCell ref="AC52:AE52"/>
    <mergeCell ref="T46:AK46"/>
    <mergeCell ref="AN66:AP66"/>
    <mergeCell ref="D35:F35"/>
    <mergeCell ref="T18:V18"/>
    <mergeCell ref="AI14:AK14"/>
    <mergeCell ref="D34:F34"/>
    <mergeCell ref="AI13:AK13"/>
    <mergeCell ref="Z49:AB49"/>
    <mergeCell ref="AC32:AE32"/>
    <mergeCell ref="AF33:AH33"/>
    <mergeCell ref="P25:R25"/>
    <mergeCell ref="AC37:AE37"/>
    <mergeCell ref="AR20:AS20"/>
    <mergeCell ref="AI53:AK53"/>
    <mergeCell ref="D36:F36"/>
    <mergeCell ref="AC47:AE47"/>
    <mergeCell ref="M51:O51"/>
    <mergeCell ref="W8:Y9"/>
    <mergeCell ref="Z50:AB50"/>
    <mergeCell ref="W41:Y41"/>
    <mergeCell ref="G49:I49"/>
    <mergeCell ref="D48:F48"/>
    <mergeCell ref="Z52:AB52"/>
    <mergeCell ref="J20:L20"/>
    <mergeCell ref="Z39:AB39"/>
    <mergeCell ref="AN59:AP59"/>
    <mergeCell ref="T11:V11"/>
    <mergeCell ref="AN46:AP46"/>
    <mergeCell ref="AI25:AK25"/>
    <mergeCell ref="AC50:AE50"/>
    <mergeCell ref="J22:L22"/>
    <mergeCell ref="A17:C17"/>
    <mergeCell ref="P13:R13"/>
    <mergeCell ref="AN61:AP61"/>
    <mergeCell ref="A53:C53"/>
    <mergeCell ref="AN48:AP48"/>
    <mergeCell ref="J51:L51"/>
    <mergeCell ref="AI2:AK2"/>
    <mergeCell ref="A19:C19"/>
    <mergeCell ref="P15:R15"/>
    <mergeCell ref="AC27:AE27"/>
    <mergeCell ref="AA2:AC2"/>
    <mergeCell ref="M34:O34"/>
    <mergeCell ref="A48:C48"/>
    <mergeCell ref="W25:Y25"/>
    <mergeCell ref="T24:V24"/>
    <mergeCell ref="M49:O49"/>
    <mergeCell ref="Z32:AB32"/>
    <mergeCell ref="G39:I39"/>
    <mergeCell ref="T53:V53"/>
    <mergeCell ref="AF8:AH9"/>
    <mergeCell ref="D49:F49"/>
    <mergeCell ref="AC53:AE53"/>
    <mergeCell ref="AI15:AK15"/>
    <mergeCell ref="D11:F11"/>
    <mergeCell ref="A44:C45"/>
    <mergeCell ref="A37:C37"/>
    <mergeCell ref="AN51:AP51"/>
    <mergeCell ref="J35:L35"/>
    <mergeCell ref="H2:J2"/>
    <mergeCell ref="AC38:AE38"/>
    <mergeCell ref="W16:Y16"/>
    <mergeCell ref="AF20:AH20"/>
    <mergeCell ref="AF14:AH14"/>
    <mergeCell ref="P28:R28"/>
    <mergeCell ref="AC40:AE40"/>
    <mergeCell ref="W18:Y18"/>
    <mergeCell ref="D39:F39"/>
    <mergeCell ref="AN67:AP67"/>
    <mergeCell ref="P30:R30"/>
    <mergeCell ref="G50:I50"/>
    <mergeCell ref="T44:V45"/>
    <mergeCell ref="T37:V37"/>
    <mergeCell ref="AI33:AK33"/>
    <mergeCell ref="AC41:AE41"/>
    <mergeCell ref="AN69:AP69"/>
    <mergeCell ref="J48:L48"/>
    <mergeCell ref="T48:V48"/>
    <mergeCell ref="A1:AK1"/>
    <mergeCell ref="G52:I52"/>
    <mergeCell ref="AR12:AS12"/>
    <mergeCell ref="T20:V20"/>
    <mergeCell ref="T14:V14"/>
    <mergeCell ref="AI34:AK34"/>
    <mergeCell ref="AI28:AK28"/>
    <mergeCell ref="AN64:AP64"/>
    <mergeCell ref="M20:O20"/>
    <mergeCell ref="AI30:AK30"/>
    <mergeCell ref="M11:O11"/>
    <mergeCell ref="M22:O22"/>
    <mergeCell ref="D17:F17"/>
    <mergeCell ref="J8:L9"/>
    <mergeCell ref="W44:Y45"/>
    <mergeCell ref="M15:O15"/>
    <mergeCell ref="P16:R16"/>
    <mergeCell ref="T40:V40"/>
    <mergeCell ref="W12:Y12"/>
    <mergeCell ref="J41:L41"/>
    <mergeCell ref="J16:L16"/>
    <mergeCell ref="AD2:AF2"/>
    <mergeCell ref="Z48:AB48"/>
    <mergeCell ref="P18:R18"/>
    <mergeCell ref="AI21:AK21"/>
    <mergeCell ref="A38:C38"/>
    <mergeCell ref="AC21:AE21"/>
    <mergeCell ref="A13:C13"/>
    <mergeCell ref="AI23:AK23"/>
    <mergeCell ref="AF22:AH22"/>
    <mergeCell ref="A40:C40"/>
    <mergeCell ref="AC48:AE48"/>
    <mergeCell ref="A15:C15"/>
    <mergeCell ref="A51:C51"/>
    <mergeCell ref="P29:R29"/>
    <mergeCell ref="P31:R31"/>
    <mergeCell ref="M35:O35"/>
    <mergeCell ref="AI49:AK49"/>
    <mergeCell ref="G53:I53"/>
    <mergeCell ref="AI36:AK36"/>
    <mergeCell ref="M30:O30"/>
    <mergeCell ref="T51:V51"/>
    <mergeCell ref="AF12:AH12"/>
    <mergeCell ref="AF41:AH41"/>
    <mergeCell ref="AF35:AH35"/>
    <mergeCell ref="A28:C28"/>
    <mergeCell ref="AC11:AE11"/>
    <mergeCell ref="W14:Y14"/>
    <mergeCell ref="P42:R42"/>
    <mergeCell ref="J18:L18"/>
    <mergeCell ref="W13:Y13"/>
    <mergeCell ref="A30:C30"/>
    <mergeCell ref="AF36:AH36"/>
    <mergeCell ref="J17:L17"/>
    <mergeCell ref="G21:I21"/>
    <mergeCell ref="D20:F20"/>
    <mergeCell ref="T33:V33"/>
    <mergeCell ref="T8:V9"/>
    <mergeCell ref="W15:Y15"/>
    <mergeCell ref="J19:L19"/>
    <mergeCell ref="G23:I23"/>
    <mergeCell ref="D22:F22"/>
    <mergeCell ref="T35:V35"/>
    <mergeCell ref="AI24:AK24"/>
    <mergeCell ref="A41:C41"/>
    <mergeCell ref="D13:F13"/>
    <mergeCell ref="AC24:AE24"/>
    <mergeCell ref="AF25:AH25"/>
    <mergeCell ref="M13:O13"/>
    <mergeCell ref="A27:C27"/>
    <mergeCell ref="G18:I18"/>
    <mergeCell ref="AI26:AK26"/>
    <mergeCell ref="P39:R39"/>
    <mergeCell ref="Z21:AB21"/>
    <mergeCell ref="AC26:AE26"/>
    <mergeCell ref="P32:R32"/>
    <mergeCell ref="M36:O36"/>
    <mergeCell ref="Z29:AB29"/>
    <mergeCell ref="Z23:AB23"/>
    <mergeCell ref="J44:L45"/>
    <mergeCell ref="P47:R47"/>
    <mergeCell ref="AF31:AH31"/>
    <mergeCell ref="J12:L12"/>
    <mergeCell ref="D15:F15"/>
    <mergeCell ref="AI52:AK52"/>
    <mergeCell ref="W28:Y28"/>
    <mergeCell ref="AF13:AH13"/>
    <mergeCell ref="AC17:AE17"/>
    <mergeCell ref="AI39:AK39"/>
    <mergeCell ref="U42:AH42"/>
    <mergeCell ref="G11:I11"/>
    <mergeCell ref="A36:C36"/>
    <mergeCell ref="A11:C11"/>
    <mergeCell ref="P50:R50"/>
    <mergeCell ref="AC44:AE45"/>
    <mergeCell ref="AC12:AE12"/>
    <mergeCell ref="Z16:AB16"/>
    <mergeCell ref="P52:R52"/>
    <mergeCell ref="P27:R27"/>
    <mergeCell ref="P2:R2"/>
    <mergeCell ref="AC14:AE14"/>
    <mergeCell ref="J27:L27"/>
    <mergeCell ref="Z18:AB18"/>
    <mergeCell ref="Z17:AB17"/>
    <mergeCell ref="M21:O21"/>
    <mergeCell ref="J25:L25"/>
    <mergeCell ref="G24:I24"/>
    <mergeCell ref="AI32:AK32"/>
    <mergeCell ref="D28:F28"/>
    <mergeCell ref="T22:V22"/>
    <mergeCell ref="G26:I26"/>
    <mergeCell ref="D30:F30"/>
    <mergeCell ref="D29:F29"/>
    <mergeCell ref="D23:F23"/>
    <mergeCell ref="AF28:AH28"/>
    <mergeCell ref="Z31:AB31"/>
    <mergeCell ref="AF39:AH39"/>
    <mergeCell ref="P38:R38"/>
    <mergeCell ref="W34:Y34"/>
    <mergeCell ref="J38:L38"/>
    <mergeCell ref="M52:O52"/>
    <mergeCell ref="J13:L13"/>
    <mergeCell ref="P40:R40"/>
    <mergeCell ref="M39:O39"/>
    <mergeCell ref="W36:Y36"/>
    <mergeCell ref="Z26:AB26"/>
    <mergeCell ref="J40:L40"/>
    <mergeCell ref="W30:Y30"/>
    <mergeCell ref="J15:L15"/>
    <mergeCell ref="AN54:AP54"/>
    <mergeCell ref="G44:I45"/>
    <mergeCell ref="G37:I37"/>
    <mergeCell ref="AN41:AP41"/>
    <mergeCell ref="A46:R46"/>
    <mergeCell ref="W31:Y31"/>
    <mergeCell ref="A12:C12"/>
    <mergeCell ref="AN56:AP56"/>
    <mergeCell ref="AC20:AE20"/>
    <mergeCell ref="M28:O28"/>
    <mergeCell ref="G14:I14"/>
    <mergeCell ref="A14:C14"/>
    <mergeCell ref="N2:O2"/>
    <mergeCell ref="AC22:AE22"/>
    <mergeCell ref="AF50:AH50"/>
    <mergeCell ref="P53:R53"/>
    <mergeCell ref="T17:V17"/>
    <mergeCell ref="D25:F25"/>
    <mergeCell ref="M29:O29"/>
    <mergeCell ref="Z19:AB19"/>
    <mergeCell ref="AF52:AH52"/>
    <mergeCell ref="AC51:AE51"/>
    <mergeCell ref="J33:L33"/>
    <mergeCell ref="G32:I32"/>
    <mergeCell ref="M23:O23"/>
    <mergeCell ref="T19:V19"/>
    <mergeCell ref="A10:R10"/>
    <mergeCell ref="AF18:AH18"/>
    <mergeCell ref="AF34:AH34"/>
    <mergeCell ref="W49:Y49"/>
    <mergeCell ref="W24:Y24"/>
    <mergeCell ref="G27:I27"/>
    <mergeCell ref="J28:L28"/>
    <mergeCell ref="AF49:AH49"/>
    <mergeCell ref="D31:F31"/>
    <mergeCell ref="W26:Y26"/>
    <mergeCell ref="J30:L30"/>
    <mergeCell ref="AF29:AH29"/>
    <mergeCell ref="A25:C25"/>
    <mergeCell ref="P21:R21"/>
    <mergeCell ref="AC33:AE33"/>
    <mergeCell ref="AI8:AK9"/>
    <mergeCell ref="D32:F32"/>
    <mergeCell ref="T10:AK10"/>
    <mergeCell ref="Z47:AB47"/>
    <mergeCell ref="P48:R48"/>
    <mergeCell ref="P23:R23"/>
    <mergeCell ref="T12:V12"/>
    <mergeCell ref="AC35:AE35"/>
    <mergeCell ref="AI51:AK51"/>
    <mergeCell ref="A2:C2"/>
    <mergeCell ref="AC34:AE34"/>
    <mergeCell ref="Z38:AB38"/>
    <mergeCell ref="AN62:AP62"/>
    <mergeCell ref="T41:V41"/>
    <mergeCell ref="M17:O17"/>
    <mergeCell ref="W52:Y52"/>
    <mergeCell ref="G20:I20"/>
    <mergeCell ref="T13:V13"/>
    <mergeCell ref="W39:Y39"/>
    <mergeCell ref="A20:C20"/>
    <mergeCell ref="G47:I47"/>
    <mergeCell ref="M19:O19"/>
    <mergeCell ref="G22:I22"/>
    <mergeCell ref="AN57:AP57"/>
    <mergeCell ref="W37:Y37"/>
    <mergeCell ref="T36:V36"/>
    <mergeCell ref="D50:F50"/>
    <mergeCell ref="G40:I40"/>
    <mergeCell ref="AI48:AK48"/>
    <mergeCell ref="AF24:AH24"/>
    <mergeCell ref="Z27:AB27"/>
    <mergeCell ref="AF53:AH53"/>
    <mergeCell ref="J34:L34"/>
    <mergeCell ref="Z53:AB53"/>
    <mergeCell ref="T25:V25"/>
    <mergeCell ref="J49:L49"/>
    <mergeCell ref="P11:R11"/>
    <mergeCell ref="Z22:AB22"/>
    <mergeCell ref="J36:L36"/>
    <mergeCell ref="W50:Y50"/>
    <mergeCell ref="G33:I33"/>
    <mergeCell ref="AF15:AH15"/>
    <mergeCell ref="AI16:AK16"/>
    <mergeCell ref="A33:C33"/>
    <mergeCell ref="W27:Y27"/>
    <mergeCell ref="J31:L31"/>
    <mergeCell ref="G35:I35"/>
    <mergeCell ref="AI18:AK18"/>
    <mergeCell ref="AN70:AP70"/>
    <mergeCell ref="A35:C35"/>
    <mergeCell ref="D38:F38"/>
    <mergeCell ref="AC49:AE49"/>
    <mergeCell ref="P24:R24"/>
    <mergeCell ref="AC36:AE36"/>
    <mergeCell ref="M50:O50"/>
    <mergeCell ref="Z40:AB40"/>
    <mergeCell ref="A39:C39"/>
    <mergeCell ref="P51:R51"/>
    <mergeCell ref="P26:R26"/>
    <mergeCell ref="T15:V15"/>
    <mergeCell ref="Z8:AB9"/>
    <mergeCell ref="AI29:AK29"/>
    <mergeCell ref="M48:O48"/>
    <mergeCell ref="Z41:AB41"/>
    <mergeCell ref="AN65:AP65"/>
    <mergeCell ref="G48:I48"/>
    <mergeCell ref="D52:F52"/>
  </mergeCells>
  <printOptions horizontalCentered="1" verticalCentered="1"/>
  <pageMargins left="0.75" right="0.75" top="0.45" bottom="1" header="0" footer="0"/>
  <pageSetup orientation="portrait" horizontalDpi="300" verticalDpi="300"/>
</worksheet>
</file>

<file path=xl/worksheets/sheet7.xml><?xml version="1.0" encoding="utf-8"?>
<worksheet xmlns="http://schemas.openxmlformats.org/spreadsheetml/2006/main">
  <sheetPr>
    <tabColor rgb="FFFF0000"/>
    <outlinePr summaryBelow="1" summaryRight="1"/>
    <pageSetUpPr fitToPage="1"/>
  </sheetPr>
  <dimension ref="A1:AO58"/>
  <sheetViews>
    <sheetView showGridLines="0" showZeros="0" zoomScale="106" zoomScaleNormal="106" workbookViewId="0">
      <selection activeCell="AT8" sqref="AT8"/>
    </sheetView>
  </sheetViews>
  <sheetFormatPr baseColWidth="8" defaultColWidth="11.5546875" defaultRowHeight="13.2"/>
  <cols>
    <col width="2.44140625" customWidth="1" min="1" max="168"/>
    <col width="2.44140625" customWidth="1" min="247" max="424"/>
    <col width="2.44140625" customWidth="1" min="503" max="680"/>
    <col width="2.44140625" customWidth="1" min="759" max="936"/>
    <col width="2.44140625" customWidth="1" min="1015" max="1192"/>
    <col width="2.44140625" customWidth="1" min="1271" max="1448"/>
    <col width="2.44140625" customWidth="1" min="1527" max="1704"/>
    <col width="2.44140625" customWidth="1" min="1783" max="1960"/>
    <col width="2.44140625" customWidth="1" min="2039" max="2216"/>
    <col width="2.44140625" customWidth="1" min="2295" max="2472"/>
    <col width="2.44140625" customWidth="1" min="2551" max="2728"/>
    <col width="2.44140625" customWidth="1" min="2807" max="2984"/>
    <col width="2.44140625" customWidth="1" min="3063" max="3240"/>
    <col width="2.44140625" customWidth="1" min="3319" max="3496"/>
    <col width="2.44140625" customWidth="1" min="3575" max="3752"/>
    <col width="2.44140625" customWidth="1" min="3831" max="4008"/>
    <col width="2.44140625" customWidth="1" min="4087" max="4264"/>
    <col width="2.44140625" customWidth="1" min="4343" max="4520"/>
    <col width="2.44140625" customWidth="1" min="4599" max="4776"/>
    <col width="2.44140625" customWidth="1" min="4855" max="5032"/>
    <col width="2.44140625" customWidth="1" min="5111" max="5288"/>
    <col width="2.44140625" customWidth="1" min="5367" max="5544"/>
    <col width="2.44140625" customWidth="1" min="5623" max="5800"/>
    <col width="2.44140625" customWidth="1" min="5879" max="6056"/>
    <col width="2.44140625" customWidth="1" min="6135" max="6312"/>
    <col width="2.44140625" customWidth="1" min="6391" max="6568"/>
    <col width="2.44140625" customWidth="1" min="6647" max="6824"/>
    <col width="2.44140625" customWidth="1" min="6903" max="7080"/>
    <col width="2.44140625" customWidth="1" min="7159" max="7336"/>
    <col width="2.44140625" customWidth="1" min="7415" max="7592"/>
    <col width="2.44140625" customWidth="1" min="7671" max="7848"/>
    <col width="2.44140625" customWidth="1" min="7927" max="8104"/>
    <col width="2.44140625" customWidth="1" min="8183" max="8360"/>
    <col width="2.44140625" customWidth="1" min="8439" max="8616"/>
    <col width="2.44140625" customWidth="1" min="8695" max="8872"/>
    <col width="2.44140625" customWidth="1" min="8951" max="9128"/>
    <col width="2.44140625" customWidth="1" min="9207" max="9384"/>
    <col width="2.44140625" customWidth="1" min="9463" max="9640"/>
    <col width="2.44140625" customWidth="1" min="9719" max="9896"/>
    <col width="2.44140625" customWidth="1" min="9975" max="10152"/>
    <col width="2.44140625" customWidth="1" min="10231" max="10408"/>
    <col width="2.44140625" customWidth="1" min="10487" max="10664"/>
    <col width="2.44140625" customWidth="1" min="10743" max="10920"/>
    <col width="2.44140625" customWidth="1" min="10999" max="11176"/>
    <col width="2.44140625" customWidth="1" min="11255" max="11432"/>
    <col width="2.44140625" customWidth="1" min="11511" max="11688"/>
    <col width="2.44140625" customWidth="1" min="11767" max="11944"/>
    <col width="2.44140625" customWidth="1" min="12023" max="12200"/>
    <col width="2.44140625" customWidth="1" min="12279" max="12456"/>
    <col width="2.44140625" customWidth="1" min="12535" max="12712"/>
    <col width="2.44140625" customWidth="1" min="12791" max="12968"/>
    <col width="2.44140625" customWidth="1" min="13047" max="13224"/>
    <col width="2.44140625" customWidth="1" min="13303" max="13480"/>
    <col width="2.44140625" customWidth="1" min="13559" max="13736"/>
    <col width="2.44140625" customWidth="1" min="13815" max="13992"/>
    <col width="2.44140625" customWidth="1" min="14071" max="14248"/>
    <col width="2.44140625" customWidth="1" min="14327" max="14504"/>
    <col width="2.44140625" customWidth="1" min="14583" max="14760"/>
    <col width="2.44140625" customWidth="1" min="14839" max="15016"/>
    <col width="2.44140625" customWidth="1" min="15095" max="15272"/>
    <col width="2.44140625" customWidth="1" min="15351" max="15528"/>
    <col width="2.44140625" customWidth="1" min="15607" max="15784"/>
    <col width="2.44140625" customWidth="1" min="15863" max="16040"/>
    <col width="2.44140625" customWidth="1" min="16119" max="16296"/>
  </cols>
  <sheetData>
    <row r="1" ht="12.75" customHeight="1">
      <c r="A1" s="494" t="inlineStr">
        <is>
          <t>U.N. , ECE - DRAUGHT SURVEY CODE</t>
        </is>
      </c>
    </row>
    <row r="2" ht="12.75" customHeight="1">
      <c r="A2" s="495" t="n"/>
      <c r="B2" s="13" t="n"/>
      <c r="C2" s="13" t="n"/>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498" t="n"/>
      <c r="Z2" s="13" t="n"/>
      <c r="AA2" s="13" t="n"/>
      <c r="AB2" s="13" t="n"/>
      <c r="AC2" s="13" t="n"/>
      <c r="AD2" s="13" t="n"/>
      <c r="AE2" s="13" t="n"/>
      <c r="AF2" s="13" t="n"/>
      <c r="AG2" s="13" t="n"/>
      <c r="AH2" s="184" t="n"/>
      <c r="AI2" s="1004" t="inlineStr">
        <is>
          <t>FORM "E"</t>
        </is>
      </c>
      <c r="AJ2" s="13" t="n"/>
      <c r="AK2" s="13" t="n"/>
      <c r="AL2" s="13" t="n"/>
      <c r="AM2" s="13" t="n"/>
      <c r="AN2" s="13" t="n"/>
      <c r="AO2" s="184" t="n"/>
    </row>
    <row r="3" ht="12.75" customHeight="1">
      <c r="A3" s="997" t="inlineStr">
        <is>
          <t>DRAUGHT SURVEY REPORT OF CARGO IN BULK</t>
        </is>
      </c>
      <c r="Y3" s="30" t="n"/>
      <c r="Z3" s="2">
        <f>+A!Z3</f>
        <v/>
      </c>
      <c r="AA3" s="998" t="inlineStr">
        <is>
          <t>LOADED</t>
        </is>
      </c>
      <c r="AH3" s="30" t="n"/>
      <c r="AI3" s="45" t="n"/>
      <c r="AO3" s="30" t="n"/>
    </row>
    <row r="4" ht="12.75" customHeight="1">
      <c r="A4" s="859" t="n"/>
      <c r="B4" s="934" t="n"/>
      <c r="C4" s="934" t="n"/>
      <c r="D4" s="934" t="n"/>
      <c r="E4" s="934" t="n"/>
      <c r="F4" s="934" t="n"/>
      <c r="G4" s="934" t="n"/>
      <c r="H4" s="934" t="n"/>
      <c r="I4" s="934" t="n"/>
      <c r="J4" s="934" t="n"/>
      <c r="K4" s="934" t="n"/>
      <c r="L4" s="934" t="n"/>
      <c r="M4" s="934" t="n"/>
      <c r="N4" s="934" t="n"/>
      <c r="O4" s="934" t="n"/>
      <c r="P4" s="934" t="n"/>
      <c r="Q4" s="934" t="n"/>
      <c r="R4" s="934" t="n"/>
      <c r="S4" s="934" t="n"/>
      <c r="T4" s="934" t="n"/>
      <c r="U4" s="934" t="n"/>
      <c r="V4" s="934" t="n"/>
      <c r="W4" s="934" t="n"/>
      <c r="X4" s="934" t="n"/>
      <c r="Y4" s="935" t="n"/>
      <c r="Z4" s="2">
        <f>+A!Z4</f>
        <v/>
      </c>
      <c r="AA4" s="999" t="inlineStr">
        <is>
          <t>UNLOADED</t>
        </is>
      </c>
      <c r="AB4" s="934" t="n"/>
      <c r="AC4" s="934" t="n"/>
      <c r="AD4" s="934" t="n"/>
      <c r="AE4" s="934" t="n"/>
      <c r="AF4" s="934" t="n"/>
      <c r="AG4" s="934" t="n"/>
      <c r="AH4" s="935" t="n"/>
      <c r="AI4" s="1000" t="n"/>
      <c r="AJ4" s="934" t="n"/>
      <c r="AK4" s="934" t="n"/>
      <c r="AL4" s="934" t="n"/>
      <c r="AM4" s="934" t="n"/>
      <c r="AN4" s="934" t="n"/>
      <c r="AO4" s="935" t="n"/>
    </row>
    <row r="5" ht="12.75" customHeight="1">
      <c r="A5" s="6" t="n"/>
      <c r="B5" s="521" t="inlineStr">
        <is>
          <t>Corporate identification:</t>
        </is>
      </c>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84" t="n"/>
    </row>
    <row r="6" ht="12.75" customHeight="1">
      <c r="A6" s="859">
        <f>A!B6</f>
        <v/>
      </c>
      <c r="B6" s="934" t="n"/>
      <c r="C6" s="934" t="n"/>
      <c r="D6" s="934" t="n"/>
      <c r="E6" s="934" t="n"/>
      <c r="F6" s="934" t="n"/>
      <c r="G6" s="934" t="n"/>
      <c r="H6" s="934" t="n"/>
      <c r="I6" s="934" t="n"/>
      <c r="J6" s="934" t="n"/>
      <c r="K6" s="934" t="n"/>
      <c r="L6" s="934" t="n"/>
      <c r="M6" s="934" t="n"/>
      <c r="N6" s="934" t="n"/>
      <c r="O6" s="934" t="n"/>
      <c r="P6" s="934" t="n"/>
      <c r="Q6" s="934" t="n"/>
      <c r="R6" s="934" t="n"/>
      <c r="S6" s="934" t="n"/>
      <c r="T6" s="934" t="n"/>
      <c r="U6" s="934" t="n"/>
      <c r="V6" s="934" t="n"/>
      <c r="W6" s="934" t="n"/>
      <c r="X6" s="934" t="n"/>
      <c r="Y6" s="934" t="n"/>
      <c r="Z6" s="934" t="n"/>
      <c r="AA6" s="934" t="n"/>
      <c r="AB6" s="934" t="n"/>
      <c r="AC6" s="934" t="n"/>
      <c r="AD6" s="934" t="n"/>
      <c r="AE6" s="934" t="n"/>
      <c r="AF6" s="934" t="n"/>
      <c r="AG6" s="934" t="n"/>
      <c r="AH6" s="934" t="n"/>
      <c r="AI6" s="934" t="n"/>
      <c r="AJ6" s="934" t="n"/>
      <c r="AK6" s="934" t="n"/>
      <c r="AL6" s="934" t="n"/>
      <c r="AM6" s="934" t="n"/>
      <c r="AN6" s="934" t="n"/>
      <c r="AO6" s="935" t="n"/>
    </row>
    <row r="7" ht="12.75" customHeight="1">
      <c r="A7" s="6" t="n"/>
      <c r="B7" s="520" t="inlineStr">
        <is>
          <t>Vessel M/V :</t>
        </is>
      </c>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521" t="inlineStr">
        <is>
          <t>Survey no:</t>
        </is>
      </c>
      <c r="AA7" s="13" t="n"/>
      <c r="AB7" s="13" t="n"/>
      <c r="AC7" s="13" t="n"/>
      <c r="AD7" s="13" t="n"/>
      <c r="AE7" s="13" t="n"/>
      <c r="AF7" s="13" t="n"/>
      <c r="AG7" s="13" t="n"/>
      <c r="AH7" s="13" t="n"/>
      <c r="AI7" s="13" t="n"/>
      <c r="AJ7" s="13" t="n"/>
      <c r="AK7" s="13" t="n"/>
      <c r="AL7" s="13" t="n"/>
      <c r="AM7" s="13" t="n"/>
      <c r="AN7" s="13" t="n"/>
      <c r="AO7" s="184" t="n"/>
    </row>
    <row r="8" ht="12.75" customHeight="1">
      <c r="A8" s="514" t="n"/>
      <c r="B8" s="934" t="n"/>
      <c r="C8" s="934" t="n"/>
      <c r="D8" s="934" t="n"/>
      <c r="E8" s="934" t="n"/>
      <c r="F8" s="541">
        <f>+A!G12</f>
        <v/>
      </c>
      <c r="G8" s="934" t="n"/>
      <c r="H8" s="934" t="n"/>
      <c r="I8" s="934" t="n"/>
      <c r="J8" s="934" t="n"/>
      <c r="K8" s="934" t="n"/>
      <c r="L8" s="934" t="n"/>
      <c r="M8" s="934" t="n"/>
      <c r="N8" s="934" t="n"/>
      <c r="O8" s="934" t="n"/>
      <c r="P8" s="934" t="n"/>
      <c r="Q8" s="934" t="n"/>
      <c r="R8" s="934" t="n"/>
      <c r="S8" s="934" t="n"/>
      <c r="T8" s="934" t="n"/>
      <c r="U8" s="934" t="n"/>
      <c r="V8" s="934" t="n"/>
      <c r="W8" s="934" t="n"/>
      <c r="X8" s="934" t="n"/>
      <c r="Y8" s="934" t="n"/>
      <c r="Z8" s="934" t="n"/>
      <c r="AA8" s="934" t="n"/>
      <c r="AB8" s="934" t="n"/>
      <c r="AC8" s="525">
        <f>+A!AG12</f>
        <v/>
      </c>
      <c r="AD8" s="934" t="n"/>
      <c r="AE8" s="934" t="n"/>
      <c r="AF8" s="934" t="n"/>
      <c r="AG8" s="934" t="n"/>
      <c r="AH8" s="934" t="n"/>
      <c r="AI8" s="934" t="n"/>
      <c r="AJ8" s="934" t="n"/>
      <c r="AK8" s="934" t="n"/>
      <c r="AL8" s="934" t="n"/>
      <c r="AM8" s="934" t="n"/>
      <c r="AN8" s="934" t="n"/>
      <c r="AO8" s="935" t="n"/>
    </row>
    <row r="9" ht="12.75" customHeight="1">
      <c r="A9" s="1001" t="inlineStr">
        <is>
          <t>CARGO STATEMENT</t>
        </is>
      </c>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84" t="n"/>
    </row>
    <row r="10" ht="12.75" customHeight="1">
      <c r="A10" s="45" t="n"/>
      <c r="AO10" s="30" t="n"/>
    </row>
    <row r="11" ht="12.75" customHeight="1">
      <c r="A11" s="858" t="n"/>
      <c r="X11" s="30" t="n"/>
      <c r="Y11" s="1243" t="inlineStr">
        <is>
          <t>Metric Tonnes</t>
        </is>
      </c>
      <c r="Z11" s="13" t="n"/>
      <c r="AA11" s="13" t="n"/>
      <c r="AB11" s="13" t="n"/>
      <c r="AC11" s="13" t="n"/>
      <c r="AD11" s="13" t="n"/>
      <c r="AE11" s="13" t="n"/>
      <c r="AF11" s="13" t="n"/>
      <c r="AG11" s="184" t="n"/>
      <c r="AK11" s="25" t="n"/>
      <c r="AL11" s="25" t="n"/>
      <c r="AM11" s="25" t="n"/>
      <c r="AN11" s="25" t="n"/>
      <c r="AO11" s="27" t="n"/>
    </row>
    <row r="12" ht="12.75" customHeight="1">
      <c r="A12" s="45" t="n"/>
      <c r="X12" s="30" t="n"/>
      <c r="Y12" s="1000" t="n"/>
      <c r="Z12" s="934" t="n"/>
      <c r="AA12" s="934" t="n"/>
      <c r="AB12" s="934" t="n"/>
      <c r="AC12" s="934" t="n"/>
      <c r="AD12" s="934" t="n"/>
      <c r="AE12" s="934" t="n"/>
      <c r="AF12" s="934" t="n"/>
      <c r="AG12" s="935" t="n"/>
      <c r="AK12" s="25" t="n"/>
      <c r="AL12" s="25" t="n"/>
      <c r="AM12" s="25" t="n"/>
      <c r="AN12" s="25" t="n"/>
      <c r="AO12" s="27" t="n"/>
    </row>
    <row r="13" ht="12.75" customHeight="1">
      <c r="A13" s="45" t="n"/>
      <c r="X13" s="30" t="n"/>
      <c r="Y13" s="1244" t="n"/>
      <c r="Z13" s="13" t="n"/>
      <c r="AA13" s="13" t="n"/>
      <c r="AB13" s="13" t="n"/>
      <c r="AC13" s="13" t="n"/>
      <c r="AD13" s="13" t="n"/>
      <c r="AE13" s="13" t="n"/>
      <c r="AF13" s="13" t="n"/>
      <c r="AG13" s="184" t="n"/>
      <c r="AK13" s="25" t="n"/>
      <c r="AL13" s="25" t="n"/>
      <c r="AM13" s="25" t="n"/>
      <c r="AN13" s="25" t="n"/>
      <c r="AO13" s="27" t="n"/>
    </row>
    <row r="14" ht="12.75" customHeight="1">
      <c r="A14" s="562" t="inlineStr">
        <is>
          <t>Starting Displacement Corrected</t>
        </is>
      </c>
      <c r="X14" s="36" t="n"/>
      <c r="Y14" s="1245">
        <f>+Draft!M32</f>
        <v/>
      </c>
      <c r="Z14" s="934" t="n"/>
      <c r="AA14" s="934" t="n"/>
      <c r="AB14" s="934" t="n"/>
      <c r="AC14" s="934" t="n"/>
      <c r="AD14" s="934" t="n"/>
      <c r="AE14" s="934" t="n"/>
      <c r="AF14" s="934" t="n"/>
      <c r="AG14" s="83" t="n"/>
      <c r="AK14" s="25" t="n"/>
      <c r="AL14" s="25" t="n"/>
      <c r="AM14" s="25" t="n"/>
      <c r="AN14" s="25" t="n"/>
      <c r="AO14" s="27" t="n"/>
    </row>
    <row r="15" ht="12.75" customHeight="1">
      <c r="A15" s="543" t="n"/>
      <c r="X15" s="25" t="n"/>
      <c r="Y15" s="1244" t="n"/>
      <c r="Z15" s="13" t="n"/>
      <c r="AA15" s="13" t="n"/>
      <c r="AB15" s="13" t="n"/>
      <c r="AC15" s="13" t="n"/>
      <c r="AD15" s="13" t="n"/>
      <c r="AE15" s="13" t="n"/>
      <c r="AF15" s="13" t="n"/>
      <c r="AG15" s="184" t="n"/>
      <c r="AK15" s="25" t="n"/>
      <c r="AL15" s="25" t="n"/>
      <c r="AM15" s="25" t="n"/>
      <c r="AN15" s="25" t="n"/>
      <c r="AO15" s="27" t="n"/>
    </row>
    <row r="16" ht="12.75" customHeight="1">
      <c r="A16" s="562" t="inlineStr">
        <is>
          <t>Finishing Displacement Corrected</t>
        </is>
      </c>
      <c r="X16" s="36" t="n"/>
      <c r="Y16" s="1245">
        <f>+Draft!AG33</f>
        <v/>
      </c>
      <c r="Z16" s="934" t="n"/>
      <c r="AA16" s="934" t="n"/>
      <c r="AB16" s="934" t="n"/>
      <c r="AC16" s="934" t="n"/>
      <c r="AD16" s="934" t="n"/>
      <c r="AE16" s="934" t="n"/>
      <c r="AF16" s="934" t="n"/>
      <c r="AG16" s="83" t="n"/>
      <c r="AK16" s="25" t="n"/>
      <c r="AL16" s="25" t="n"/>
      <c r="AM16" s="25" t="n"/>
      <c r="AN16" s="25" t="n"/>
      <c r="AO16" s="27" t="n"/>
    </row>
    <row r="17" ht="12.75" customHeight="1">
      <c r="A17" s="543" t="n"/>
      <c r="X17" s="25" t="n"/>
      <c r="Y17" s="1244" t="n"/>
      <c r="Z17" s="13" t="n"/>
      <c r="AA17" s="13" t="n"/>
      <c r="AB17" s="13" t="n"/>
      <c r="AC17" s="13" t="n"/>
      <c r="AD17" s="13" t="n"/>
      <c r="AE17" s="13" t="n"/>
      <c r="AF17" s="13" t="n"/>
      <c r="AG17" s="184" t="n"/>
      <c r="AH17" s="861" t="n"/>
      <c r="AO17" s="30" t="n"/>
    </row>
    <row r="18" ht="12.75" customHeight="1">
      <c r="A18" s="562" t="inlineStr">
        <is>
          <t xml:space="preserve">Difference in Displacement = TOTAL CARGO IN BULK IS: </t>
        </is>
      </c>
      <c r="X18" s="84" t="n"/>
      <c r="Y18" s="1245">
        <f>ROUND(+Draft!AG34,2)</f>
        <v/>
      </c>
      <c r="Z18" s="934" t="n"/>
      <c r="AA18" s="934" t="n"/>
      <c r="AB18" s="934" t="n"/>
      <c r="AC18" s="934" t="n"/>
      <c r="AD18" s="934" t="n"/>
      <c r="AE18" s="934" t="n"/>
      <c r="AF18" s="934" t="n"/>
      <c r="AG18" s="83" t="n"/>
      <c r="AH18" s="861" t="n"/>
      <c r="AO18" s="30" t="n"/>
    </row>
    <row r="19" ht="12.75" customHeight="1">
      <c r="A19" s="858" t="n"/>
      <c r="AO19" s="30" t="n"/>
    </row>
    <row r="20" ht="12.75" customHeight="1">
      <c r="A20" s="23" t="n"/>
      <c r="B20" s="513" t="inlineStr">
        <is>
          <t>OBSERVATIONS: Shore scale quantity (if available) M.T.</t>
        </is>
      </c>
      <c r="X20" s="30" t="n"/>
      <c r="Y20" s="1246" t="n"/>
      <c r="Z20" s="203" t="n"/>
      <c r="AA20" s="203" t="n"/>
      <c r="AB20" s="203" t="n"/>
      <c r="AC20" s="203" t="n"/>
      <c r="AD20" s="203" t="n"/>
      <c r="AE20" s="203" t="n"/>
      <c r="AF20" s="203" t="n"/>
      <c r="AG20" s="82" t="n"/>
      <c r="AK20" s="25" t="n"/>
      <c r="AL20" s="25" t="n"/>
      <c r="AM20" s="25" t="n"/>
      <c r="AN20" s="25" t="n"/>
      <c r="AO20" s="27" t="n"/>
    </row>
    <row r="21" ht="12.75" customHeight="1">
      <c r="A21" s="23" t="n"/>
      <c r="B21" s="513" t="inlineStr">
        <is>
          <t>Note on any unusual situatonts, exception/s from required Uniform Code standard, specific identification</t>
        </is>
      </c>
      <c r="AO21" s="30" t="n"/>
    </row>
    <row r="22" ht="12.75" customHeight="1">
      <c r="A22" s="23" t="n"/>
      <c r="B22" s="513" t="inlineStr">
        <is>
          <t>(source, drawing no., date, title. certifying authority) of each ships document used in translating recorded</t>
        </is>
      </c>
      <c r="AO22" s="30" t="n"/>
    </row>
    <row r="23" ht="12.75" customHeight="1">
      <c r="A23" s="23" t="n"/>
      <c r="B23" s="513" t="inlineStr">
        <is>
          <t>measurements lrvto weights and, when applicable, reasons for surveyors refusal or impossibility to perform</t>
        </is>
      </c>
      <c r="AO23" s="30" t="n"/>
    </row>
    <row r="24" ht="12.75" customHeight="1">
      <c r="A24" s="23" t="n"/>
      <c r="B24" s="513" t="inlineStr">
        <is>
          <t>the survey:</t>
        </is>
      </c>
      <c r="AO24" s="30" t="n"/>
    </row>
    <row r="25" ht="12.75" customHeight="1">
      <c r="A25" s="859" t="n"/>
      <c r="AO25" s="30" t="n"/>
    </row>
    <row r="26" ht="12.75" customHeight="1">
      <c r="A26" s="1000" t="n"/>
      <c r="B26" s="934" t="n"/>
      <c r="C26" s="934" t="n"/>
      <c r="D26" s="934" t="n"/>
      <c r="E26" s="934" t="n"/>
      <c r="F26" s="934" t="n"/>
      <c r="G26" s="934" t="n"/>
      <c r="H26" s="934" t="n"/>
      <c r="I26" s="934" t="n"/>
      <c r="J26" s="934" t="n"/>
      <c r="K26" s="934" t="n"/>
      <c r="L26" s="934" t="n"/>
      <c r="M26" s="934" t="n"/>
      <c r="N26" s="934" t="n"/>
      <c r="O26" s="934" t="n"/>
      <c r="P26" s="934" t="n"/>
      <c r="Q26" s="934" t="n"/>
      <c r="R26" s="934" t="n"/>
      <c r="S26" s="934" t="n"/>
      <c r="T26" s="934" t="n"/>
      <c r="U26" s="934" t="n"/>
      <c r="V26" s="934" t="n"/>
      <c r="W26" s="934" t="n"/>
      <c r="X26" s="934" t="n"/>
      <c r="Y26" s="934" t="n"/>
      <c r="Z26" s="934" t="n"/>
      <c r="AA26" s="934" t="n"/>
      <c r="AB26" s="934" t="n"/>
      <c r="AC26" s="934" t="n"/>
      <c r="AD26" s="934" t="n"/>
      <c r="AE26" s="934" t="n"/>
      <c r="AF26" s="934" t="n"/>
      <c r="AG26" s="934" t="n"/>
      <c r="AH26" s="934" t="n"/>
      <c r="AI26" s="934" t="n"/>
      <c r="AJ26" s="934" t="n"/>
      <c r="AK26" s="934" t="n"/>
      <c r="AL26" s="934" t="n"/>
      <c r="AM26" s="934" t="n"/>
      <c r="AN26" s="934" t="n"/>
      <c r="AO26" s="935" t="n"/>
    </row>
    <row r="27" ht="12.75" customHeight="1">
      <c r="A27" s="527"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496" t="inlineStr">
        <is>
          <t>Metric Tonnes</t>
        </is>
      </c>
      <c r="Y27" s="13" t="n"/>
      <c r="Z27" s="13" t="n"/>
      <c r="AA27" s="13" t="n"/>
      <c r="AB27" s="13" t="n"/>
      <c r="AC27" s="13" t="n"/>
      <c r="AD27" s="13" t="n"/>
      <c r="AE27" s="13" t="n"/>
      <c r="AF27" s="13" t="n"/>
      <c r="AG27" s="13" t="n"/>
      <c r="AH27" s="561" t="n"/>
      <c r="AI27" s="13" t="n"/>
      <c r="AJ27" s="13" t="n"/>
      <c r="AK27" s="13" t="n"/>
      <c r="AL27" s="13" t="n"/>
      <c r="AM27" s="13" t="n"/>
      <c r="AN27" s="13" t="n"/>
      <c r="AO27" s="184" t="n"/>
    </row>
    <row r="28" ht="12.75" customHeight="1">
      <c r="A28" s="1247" t="inlineStr">
        <is>
          <t>Corrected light displacement =</t>
        </is>
      </c>
      <c r="W28" s="30" t="n"/>
      <c r="X28" s="600">
        <f>IF(Y16=0,0,IF(Y14=0,0,IF(Draft!M27&gt;Draft!AG27,Draft!M27,Draft!AG27)))</f>
        <v/>
      </c>
      <c r="Y28" s="203" t="n"/>
      <c r="Z28" s="203" t="n"/>
      <c r="AA28" s="203" t="n"/>
      <c r="AB28" s="203" t="n"/>
      <c r="AC28" s="203" t="n"/>
      <c r="AD28" s="203" t="n"/>
      <c r="AE28" s="203" t="n"/>
      <c r="AF28" s="203" t="n"/>
      <c r="AG28" s="82" t="n"/>
      <c r="AO28" s="30" t="n"/>
    </row>
    <row r="29" ht="12.75" customHeight="1">
      <c r="A29" s="1247" t="inlineStr">
        <is>
          <t>Deductables =</t>
        </is>
      </c>
      <c r="W29" s="30" t="n"/>
      <c r="X29" s="600">
        <f>IF(X28=0,0,IF(Draft!M27&gt;Draft!AG27,Draft!G26,Draft!AS26))</f>
        <v/>
      </c>
      <c r="Y29" s="203" t="n"/>
      <c r="Z29" s="203" t="n"/>
      <c r="AA29" s="203" t="n"/>
      <c r="AB29" s="203" t="n"/>
      <c r="AC29" s="203" t="n"/>
      <c r="AD29" s="203" t="n"/>
      <c r="AE29" s="203" t="n"/>
      <c r="AF29" s="203" t="n"/>
      <c r="AG29" s="82" t="n"/>
      <c r="AO29" s="30" t="n"/>
    </row>
    <row r="30" ht="12.75" customHeight="1">
      <c r="A30" s="1247" t="inlineStr">
        <is>
          <t>Lightship =</t>
        </is>
      </c>
      <c r="W30" s="30" t="n"/>
      <c r="X30" s="600">
        <f>IF(X29=0,0,+Draft!AG29)</f>
        <v/>
      </c>
      <c r="Y30" s="203" t="n"/>
      <c r="Z30" s="203" t="n"/>
      <c r="AA30" s="203" t="n"/>
      <c r="AB30" s="203" t="n"/>
      <c r="AC30" s="203" t="n"/>
      <c r="AD30" s="203" t="n"/>
      <c r="AE30" s="203" t="n"/>
      <c r="AF30" s="203" t="n"/>
      <c r="AG30" s="82" t="n"/>
      <c r="AO30" s="30" t="n"/>
    </row>
    <row r="31" ht="12.75" customHeight="1">
      <c r="A31" s="1247" t="inlineStr">
        <is>
          <t>Constant =</t>
        </is>
      </c>
      <c r="W31" s="30" t="n"/>
      <c r="X31" s="600">
        <f>IF(X30=0,0,+Draft!AG31)</f>
        <v/>
      </c>
      <c r="Y31" s="203" t="n"/>
      <c r="Z31" s="203" t="n"/>
      <c r="AA31" s="203" t="n"/>
      <c r="AB31" s="203" t="n"/>
      <c r="AC31" s="203" t="n"/>
      <c r="AD31" s="203" t="n"/>
      <c r="AE31" s="203" t="n"/>
      <c r="AF31" s="203" t="n"/>
      <c r="AG31" s="82" t="n"/>
      <c r="AO31" s="30" t="n"/>
    </row>
    <row r="32" ht="12.75" customHeight="1">
      <c r="A32" s="1247" t="inlineStr">
        <is>
          <t>Mean of previous constants =</t>
        </is>
      </c>
      <c r="W32" s="30" t="n"/>
      <c r="X32" s="599" t="n"/>
      <c r="Y32" s="203" t="n"/>
      <c r="Z32" s="203" t="n"/>
      <c r="AA32" s="203" t="n"/>
      <c r="AB32" s="203" t="n"/>
      <c r="AC32" s="203" t="n"/>
      <c r="AD32" s="203" t="n"/>
      <c r="AE32" s="203" t="n"/>
      <c r="AF32" s="203" t="n"/>
      <c r="AG32" s="82" t="n"/>
      <c r="AO32" s="30" t="n"/>
    </row>
    <row r="33" ht="12.75" customHeight="1">
      <c r="A33" s="861" t="n"/>
      <c r="AO33" s="30" t="n"/>
    </row>
    <row r="34" ht="12.75" customHeight="1">
      <c r="A34" s="45" t="n"/>
      <c r="AO34" s="30" t="n"/>
    </row>
    <row r="35" ht="12.75" customHeight="1">
      <c r="A35" s="85" t="n"/>
      <c r="B35" s="545" t="inlineStr">
        <is>
          <t>I certify that the constant calculated from this draught survey has been entered into the ship's 'Constant Certificate'</t>
        </is>
      </c>
      <c r="AO35" s="30" t="n"/>
    </row>
    <row r="36" ht="12.75" customHeight="1">
      <c r="A36" s="862" t="n"/>
      <c r="B36" s="934" t="n"/>
      <c r="C36" s="934" t="n"/>
      <c r="D36" s="934" t="n"/>
      <c r="E36" s="934" t="n"/>
      <c r="F36" s="934" t="n"/>
      <c r="G36" s="934" t="n"/>
      <c r="H36" s="934" t="n"/>
      <c r="I36" s="934" t="n"/>
      <c r="J36" s="934" t="n"/>
      <c r="K36" s="934" t="n"/>
      <c r="L36" s="934" t="n"/>
      <c r="M36" s="934" t="n"/>
      <c r="N36" s="934" t="n"/>
      <c r="O36" s="934" t="n"/>
      <c r="P36" s="934" t="n"/>
      <c r="Q36" s="934" t="n"/>
      <c r="R36" s="934" t="n"/>
      <c r="S36" s="934" t="n"/>
      <c r="T36" s="934" t="n"/>
      <c r="U36" s="934" t="n"/>
      <c r="V36" s="934" t="n"/>
      <c r="W36" s="934" t="n"/>
      <c r="X36" s="934" t="n"/>
      <c r="Y36" s="934" t="n"/>
      <c r="Z36" s="934" t="n"/>
      <c r="AA36" s="934" t="n"/>
      <c r="AB36" s="934" t="n"/>
      <c r="AC36" s="934" t="n"/>
      <c r="AD36" s="934" t="n"/>
      <c r="AE36" s="934" t="n"/>
      <c r="AF36" s="934" t="n"/>
      <c r="AG36" s="934" t="n"/>
      <c r="AH36" s="934" t="n"/>
      <c r="AI36" s="934" t="n"/>
      <c r="AJ36" s="934" t="n"/>
      <c r="AK36" s="934" t="n"/>
      <c r="AL36" s="934" t="n"/>
      <c r="AM36" s="934" t="n"/>
      <c r="AN36" s="934" t="n"/>
      <c r="AO36" s="935" t="n"/>
    </row>
    <row r="37" ht="12.75" customHeight="1">
      <c r="A37" s="1244"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84" t="n"/>
    </row>
    <row r="38" ht="12.75" customHeight="1">
      <c r="A38" s="23" t="n"/>
      <c r="B38" s="513" t="inlineStr">
        <is>
          <t>In my judgement the weather conditions, the sea conditions, and the conditions of the ship at the times the</t>
        </is>
      </c>
      <c r="AO38" s="30" t="n"/>
    </row>
    <row r="39" ht="12.75" customHeight="1">
      <c r="A39" s="23" t="n"/>
      <c r="B39" s="513" t="inlineStr">
        <is>
          <t>draught surveys were conducted, were within acceptable limits and did not adversely affect the accuracy of</t>
        </is>
      </c>
      <c r="AO39" s="30" t="n"/>
    </row>
    <row r="40" ht="12.75" customHeight="1">
      <c r="A40" s="23" t="n"/>
      <c r="B40" s="513" t="inlineStr">
        <is>
          <t>this survey.  This Bona Fide report consisting of             4        pages, including this page, all duly initialled or signed</t>
        </is>
      </c>
      <c r="AO40" s="30" t="n"/>
    </row>
    <row r="41" ht="12.75" customHeight="1">
      <c r="A41" s="23" t="n"/>
      <c r="B41" s="513" t="inlineStr">
        <is>
          <t>is issued without prejudice and is for the benefit of whom It may concern.</t>
        </is>
      </c>
      <c r="AO41" s="30" t="n"/>
    </row>
    <row r="42" ht="12.75" customHeight="1">
      <c r="A42" s="858" t="n"/>
      <c r="AO42" s="30" t="n"/>
    </row>
    <row r="43" ht="4.5" customHeight="1">
      <c r="A43" s="45" t="n"/>
      <c r="AO43" s="30" t="n"/>
    </row>
    <row r="44" ht="12.75" customHeight="1">
      <c r="A44" s="45" t="n"/>
      <c r="AO44" s="30" t="n"/>
    </row>
    <row r="45" ht="12.75" customHeight="1">
      <c r="A45" s="23" t="n"/>
      <c r="B45" s="554" t="inlineStr">
        <is>
          <t xml:space="preserve">Name at surveying firm </t>
        </is>
      </c>
      <c r="AA45" s="850" t="n"/>
      <c r="AO45" s="30" t="n"/>
    </row>
    <row r="46" ht="12.75" customHeight="1">
      <c r="A46" s="858" t="n"/>
      <c r="AO46" s="30" t="n"/>
    </row>
    <row r="47" ht="12.75" customHeight="1">
      <c r="A47" s="23" t="n"/>
      <c r="B47" s="24" t="inlineStr">
        <is>
          <t>By:</t>
        </is>
      </c>
      <c r="C47" s="515" t="n"/>
      <c r="D47" s="934" t="n"/>
      <c r="E47" s="934" t="n"/>
      <c r="F47" s="934" t="n"/>
      <c r="G47" s="934" t="n"/>
      <c r="H47" s="934" t="n"/>
      <c r="I47" s="934" t="n"/>
      <c r="J47" s="934" t="n"/>
      <c r="K47" s="934" t="n"/>
      <c r="L47" s="934" t="n"/>
      <c r="M47" s="934" t="n"/>
      <c r="N47" s="934" t="n"/>
      <c r="O47" s="287" t="n"/>
      <c r="AB47" s="669">
        <f>A!B6</f>
        <v/>
      </c>
      <c r="AC47" s="934" t="n"/>
      <c r="AD47" s="934" t="n"/>
      <c r="AE47" s="934" t="n"/>
      <c r="AF47" s="934" t="n"/>
      <c r="AG47" s="934" t="n"/>
      <c r="AH47" s="934" t="n"/>
      <c r="AI47" s="934" t="n"/>
      <c r="AJ47" s="934" t="n"/>
      <c r="AK47" s="934" t="n"/>
      <c r="AL47" s="934" t="n"/>
      <c r="AM47" s="934" t="n"/>
      <c r="AN47" s="934" t="n"/>
      <c r="AO47" s="27" t="n"/>
    </row>
    <row r="48" ht="12.75" customHeight="1">
      <c r="A48" s="23" t="n"/>
      <c r="B48" s="588" t="inlineStr">
        <is>
          <t>(Signature of Surveyor/s)</t>
        </is>
      </c>
      <c r="O48" s="569" t="n"/>
      <c r="AO48" s="30" t="n"/>
    </row>
    <row r="49" ht="12.75" customHeight="1">
      <c r="A49" s="858" t="n"/>
      <c r="AO49" s="30" t="n"/>
    </row>
    <row r="50" ht="12.75" customHeight="1">
      <c r="A50" s="23" t="n"/>
      <c r="B50" s="512" t="inlineStr">
        <is>
          <t>Name/s in print</t>
        </is>
      </c>
      <c r="H50" s="857">
        <f>CONCATENATE(AB54," - ",AB56," - ",General!AB10)</f>
        <v/>
      </c>
      <c r="I50" s="934" t="n"/>
      <c r="J50" s="934" t="n"/>
      <c r="K50" s="934" t="n"/>
      <c r="L50" s="934" t="n"/>
      <c r="M50" s="934" t="n"/>
      <c r="N50" s="934" t="n"/>
      <c r="O50" s="934" t="n"/>
      <c r="P50" s="934" t="n"/>
      <c r="Q50" s="934" t="n"/>
      <c r="R50" s="934" t="n"/>
      <c r="S50" s="934" t="n"/>
      <c r="T50" s="934" t="n"/>
      <c r="U50" s="934" t="n"/>
      <c r="V50" s="934" t="n"/>
      <c r="W50" s="934" t="n"/>
      <c r="X50" s="934" t="n"/>
      <c r="Y50" s="934" t="n"/>
      <c r="Z50" s="934" t="n"/>
      <c r="AA50" s="934" t="n"/>
      <c r="AB50" s="934" t="n"/>
      <c r="AC50" s="934" t="n"/>
      <c r="AD50" s="934" t="n"/>
      <c r="AE50" s="934" t="n"/>
      <c r="AF50" s="934" t="n"/>
      <c r="AG50" s="934" t="n"/>
      <c r="AH50" s="934" t="n"/>
      <c r="AI50" s="934" t="n"/>
      <c r="AJ50" s="934" t="n"/>
      <c r="AK50" s="934" t="n"/>
      <c r="AL50" s="934" t="n"/>
      <c r="AM50" s="934" t="n"/>
      <c r="AN50" s="934" t="n"/>
      <c r="AO50" s="27" t="n"/>
    </row>
    <row r="51" ht="12.75" customHeight="1">
      <c r="A51" s="1248" t="inlineStr">
        <is>
          <t>I have participated in all stages of this draught survey, and agree with the results obtained.  I acknowledge receipt of the ship's copy.</t>
        </is>
      </c>
      <c r="AO51" s="30" t="n"/>
    </row>
    <row r="52" ht="12.75" customHeight="1">
      <c r="A52" s="858" t="n"/>
      <c r="AO52" s="30" t="n"/>
    </row>
    <row r="53" ht="12.75" customHeight="1">
      <c r="A53" s="859" t="n"/>
      <c r="B53" s="860" t="inlineStr">
        <is>
          <t xml:space="preserve">Signed: </t>
        </is>
      </c>
      <c r="C53" s="13" t="n"/>
      <c r="D53" s="13" t="n"/>
      <c r="E53" s="13" t="n"/>
      <c r="F53" s="13" t="n"/>
      <c r="G53" s="13" t="n"/>
      <c r="H53" s="13" t="n"/>
      <c r="I53" s="13" t="n"/>
      <c r="J53" s="13" t="n"/>
      <c r="K53" s="13" t="n"/>
      <c r="L53" s="13" t="n"/>
      <c r="M53" s="520" t="inlineStr">
        <is>
          <t>Rank:</t>
        </is>
      </c>
      <c r="N53" s="13" t="n"/>
      <c r="O53" s="13" t="n"/>
      <c r="P53" s="13" t="n"/>
      <c r="Q53" s="13" t="n"/>
      <c r="R53" s="13" t="n"/>
      <c r="S53" s="13" t="n"/>
      <c r="T53" s="847" t="inlineStr">
        <is>
          <t>Name in print:</t>
        </is>
      </c>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84" t="n"/>
      <c r="AO53" s="862" t="n"/>
    </row>
    <row r="54" ht="12.75" customHeight="1">
      <c r="A54" s="1249" t="n"/>
      <c r="B54" s="514" t="n"/>
      <c r="M54" s="863" t="inlineStr">
        <is>
          <t>MASTER</t>
        </is>
      </c>
      <c r="AB54">
        <f>+General!H10</f>
        <v/>
      </c>
      <c r="AO54" s="1249" t="n"/>
    </row>
    <row r="55" ht="12.75" customHeight="1">
      <c r="A55" s="1249" t="n"/>
      <c r="B55" s="45" t="n"/>
      <c r="M55" s="863" t="n"/>
      <c r="AO55" s="1249" t="n"/>
    </row>
    <row r="56" ht="12.75" customHeight="1">
      <c r="A56" s="1250" t="n"/>
      <c r="B56" s="1000" t="n"/>
      <c r="C56" s="934" t="n"/>
      <c r="D56" s="934" t="n"/>
      <c r="E56" s="934" t="n"/>
      <c r="F56" s="934" t="n"/>
      <c r="G56" s="934" t="n"/>
      <c r="H56" s="934" t="n"/>
      <c r="I56" s="934" t="n"/>
      <c r="J56" s="934" t="n"/>
      <c r="K56" s="934" t="n"/>
      <c r="L56" s="934" t="n"/>
      <c r="M56" s="864" t="inlineStr">
        <is>
          <t>CHIEF OFFICER</t>
        </is>
      </c>
      <c r="N56" s="934" t="n"/>
      <c r="O56" s="934" t="n"/>
      <c r="P56" s="934" t="n"/>
      <c r="Q56" s="934" t="n"/>
      <c r="R56" s="934" t="n"/>
      <c r="S56" s="934" t="n"/>
      <c r="AB56">
        <f>+General!H11</f>
        <v/>
      </c>
      <c r="AO56" s="1250" t="n"/>
    </row>
    <row r="57" ht="12.75" customHeight="1">
      <c r="A57" s="528"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row>
    <row r="58" ht="24.75" customHeight="1">
      <c r="A58" s="418" t="n"/>
    </row>
  </sheetData>
  <mergeCells count="85">
    <mergeCell ref="C47:N47"/>
    <mergeCell ref="X28:AF28"/>
    <mergeCell ref="A30:W30"/>
    <mergeCell ref="AA45:AO45"/>
    <mergeCell ref="X30:AF30"/>
    <mergeCell ref="AO53:AO56"/>
    <mergeCell ref="X29:AF29"/>
    <mergeCell ref="B5:AO5"/>
    <mergeCell ref="Y20:AF20"/>
    <mergeCell ref="Y14:AF14"/>
    <mergeCell ref="Y11:AG12"/>
    <mergeCell ref="A53:A56"/>
    <mergeCell ref="AB47:AN47"/>
    <mergeCell ref="Y2:AH2"/>
    <mergeCell ref="B21:AO21"/>
    <mergeCell ref="B39:AO39"/>
    <mergeCell ref="AC8:AO8"/>
    <mergeCell ref="B23:AO23"/>
    <mergeCell ref="A19:AO19"/>
    <mergeCell ref="A9:AO9"/>
    <mergeCell ref="A25:AO26"/>
    <mergeCell ref="M53:S53"/>
    <mergeCell ref="X27:AG27"/>
    <mergeCell ref="A36:AO36"/>
    <mergeCell ref="A2:X2"/>
    <mergeCell ref="A1:AO1"/>
    <mergeCell ref="AI2:AO4"/>
    <mergeCell ref="AH27:AO32"/>
    <mergeCell ref="M55:S55"/>
    <mergeCell ref="B53:L53"/>
    <mergeCell ref="Y16:AF16"/>
    <mergeCell ref="F8:AB8"/>
    <mergeCell ref="X31:AF31"/>
    <mergeCell ref="A46:AO46"/>
    <mergeCell ref="A37:AO37"/>
    <mergeCell ref="B50:G50"/>
    <mergeCell ref="B22:AO22"/>
    <mergeCell ref="Z7:AO7"/>
    <mergeCell ref="Y18:AF18"/>
    <mergeCell ref="A32:W32"/>
    <mergeCell ref="A57:AO57"/>
    <mergeCell ref="A14:W14"/>
    <mergeCell ref="AA3:AH3"/>
    <mergeCell ref="X32:AF32"/>
    <mergeCell ref="B20:X20"/>
    <mergeCell ref="H50:AN50"/>
    <mergeCell ref="B54:L56"/>
    <mergeCell ref="A52:AO52"/>
    <mergeCell ref="B38:AO38"/>
    <mergeCell ref="AH18:AO18"/>
    <mergeCell ref="A4:Y4"/>
    <mergeCell ref="B40:AO40"/>
    <mergeCell ref="AH17:AO17"/>
    <mergeCell ref="B24:AO24"/>
    <mergeCell ref="A49:AO49"/>
    <mergeCell ref="A16:W16"/>
    <mergeCell ref="Y13:AG13"/>
    <mergeCell ref="A6:AO6"/>
    <mergeCell ref="B41:AO41"/>
    <mergeCell ref="A33:AO34"/>
    <mergeCell ref="B35:AO35"/>
    <mergeCell ref="O48:AO48"/>
    <mergeCell ref="A18:W18"/>
    <mergeCell ref="B7:Y7"/>
    <mergeCell ref="A42:AO44"/>
    <mergeCell ref="A29:W29"/>
    <mergeCell ref="A3:Y3"/>
    <mergeCell ref="A31:W31"/>
    <mergeCell ref="O47:AA47"/>
    <mergeCell ref="A11:X13"/>
    <mergeCell ref="A58:AO58"/>
    <mergeCell ref="A15:W15"/>
    <mergeCell ref="Y17:AG17"/>
    <mergeCell ref="A51:AO51"/>
    <mergeCell ref="M56:S56"/>
    <mergeCell ref="B45:Z45"/>
    <mergeCell ref="AA4:AH4"/>
    <mergeCell ref="A27:W27"/>
    <mergeCell ref="B48:N48"/>
    <mergeCell ref="A8:E8"/>
    <mergeCell ref="M54:S54"/>
    <mergeCell ref="A17:W17"/>
    <mergeCell ref="Y15:AG15"/>
    <mergeCell ref="A28:W28"/>
    <mergeCell ref="T53:AN53"/>
  </mergeCells>
  <printOptions horizontalCentered="1" verticalCentered="1"/>
  <pageMargins left="0.3937007874015748" right="0.3937007874015748" top="0.2362204724409449" bottom="0.2362204724409449" header="0" footer="0.2362204724409449"/>
  <pageSetup orientation="portrait" horizontalDpi="300" verticalDpi="300"/>
  <headerFooter alignWithMargins="0">
    <oddHeader/>
    <oddFooter>&amp;RPage 2 of 4</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tabColor rgb="FFFF0000"/>
    <outlinePr summaryBelow="1" summaryRight="1"/>
    <pageSetUpPr fitToPage="1"/>
  </sheetPr>
  <dimension ref="A1:AO58"/>
  <sheetViews>
    <sheetView showGridLines="0" showZeros="0" zoomScale="98" zoomScaleNormal="98" workbookViewId="0">
      <selection activeCell="BE18" sqref="BE18"/>
    </sheetView>
  </sheetViews>
  <sheetFormatPr baseColWidth="8" defaultColWidth="11.5546875" defaultRowHeight="13.2"/>
  <cols>
    <col width="2.44140625" customWidth="1" min="1" max="162"/>
    <col width="2.44140625" customWidth="1" min="241" max="418"/>
    <col width="2.44140625" customWidth="1" min="497" max="674"/>
    <col width="2.44140625" customWidth="1" min="753" max="930"/>
    <col width="2.44140625" customWidth="1" min="1009" max="1186"/>
    <col width="2.44140625" customWidth="1" min="1265" max="1442"/>
    <col width="2.44140625" customWidth="1" min="1521" max="1698"/>
    <col width="2.44140625" customWidth="1" min="1777" max="1954"/>
    <col width="2.44140625" customWidth="1" min="2033" max="2210"/>
    <col width="2.44140625" customWidth="1" min="2289" max="2466"/>
    <col width="2.44140625" customWidth="1" min="2545" max="2722"/>
    <col width="2.44140625" customWidth="1" min="2801" max="2978"/>
    <col width="2.44140625" customWidth="1" min="3057" max="3234"/>
    <col width="2.44140625" customWidth="1" min="3313" max="3490"/>
    <col width="2.44140625" customWidth="1" min="3569" max="3746"/>
    <col width="2.44140625" customWidth="1" min="3825" max="4002"/>
    <col width="2.44140625" customWidth="1" min="4081" max="4258"/>
    <col width="2.44140625" customWidth="1" min="4337" max="4514"/>
    <col width="2.44140625" customWidth="1" min="4593" max="4770"/>
    <col width="2.44140625" customWidth="1" min="4849" max="5026"/>
    <col width="2.44140625" customWidth="1" min="5105" max="5282"/>
    <col width="2.44140625" customWidth="1" min="5361" max="5538"/>
    <col width="2.44140625" customWidth="1" min="5617" max="5794"/>
    <col width="2.44140625" customWidth="1" min="5873" max="6050"/>
    <col width="2.44140625" customWidth="1" min="6129" max="6306"/>
    <col width="2.44140625" customWidth="1" min="6385" max="6562"/>
    <col width="2.44140625" customWidth="1" min="6641" max="6818"/>
    <col width="2.44140625" customWidth="1" min="6897" max="7074"/>
    <col width="2.44140625" customWidth="1" min="7153" max="7330"/>
    <col width="2.44140625" customWidth="1" min="7409" max="7586"/>
    <col width="2.44140625" customWidth="1" min="7665" max="7842"/>
    <col width="2.44140625" customWidth="1" min="7921" max="8098"/>
    <col width="2.44140625" customWidth="1" min="8177" max="8354"/>
    <col width="2.44140625" customWidth="1" min="8433" max="8610"/>
    <col width="2.44140625" customWidth="1" min="8689" max="8866"/>
    <col width="2.44140625" customWidth="1" min="8945" max="9122"/>
    <col width="2.44140625" customWidth="1" min="9201" max="9378"/>
    <col width="2.44140625" customWidth="1" min="9457" max="9634"/>
    <col width="2.44140625" customWidth="1" min="9713" max="9890"/>
    <col width="2.44140625" customWidth="1" min="9969" max="10146"/>
    <col width="2.44140625" customWidth="1" min="10225" max="10402"/>
    <col width="2.44140625" customWidth="1" min="10481" max="10658"/>
    <col width="2.44140625" customWidth="1" min="10737" max="10914"/>
    <col width="2.44140625" customWidth="1" min="10993" max="11170"/>
    <col width="2.44140625" customWidth="1" min="11249" max="11426"/>
    <col width="2.44140625" customWidth="1" min="11505" max="11682"/>
    <col width="2.44140625" customWidth="1" min="11761" max="11938"/>
    <col width="2.44140625" customWidth="1" min="12017" max="12194"/>
    <col width="2.44140625" customWidth="1" min="12273" max="12450"/>
    <col width="2.44140625" customWidth="1" min="12529" max="12706"/>
    <col width="2.44140625" customWidth="1" min="12785" max="12962"/>
    <col width="2.44140625" customWidth="1" min="13041" max="13218"/>
    <col width="2.44140625" customWidth="1" min="13297" max="13474"/>
    <col width="2.44140625" customWidth="1" min="13553" max="13730"/>
    <col width="2.44140625" customWidth="1" min="13809" max="13986"/>
    <col width="2.44140625" customWidth="1" min="14065" max="14242"/>
    <col width="2.44140625" customWidth="1" min="14321" max="14498"/>
    <col width="2.44140625" customWidth="1" min="14577" max="14754"/>
    <col width="2.44140625" customWidth="1" min="14833" max="15010"/>
    <col width="2.44140625" customWidth="1" min="15089" max="15266"/>
    <col width="2.44140625" customWidth="1" min="15345" max="15522"/>
    <col width="2.44140625" customWidth="1" min="15601" max="15778"/>
    <col width="2.44140625" customWidth="1" min="15857" max="16034"/>
    <col width="2.44140625" customWidth="1" min="16113" max="16290"/>
  </cols>
  <sheetData>
    <row r="1" ht="12.75" customHeight="1">
      <c r="A1" s="494" t="inlineStr">
        <is>
          <t>U.N. , ECE - DRAUGHT SURVEY CODE</t>
        </is>
      </c>
    </row>
    <row r="2" ht="12.75" customHeight="1">
      <c r="A2" s="495" t="n"/>
      <c r="B2" s="13" t="n"/>
      <c r="C2" s="13" t="n"/>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498" t="n"/>
      <c r="Z2" s="13" t="n"/>
      <c r="AA2" s="13" t="n"/>
      <c r="AB2" s="13" t="n"/>
      <c r="AC2" s="13" t="n"/>
      <c r="AD2" s="13" t="n"/>
      <c r="AE2" s="13" t="n"/>
      <c r="AF2" s="13" t="n"/>
      <c r="AG2" s="13" t="n"/>
      <c r="AH2" s="184" t="n"/>
      <c r="AI2" s="1004" t="inlineStr">
        <is>
          <t>FORM "D1"</t>
        </is>
      </c>
      <c r="AJ2" s="13" t="n"/>
      <c r="AK2" s="13" t="n"/>
      <c r="AL2" s="13" t="n"/>
      <c r="AM2" s="13" t="n"/>
      <c r="AN2" s="13" t="n"/>
      <c r="AO2" s="184" t="n"/>
    </row>
    <row r="3" ht="12.75" customHeight="1">
      <c r="A3" s="997" t="inlineStr">
        <is>
          <t>DRAUGHT SURVEY REPORT OF CARGO IN BULK</t>
        </is>
      </c>
      <c r="Y3" s="30" t="n"/>
      <c r="Z3" s="2">
        <f>+A!Z3</f>
        <v/>
      </c>
      <c r="AA3" s="998" t="inlineStr">
        <is>
          <t>LOADED</t>
        </is>
      </c>
      <c r="AH3" s="30" t="n"/>
      <c r="AI3" s="45" t="n"/>
      <c r="AO3" s="30" t="n"/>
    </row>
    <row r="4" ht="12.75" customHeight="1">
      <c r="A4" s="859" t="n"/>
      <c r="B4" s="934" t="n"/>
      <c r="C4" s="934" t="n"/>
      <c r="D4" s="934" t="n"/>
      <c r="E4" s="934" t="n"/>
      <c r="F4" s="934" t="n"/>
      <c r="G4" s="934" t="n"/>
      <c r="H4" s="934" t="n"/>
      <c r="I4" s="934" t="n"/>
      <c r="J4" s="934" t="n"/>
      <c r="K4" s="934" t="n"/>
      <c r="L4" s="934" t="n"/>
      <c r="M4" s="934" t="n"/>
      <c r="N4" s="934" t="n"/>
      <c r="O4" s="934" t="n"/>
      <c r="P4" s="934" t="n"/>
      <c r="Q4" s="934" t="n"/>
      <c r="R4" s="934" t="n"/>
      <c r="S4" s="934" t="n"/>
      <c r="T4" s="934" t="n"/>
      <c r="U4" s="934" t="n"/>
      <c r="V4" s="934" t="n"/>
      <c r="W4" s="934" t="n"/>
      <c r="X4" s="934" t="n"/>
      <c r="Y4" s="935" t="n"/>
      <c r="Z4" s="2">
        <f>+A!Z4</f>
        <v/>
      </c>
      <c r="AA4" s="999" t="inlineStr">
        <is>
          <t>UNLOADED</t>
        </is>
      </c>
      <c r="AB4" s="934" t="n"/>
      <c r="AC4" s="934" t="n"/>
      <c r="AD4" s="934" t="n"/>
      <c r="AE4" s="934" t="n"/>
      <c r="AF4" s="934" t="n"/>
      <c r="AG4" s="934" t="n"/>
      <c r="AH4" s="935" t="n"/>
      <c r="AI4" s="1000" t="n"/>
      <c r="AJ4" s="934" t="n"/>
      <c r="AK4" s="934" t="n"/>
      <c r="AL4" s="934" t="n"/>
      <c r="AM4" s="934" t="n"/>
      <c r="AN4" s="934" t="n"/>
      <c r="AO4" s="935" t="n"/>
    </row>
    <row r="5" ht="12.75" customHeight="1">
      <c r="A5" s="6" t="n"/>
      <c r="B5" s="521" t="inlineStr">
        <is>
          <t>Corporate identification:</t>
        </is>
      </c>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84" t="n"/>
    </row>
    <row r="6" ht="12.75" customHeight="1">
      <c r="A6" s="859">
        <f>A!B6</f>
        <v/>
      </c>
      <c r="B6" s="934" t="n"/>
      <c r="C6" s="934" t="n"/>
      <c r="D6" s="934" t="n"/>
      <c r="E6" s="934" t="n"/>
      <c r="F6" s="934" t="n"/>
      <c r="G6" s="934" t="n"/>
      <c r="H6" s="934" t="n"/>
      <c r="I6" s="934" t="n"/>
      <c r="J6" s="934" t="n"/>
      <c r="K6" s="934" t="n"/>
      <c r="L6" s="934" t="n"/>
      <c r="M6" s="934" t="n"/>
      <c r="N6" s="934" t="n"/>
      <c r="O6" s="934" t="n"/>
      <c r="P6" s="934" t="n"/>
      <c r="Q6" s="934" t="n"/>
      <c r="R6" s="934" t="n"/>
      <c r="S6" s="934" t="n"/>
      <c r="T6" s="934" t="n"/>
      <c r="U6" s="934" t="n"/>
      <c r="V6" s="934" t="n"/>
      <c r="W6" s="934" t="n"/>
      <c r="X6" s="934" t="n"/>
      <c r="Y6" s="934" t="n"/>
      <c r="Z6" s="934" t="n"/>
      <c r="AA6" s="934" t="n"/>
      <c r="AB6" s="934" t="n"/>
      <c r="AC6" s="934" t="n"/>
      <c r="AD6" s="934" t="n"/>
      <c r="AE6" s="934" t="n"/>
      <c r="AF6" s="934" t="n"/>
      <c r="AG6" s="934" t="n"/>
      <c r="AH6" s="934" t="n"/>
      <c r="AI6" s="934" t="n"/>
      <c r="AJ6" s="934" t="n"/>
      <c r="AK6" s="934" t="n"/>
      <c r="AL6" s="934" t="n"/>
      <c r="AM6" s="934" t="n"/>
      <c r="AN6" s="934" t="n"/>
      <c r="AO6" s="935" t="n"/>
    </row>
    <row r="7" ht="12.75" customHeight="1">
      <c r="A7" s="6" t="n"/>
      <c r="B7" s="520" t="inlineStr">
        <is>
          <t>Vessel M/V :</t>
        </is>
      </c>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521" t="inlineStr">
        <is>
          <t>Survey no:</t>
        </is>
      </c>
      <c r="AA7" s="13" t="n"/>
      <c r="AB7" s="13" t="n"/>
      <c r="AC7" s="13" t="n"/>
      <c r="AD7" s="13" t="n"/>
      <c r="AE7" s="13" t="n"/>
      <c r="AF7" s="13" t="n"/>
      <c r="AG7" s="13" t="n"/>
      <c r="AH7" s="13" t="n"/>
      <c r="AI7" s="13" t="n"/>
      <c r="AJ7" s="13" t="n"/>
      <c r="AK7" s="13" t="n"/>
      <c r="AL7" s="13" t="n"/>
      <c r="AM7" s="13" t="n"/>
      <c r="AN7" s="13" t="n"/>
      <c r="AO7" s="184" t="n"/>
    </row>
    <row r="8" ht="12.75" customHeight="1">
      <c r="A8" s="514" t="n"/>
      <c r="B8" s="934" t="n"/>
      <c r="C8" s="934" t="n"/>
      <c r="D8" s="934" t="n"/>
      <c r="E8" s="934" t="n"/>
      <c r="F8" s="541">
        <f>+A!G12</f>
        <v/>
      </c>
      <c r="G8" s="934" t="n"/>
      <c r="H8" s="934" t="n"/>
      <c r="I8" s="934" t="n"/>
      <c r="J8" s="934" t="n"/>
      <c r="K8" s="934" t="n"/>
      <c r="L8" s="934" t="n"/>
      <c r="M8" s="934" t="n"/>
      <c r="N8" s="934" t="n"/>
      <c r="O8" s="934" t="n"/>
      <c r="P8" s="934" t="n"/>
      <c r="Q8" s="934" t="n"/>
      <c r="R8" s="934" t="n"/>
      <c r="S8" s="934" t="n"/>
      <c r="T8" s="934" t="n"/>
      <c r="U8" s="934" t="n"/>
      <c r="V8" s="934" t="n"/>
      <c r="W8" s="934" t="n"/>
      <c r="X8" s="934" t="n"/>
      <c r="Y8" s="934" t="n"/>
      <c r="Z8" s="934" t="n"/>
      <c r="AA8" s="934" t="n"/>
      <c r="AB8" s="934" t="n"/>
      <c r="AC8" s="525">
        <f>+A!AG12</f>
        <v/>
      </c>
      <c r="AD8" s="934" t="n"/>
      <c r="AE8" s="934" t="n"/>
      <c r="AF8" s="934" t="n"/>
      <c r="AG8" s="934" t="n"/>
      <c r="AH8" s="934" t="n"/>
      <c r="AI8" s="934" t="n"/>
      <c r="AJ8" s="934" t="n"/>
      <c r="AK8" s="934" t="n"/>
      <c r="AL8" s="934" t="n"/>
      <c r="AM8" s="934" t="n"/>
      <c r="AN8" s="934" t="n"/>
      <c r="AO8" s="935" t="n"/>
    </row>
    <row r="9" ht="12.75" customHeight="1">
      <c r="A9" s="495" t="inlineStr">
        <is>
          <t>STARTING SOUNDING:</t>
        </is>
      </c>
      <c r="B9" s="13" t="n"/>
      <c r="C9" s="13" t="n"/>
      <c r="D9" s="13" t="n"/>
      <c r="E9" s="13" t="n"/>
      <c r="F9" s="13" t="n"/>
      <c r="G9" s="13" t="n"/>
      <c r="H9" s="13" t="n"/>
      <c r="I9" s="13" t="n"/>
      <c r="J9" s="13" t="n"/>
      <c r="K9" s="520" t="inlineStr">
        <is>
          <t>From Hours:</t>
        </is>
      </c>
      <c r="L9" s="13" t="n"/>
      <c r="M9" s="13" t="n"/>
      <c r="N9" s="13" t="n"/>
      <c r="O9" s="496" t="n"/>
      <c r="P9" s="13" t="n"/>
      <c r="Q9" s="13" t="n"/>
      <c r="R9" s="13" t="n"/>
      <c r="S9" s="520" t="inlineStr">
        <is>
          <t>To Hours</t>
        </is>
      </c>
      <c r="T9" s="13" t="n"/>
      <c r="U9" s="13" t="n"/>
      <c r="V9" s="560" t="n"/>
      <c r="W9" s="13" t="n"/>
      <c r="X9" s="13" t="n"/>
      <c r="Y9" s="13" t="n"/>
      <c r="Z9" s="13" t="n"/>
      <c r="AA9" s="13" t="n"/>
      <c r="AB9" s="520" t="inlineStr">
        <is>
          <t>Date:</t>
        </is>
      </c>
      <c r="AC9" s="13" t="n"/>
      <c r="AD9" s="560" t="n"/>
      <c r="AE9" s="13" t="n"/>
      <c r="AF9" s="13" t="n"/>
      <c r="AG9" s="13" t="n"/>
      <c r="AH9" s="13" t="n"/>
      <c r="AI9" s="13" t="n"/>
      <c r="AJ9" s="547" t="inlineStr">
        <is>
          <t>Trim:</t>
        </is>
      </c>
      <c r="AK9" s="13" t="n"/>
      <c r="AL9" s="13" t="n"/>
      <c r="AM9" s="13" t="n"/>
      <c r="AN9" s="13" t="n"/>
      <c r="AO9" s="184" t="n"/>
    </row>
    <row r="10" ht="12.75" customHeight="1">
      <c r="A10" s="514" t="n"/>
      <c r="B10" s="934" t="n"/>
      <c r="C10" s="934" t="n"/>
      <c r="D10" s="934" t="n"/>
      <c r="E10" s="934" t="n"/>
      <c r="F10" s="934" t="n"/>
      <c r="G10" s="934" t="n"/>
      <c r="H10" s="934" t="n"/>
      <c r="I10" s="934" t="n"/>
      <c r="J10" s="934" t="n"/>
      <c r="K10" s="865">
        <f>Draft!T3</f>
        <v/>
      </c>
      <c r="L10" s="934" t="n"/>
      <c r="M10" s="934" t="n"/>
      <c r="N10" s="934" t="n"/>
      <c r="O10" s="934" t="n"/>
      <c r="P10" s="934" t="n"/>
      <c r="Q10" s="934" t="n"/>
      <c r="R10" s="934" t="n"/>
      <c r="S10" s="865">
        <f>Draft!T4</f>
        <v/>
      </c>
      <c r="T10" s="934" t="n"/>
      <c r="U10" s="934" t="n"/>
      <c r="V10" s="934" t="n"/>
      <c r="W10" s="934" t="n"/>
      <c r="X10" s="934" t="n"/>
      <c r="Y10" s="934" t="n"/>
      <c r="Z10" s="934" t="n"/>
      <c r="AA10" s="934" t="n"/>
      <c r="AB10" s="867">
        <f>+Draft!T2</f>
        <v/>
      </c>
      <c r="AC10" s="934" t="n"/>
      <c r="AD10" s="934" t="n"/>
      <c r="AE10" s="934" t="n"/>
      <c r="AF10" s="934" t="n"/>
      <c r="AG10" s="934" t="n"/>
      <c r="AH10" s="934" t="n"/>
      <c r="AI10" s="934" t="n"/>
      <c r="AJ10" s="1251">
        <f>+Draft!E13</f>
        <v/>
      </c>
      <c r="AK10" s="934" t="n"/>
      <c r="AL10" s="934" t="n"/>
      <c r="AM10" s="934" t="n"/>
      <c r="AN10" s="870" t="inlineStr">
        <is>
          <t>M</t>
        </is>
      </c>
      <c r="AO10" s="935" t="n"/>
    </row>
    <row r="11" ht="12.75" customHeight="1">
      <c r="A11" s="1244" t="n"/>
      <c r="B11" s="13" t="n"/>
      <c r="C11" s="13" t="n"/>
      <c r="D11" s="13" t="n"/>
      <c r="E11" s="13" t="n"/>
      <c r="F11" s="13" t="n"/>
      <c r="G11" s="13" t="n"/>
      <c r="H11" s="184" t="n"/>
      <c r="I11" s="1252" t="n"/>
      <c r="J11" s="13" t="n"/>
      <c r="K11" s="13" t="n"/>
      <c r="L11" s="13" t="n"/>
      <c r="M11" s="184" t="n"/>
      <c r="N11" s="1252" t="n"/>
      <c r="O11" s="13" t="n"/>
      <c r="P11" s="13" t="n"/>
      <c r="Q11" s="13" t="n"/>
      <c r="R11" s="184" t="n"/>
      <c r="S11" s="1252" t="inlineStr">
        <is>
          <t>Sounding</t>
        </is>
      </c>
      <c r="T11" s="13" t="n"/>
      <c r="U11" s="13" t="n"/>
      <c r="V11" s="13" t="n"/>
      <c r="W11" s="184" t="n"/>
      <c r="X11" s="1252" t="inlineStr">
        <is>
          <t xml:space="preserve"> </t>
        </is>
      </c>
      <c r="Y11" s="13" t="n"/>
      <c r="Z11" s="13" t="n"/>
      <c r="AA11" s="13" t="n"/>
      <c r="AB11" s="13" t="n"/>
      <c r="AC11" s="184" t="n"/>
      <c r="AD11" s="1252" t="n"/>
      <c r="AE11" s="13" t="n"/>
      <c r="AF11" s="13" t="n"/>
      <c r="AG11" s="13" t="n"/>
      <c r="AH11" s="13" t="n"/>
      <c r="AI11" s="184" t="n"/>
      <c r="AJ11" s="1252" t="n"/>
      <c r="AK11" s="13" t="n"/>
      <c r="AL11" s="13" t="n"/>
      <c r="AM11" s="13" t="n"/>
      <c r="AN11" s="13" t="n"/>
      <c r="AO11" s="184" t="n"/>
    </row>
    <row r="12" ht="12.75" customHeight="1">
      <c r="A12" s="861" t="inlineStr">
        <is>
          <t>Compartment Title.</t>
        </is>
      </c>
      <c r="H12" s="30" t="n"/>
      <c r="I12" s="1253" t="inlineStr">
        <is>
          <t>Maximun</t>
        </is>
      </c>
      <c r="M12" s="30" t="n"/>
      <c r="N12" s="1253" t="inlineStr">
        <is>
          <t>Sounding</t>
        </is>
      </c>
      <c r="R12" s="30" t="n"/>
      <c r="S12" s="1254" t="inlineStr">
        <is>
          <t xml:space="preserve"> / ullage</t>
        </is>
      </c>
      <c r="W12" s="30" t="n"/>
      <c r="X12" s="858" t="inlineStr">
        <is>
          <t>Volume</t>
        </is>
      </c>
      <c r="AC12" s="30" t="n"/>
      <c r="AD12" s="858" t="inlineStr">
        <is>
          <t>Density of</t>
        </is>
      </c>
      <c r="AI12" s="30" t="n"/>
      <c r="AJ12" s="858" t="inlineStr">
        <is>
          <t>Total</t>
        </is>
      </c>
      <c r="AO12" s="30" t="n"/>
    </row>
    <row r="13" ht="12.75" customHeight="1">
      <c r="A13" s="65" t="n"/>
      <c r="B13" s="551" t="inlineStr">
        <is>
          <t>* Tank no.</t>
        </is>
      </c>
      <c r="H13" s="30" t="n"/>
      <c r="I13" s="1254" t="inlineStr">
        <is>
          <t>height</t>
        </is>
      </c>
      <c r="M13" s="30" t="n"/>
      <c r="N13" s="1254" t="inlineStr">
        <is>
          <t xml:space="preserve"> / ullage</t>
        </is>
      </c>
      <c r="R13" s="30" t="n"/>
      <c r="S13" s="1254" t="inlineStr">
        <is>
          <t>corrected for</t>
        </is>
      </c>
      <c r="W13" s="30" t="n"/>
      <c r="X13" s="858" t="inlineStr">
        <is>
          <t>corrected</t>
        </is>
      </c>
      <c r="AC13" s="30" t="n"/>
      <c r="AD13" s="858" t="inlineStr">
        <is>
          <t>Water</t>
        </is>
      </c>
      <c r="AI13" s="30" t="n"/>
      <c r="AJ13" s="858" t="inlineStr">
        <is>
          <t>weight</t>
        </is>
      </c>
      <c r="AO13" s="30" t="n"/>
    </row>
    <row r="14" ht="12.75" customHeight="1">
      <c r="A14" s="65" t="n"/>
      <c r="B14" s="551" t="inlineStr">
        <is>
          <t>* Bilges</t>
        </is>
      </c>
      <c r="H14" s="30" t="n"/>
      <c r="I14" s="1253" t="inlineStr">
        <is>
          <t>meausured (*)</t>
        </is>
      </c>
      <c r="M14" s="30" t="n"/>
      <c r="N14" s="1253" t="inlineStr">
        <is>
          <t>metres</t>
        </is>
      </c>
      <c r="R14" s="30" t="n"/>
      <c r="S14" s="1254" t="inlineStr">
        <is>
          <t>trim / list</t>
        </is>
      </c>
      <c r="W14" s="30" t="n"/>
      <c r="X14" s="858" t="inlineStr">
        <is>
          <t>for trim / list</t>
        </is>
      </c>
      <c r="AC14" s="30" t="n"/>
      <c r="AD14" s="858" t="inlineStr">
        <is>
          <t>in air</t>
        </is>
      </c>
      <c r="AI14" s="30" t="n"/>
      <c r="AJ14" s="858" t="inlineStr">
        <is>
          <t>Metric</t>
        </is>
      </c>
      <c r="AO14" s="30" t="n"/>
    </row>
    <row r="15" ht="12.75" customHeight="1">
      <c r="A15" s="66" t="n"/>
      <c r="B15" s="889" t="inlineStr">
        <is>
          <t>* Duct Keel</t>
        </is>
      </c>
      <c r="C15" s="934" t="n"/>
      <c r="D15" s="934" t="n"/>
      <c r="E15" s="934" t="n"/>
      <c r="F15" s="934" t="n"/>
      <c r="G15" s="934" t="n"/>
      <c r="H15" s="935" t="n"/>
      <c r="I15" s="1255" t="inlineStr">
        <is>
          <t>metres</t>
        </is>
      </c>
      <c r="J15" s="934" t="n"/>
      <c r="K15" s="934" t="n"/>
      <c r="L15" s="934" t="n"/>
      <c r="M15" s="935" t="n"/>
      <c r="N15" s="1255" t="n"/>
      <c r="O15" s="934" t="n"/>
      <c r="P15" s="934" t="n"/>
      <c r="Q15" s="934" t="n"/>
      <c r="R15" s="935" t="n"/>
      <c r="S15" s="1255" t="inlineStr">
        <is>
          <t>metres</t>
        </is>
      </c>
      <c r="T15" s="934" t="n"/>
      <c r="U15" s="934" t="n"/>
      <c r="V15" s="934" t="n"/>
      <c r="W15" s="935" t="n"/>
      <c r="X15" s="859" t="inlineStr">
        <is>
          <t>m3</t>
        </is>
      </c>
      <c r="Y15" s="934" t="n"/>
      <c r="Z15" s="934" t="n"/>
      <c r="AA15" s="934" t="n"/>
      <c r="AB15" s="934" t="n"/>
      <c r="AC15" s="935" t="n"/>
      <c r="AD15" s="859" t="inlineStr">
        <is>
          <t>Kg/m3</t>
        </is>
      </c>
      <c r="AE15" s="934" t="n"/>
      <c r="AF15" s="934" t="n"/>
      <c r="AG15" s="934" t="n"/>
      <c r="AH15" s="934" t="n"/>
      <c r="AI15" s="935" t="n"/>
      <c r="AJ15" s="859" t="inlineStr">
        <is>
          <t>tonnes</t>
        </is>
      </c>
      <c r="AK15" s="934" t="n"/>
      <c r="AL15" s="934" t="n"/>
      <c r="AM15" s="934" t="n"/>
      <c r="AN15" s="934" t="n"/>
      <c r="AO15" s="935" t="n"/>
    </row>
    <row r="16" ht="12.75" customHeight="1">
      <c r="A16" s="23" t="n"/>
      <c r="B16" s="24" t="inlineStr">
        <is>
          <t>A - BALLAST</t>
        </is>
      </c>
      <c r="C16" s="24" t="n"/>
      <c r="D16" s="25" t="n"/>
      <c r="E16" s="25" t="n"/>
      <c r="F16" s="25" t="n"/>
      <c r="G16" s="25" t="n"/>
      <c r="H16" s="25" t="n"/>
      <c r="I16" s="67" t="n"/>
      <c r="J16" s="67" t="n"/>
      <c r="K16" s="67" t="n"/>
      <c r="L16" s="67" t="n"/>
      <c r="M16" s="67" t="n"/>
      <c r="N16" s="67" t="n"/>
      <c r="X16" s="25" t="n"/>
      <c r="AC16" s="27" t="n"/>
      <c r="AD16" s="67" t="n"/>
      <c r="AI16" s="67" t="n"/>
      <c r="AJ16" s="25" t="n"/>
      <c r="AO16" s="27" t="n"/>
    </row>
    <row r="17" ht="6" customHeight="1">
      <c r="A17" s="8" t="n"/>
      <c r="B17" s="15" t="n"/>
      <c r="C17" s="15" t="n"/>
      <c r="D17" s="16" t="n"/>
      <c r="E17" s="16" t="n"/>
      <c r="F17" s="16" t="n"/>
      <c r="G17" s="16" t="n"/>
      <c r="H17" s="16" t="n"/>
      <c r="I17" s="16" t="n"/>
      <c r="J17" s="16" t="n"/>
      <c r="K17" s="16" t="n"/>
      <c r="L17" s="16" t="n"/>
      <c r="M17" s="16" t="n"/>
      <c r="N17" s="16" t="n"/>
      <c r="X17" s="25" t="n"/>
      <c r="AC17" s="27" t="n"/>
      <c r="AD17" s="25" t="n"/>
      <c r="AI17" s="25" t="n"/>
      <c r="AJ17" s="25" t="n"/>
      <c r="AO17" s="27" t="n"/>
    </row>
    <row r="18" ht="12.75" customHeight="1">
      <c r="A18" s="68" t="n"/>
      <c r="B18" s="550">
        <f>+Deductions!A11</f>
        <v/>
      </c>
      <c r="C18" s="13" t="n"/>
      <c r="D18" s="13" t="n"/>
      <c r="E18" s="13" t="n"/>
      <c r="F18" s="13" t="n"/>
      <c r="G18" s="13" t="n"/>
      <c r="H18" s="184" t="n"/>
      <c r="I18" s="1256">
        <f>+Deductions!D11</f>
        <v/>
      </c>
      <c r="J18" s="13" t="n"/>
      <c r="K18" s="13" t="n"/>
      <c r="L18" s="13" t="n"/>
      <c r="M18" s="184" t="n"/>
      <c r="N18" s="1256">
        <f>+Deductions!G11</f>
        <v/>
      </c>
      <c r="O18" s="13" t="n"/>
      <c r="P18" s="13" t="n"/>
      <c r="Q18" s="13" t="n"/>
      <c r="R18" s="184" t="n"/>
      <c r="S18" s="1256" t="n"/>
      <c r="T18" s="13" t="n"/>
      <c r="U18" s="13" t="n"/>
      <c r="V18" s="13" t="n"/>
      <c r="W18" s="184" t="n"/>
      <c r="X18" s="1257">
        <f>+Deductions!J11</f>
        <v/>
      </c>
      <c r="Y18" s="13" t="n"/>
      <c r="Z18" s="13" t="n"/>
      <c r="AA18" s="13" t="n"/>
      <c r="AB18" s="13" t="n"/>
      <c r="AC18" s="184" t="n"/>
      <c r="AD18" s="1258">
        <f>+Deductions!M11</f>
        <v/>
      </c>
      <c r="AE18" s="13" t="n"/>
      <c r="AF18" s="13" t="n"/>
      <c r="AG18" s="13" t="n"/>
      <c r="AH18" s="13" t="n"/>
      <c r="AI18" s="184" t="n"/>
      <c r="AJ18" s="1257">
        <f>+Deductions!P11</f>
        <v/>
      </c>
      <c r="AK18" s="13" t="n"/>
      <c r="AL18" s="13" t="n"/>
      <c r="AM18" s="13" t="n"/>
      <c r="AN18" s="13" t="n"/>
      <c r="AO18" s="184" t="n"/>
    </row>
    <row r="19" ht="12.75" customHeight="1">
      <c r="A19" s="65" t="n"/>
      <c r="B19" s="513">
        <f>+Deductions!A12</f>
        <v/>
      </c>
      <c r="H19" s="30" t="n"/>
      <c r="I19" s="1259">
        <f>+Deductions!D12</f>
        <v/>
      </c>
      <c r="M19" s="30" t="n"/>
      <c r="N19" s="1259">
        <f>+Deductions!G12</f>
        <v/>
      </c>
      <c r="R19" s="30" t="n"/>
      <c r="S19" s="1259" t="n"/>
      <c r="W19" s="30" t="n"/>
      <c r="X19" s="1260">
        <f>+Deductions!J12</f>
        <v/>
      </c>
      <c r="AC19" s="30" t="n"/>
      <c r="AD19" s="1261">
        <f>+Deductions!M12</f>
        <v/>
      </c>
      <c r="AI19" s="30" t="n"/>
      <c r="AJ19" s="1260">
        <f>+Deductions!P12</f>
        <v/>
      </c>
      <c r="AO19" s="30" t="n"/>
    </row>
    <row r="20" ht="12.75" customHeight="1">
      <c r="A20" s="65" t="n"/>
      <c r="B20" s="513">
        <f>+Deductions!A13</f>
        <v/>
      </c>
      <c r="H20" s="30" t="n"/>
      <c r="I20" s="1259">
        <f>+Deductions!D13</f>
        <v/>
      </c>
      <c r="M20" s="30" t="n"/>
      <c r="N20" s="1259">
        <f>+Deductions!G13</f>
        <v/>
      </c>
      <c r="R20" s="30" t="n"/>
      <c r="S20" s="1259" t="n"/>
      <c r="W20" s="30" t="n"/>
      <c r="X20" s="1260">
        <f>+Deductions!J13</f>
        <v/>
      </c>
      <c r="AC20" s="30" t="n"/>
      <c r="AD20" s="1261">
        <f>+Deductions!M13</f>
        <v/>
      </c>
      <c r="AI20" s="30" t="n"/>
      <c r="AJ20" s="1260">
        <f>+Deductions!P13</f>
        <v/>
      </c>
      <c r="AO20" s="30" t="n"/>
    </row>
    <row r="21" ht="12.75" customHeight="1">
      <c r="A21" s="65" t="n"/>
      <c r="B21" s="513">
        <f>+Deductions!A14</f>
        <v/>
      </c>
      <c r="H21" s="30" t="n"/>
      <c r="I21" s="1259">
        <f>+Deductions!D14</f>
        <v/>
      </c>
      <c r="M21" s="30" t="n"/>
      <c r="N21" s="1259">
        <f>+Deductions!G14</f>
        <v/>
      </c>
      <c r="R21" s="30" t="n"/>
      <c r="S21" s="1259" t="n"/>
      <c r="W21" s="30" t="n"/>
      <c r="X21" s="1260">
        <f>+Deductions!J14</f>
        <v/>
      </c>
      <c r="AC21" s="30" t="n"/>
      <c r="AD21" s="1261">
        <f>+Deductions!M14</f>
        <v/>
      </c>
      <c r="AI21" s="30" t="n"/>
      <c r="AJ21" s="1260">
        <f>+Deductions!P14</f>
        <v/>
      </c>
      <c r="AO21" s="30" t="n"/>
    </row>
    <row r="22" ht="12.75" customHeight="1">
      <c r="A22" s="65" t="n"/>
      <c r="B22" s="513">
        <f>+Deductions!A15</f>
        <v/>
      </c>
      <c r="H22" s="30" t="n"/>
      <c r="I22" s="1259">
        <f>+Deductions!D15</f>
        <v/>
      </c>
      <c r="M22" s="30" t="n"/>
      <c r="N22" s="1259">
        <f>+Deductions!G15</f>
        <v/>
      </c>
      <c r="R22" s="30" t="n"/>
      <c r="S22" s="1259" t="n"/>
      <c r="W22" s="30" t="n"/>
      <c r="X22" s="1260">
        <f>+Deductions!J15</f>
        <v/>
      </c>
      <c r="AC22" s="30" t="n"/>
      <c r="AD22" s="1261">
        <f>+Deductions!M15</f>
        <v/>
      </c>
      <c r="AI22" s="30" t="n"/>
      <c r="AJ22" s="1260">
        <f>+Deductions!P15</f>
        <v/>
      </c>
      <c r="AO22" s="30" t="n"/>
    </row>
    <row r="23" ht="12.75" customHeight="1">
      <c r="A23" s="65" t="n"/>
      <c r="B23" s="513">
        <f>+Deductions!A16</f>
        <v/>
      </c>
      <c r="H23" s="30" t="n"/>
      <c r="I23" s="1259">
        <f>+Deductions!D16</f>
        <v/>
      </c>
      <c r="M23" s="30" t="n"/>
      <c r="N23" s="1259">
        <f>+Deductions!G16</f>
        <v/>
      </c>
      <c r="R23" s="30" t="n"/>
      <c r="S23" s="1259" t="n"/>
      <c r="W23" s="30" t="n"/>
      <c r="X23" s="1260">
        <f>+Deductions!J16</f>
        <v/>
      </c>
      <c r="AC23" s="30" t="n"/>
      <c r="AD23" s="1261">
        <f>+Deductions!M16</f>
        <v/>
      </c>
      <c r="AI23" s="30" t="n"/>
      <c r="AJ23" s="1260">
        <f>+Deductions!P16</f>
        <v/>
      </c>
      <c r="AO23" s="30" t="n"/>
    </row>
    <row r="24" ht="12.75" customHeight="1">
      <c r="A24" s="65" t="n"/>
      <c r="B24" s="513">
        <f>+Deductions!A17</f>
        <v/>
      </c>
      <c r="H24" s="30" t="n"/>
      <c r="I24" s="1259">
        <f>+Deductions!D17</f>
        <v/>
      </c>
      <c r="M24" s="30" t="n"/>
      <c r="N24" s="1259">
        <f>+Deductions!G17</f>
        <v/>
      </c>
      <c r="R24" s="30" t="n"/>
      <c r="S24" s="1259" t="n"/>
      <c r="W24" s="30" t="n"/>
      <c r="X24" s="1260">
        <f>+Deductions!J17</f>
        <v/>
      </c>
      <c r="AC24" s="30" t="n"/>
      <c r="AD24" s="1261">
        <f>+Deductions!M17</f>
        <v/>
      </c>
      <c r="AI24" s="30" t="n"/>
      <c r="AJ24" s="1260">
        <f>+Deductions!P17</f>
        <v/>
      </c>
      <c r="AO24" s="30" t="n"/>
    </row>
    <row r="25" ht="12.75" customHeight="1">
      <c r="A25" s="65" t="n"/>
      <c r="B25" s="513">
        <f>+Deductions!A18</f>
        <v/>
      </c>
      <c r="H25" s="30" t="n"/>
      <c r="I25" s="1259">
        <f>+Deductions!D18</f>
        <v/>
      </c>
      <c r="M25" s="30" t="n"/>
      <c r="N25" s="1259">
        <f>+Deductions!G18</f>
        <v/>
      </c>
      <c r="R25" s="30" t="n"/>
      <c r="S25" s="1259" t="n"/>
      <c r="W25" s="30" t="n"/>
      <c r="X25" s="1260">
        <f>+Deductions!J18</f>
        <v/>
      </c>
      <c r="AC25" s="30" t="n"/>
      <c r="AD25" s="1261">
        <f>+Deductions!M18</f>
        <v/>
      </c>
      <c r="AI25" s="30" t="n"/>
      <c r="AJ25" s="1260">
        <f>+Deductions!P18</f>
        <v/>
      </c>
      <c r="AO25" s="30" t="n"/>
    </row>
    <row r="26" ht="12.75" customHeight="1">
      <c r="A26" s="65" t="n"/>
      <c r="B26" s="513">
        <f>+Deductions!A19</f>
        <v/>
      </c>
      <c r="H26" s="30" t="n"/>
      <c r="I26" s="1259">
        <f>+Deductions!D19</f>
        <v/>
      </c>
      <c r="M26" s="30" t="n"/>
      <c r="N26" s="1259">
        <f>+Deductions!G19</f>
        <v/>
      </c>
      <c r="R26" s="30" t="n"/>
      <c r="S26" s="1259" t="n"/>
      <c r="W26" s="30" t="n"/>
      <c r="X26" s="1260">
        <f>+Deductions!J19</f>
        <v/>
      </c>
      <c r="AC26" s="30" t="n"/>
      <c r="AD26" s="1261">
        <f>+Deductions!M19</f>
        <v/>
      </c>
      <c r="AI26" s="30" t="n"/>
      <c r="AJ26" s="1260">
        <f>+Deductions!P19</f>
        <v/>
      </c>
      <c r="AO26" s="30" t="n"/>
    </row>
    <row r="27" ht="12.75" customHeight="1">
      <c r="A27" s="65" t="n"/>
      <c r="B27" s="513">
        <f>+Deductions!A20</f>
        <v/>
      </c>
      <c r="H27" s="30" t="n"/>
      <c r="I27" s="1259">
        <f>+Deductions!D20</f>
        <v/>
      </c>
      <c r="M27" s="30" t="n"/>
      <c r="N27" s="1259">
        <f>+Deductions!G20</f>
        <v/>
      </c>
      <c r="R27" s="30" t="n"/>
      <c r="S27" s="1259" t="n"/>
      <c r="W27" s="30" t="n"/>
      <c r="X27" s="1260">
        <f>+Deductions!J20</f>
        <v/>
      </c>
      <c r="AC27" s="30" t="n"/>
      <c r="AD27" s="1261">
        <f>+Deductions!M20</f>
        <v/>
      </c>
      <c r="AI27" s="30" t="n"/>
      <c r="AJ27" s="1260">
        <f>+Deductions!P20</f>
        <v/>
      </c>
      <c r="AO27" s="30" t="n"/>
    </row>
    <row r="28" ht="12.75" customHeight="1">
      <c r="A28" s="65" t="n"/>
      <c r="B28" s="513">
        <f>+Deductions!A21</f>
        <v/>
      </c>
      <c r="H28" s="30" t="n"/>
      <c r="I28" s="1259">
        <f>+Deductions!D21</f>
        <v/>
      </c>
      <c r="M28" s="30" t="n"/>
      <c r="N28" s="1259">
        <f>+Deductions!G21</f>
        <v/>
      </c>
      <c r="R28" s="30" t="n"/>
      <c r="S28" s="1259" t="n"/>
      <c r="W28" s="30" t="n"/>
      <c r="X28" s="1260">
        <f>+Deductions!J21</f>
        <v/>
      </c>
      <c r="AC28" s="30" t="n"/>
      <c r="AD28" s="1261">
        <f>+Deductions!M21</f>
        <v/>
      </c>
      <c r="AI28" s="30" t="n"/>
      <c r="AJ28" s="1260">
        <f>+Deductions!P21</f>
        <v/>
      </c>
      <c r="AO28" s="30" t="n"/>
    </row>
    <row r="29" ht="12.75" customHeight="1">
      <c r="A29" s="65" t="n"/>
      <c r="B29" s="513">
        <f>+Deductions!A22</f>
        <v/>
      </c>
      <c r="H29" s="30" t="n"/>
      <c r="I29" s="1259">
        <f>+Deductions!D22</f>
        <v/>
      </c>
      <c r="M29" s="30" t="n"/>
      <c r="N29" s="1259">
        <f>+Deductions!G22</f>
        <v/>
      </c>
      <c r="R29" s="30" t="n"/>
      <c r="S29" s="1259" t="n"/>
      <c r="W29" s="30" t="n"/>
      <c r="X29" s="1260">
        <f>+Deductions!J22</f>
        <v/>
      </c>
      <c r="AC29" s="30" t="n"/>
      <c r="AD29" s="1261">
        <f>+Deductions!M22</f>
        <v/>
      </c>
      <c r="AI29" s="30" t="n"/>
      <c r="AJ29" s="1260">
        <f>+Deductions!P22</f>
        <v/>
      </c>
      <c r="AO29" s="30" t="n"/>
    </row>
    <row r="30" ht="12.75" customHeight="1">
      <c r="A30" s="65" t="n"/>
      <c r="B30" s="513">
        <f>+Deductions!A23</f>
        <v/>
      </c>
      <c r="H30" s="30" t="n"/>
      <c r="I30" s="1259">
        <f>+Deductions!D23</f>
        <v/>
      </c>
      <c r="M30" s="30" t="n"/>
      <c r="N30" s="1259">
        <f>+Deductions!G23</f>
        <v/>
      </c>
      <c r="R30" s="30" t="n"/>
      <c r="S30" s="1259" t="n"/>
      <c r="W30" s="30" t="n"/>
      <c r="X30" s="1260">
        <f>+Deductions!J23</f>
        <v/>
      </c>
      <c r="AC30" s="30" t="n"/>
      <c r="AD30" s="1261">
        <f>+Deductions!M23</f>
        <v/>
      </c>
      <c r="AI30" s="30" t="n"/>
      <c r="AJ30" s="1260">
        <f>+Deductions!P23</f>
        <v/>
      </c>
      <c r="AO30" s="30" t="n"/>
    </row>
    <row r="31" ht="12.75" customHeight="1">
      <c r="A31" s="65" t="n"/>
      <c r="B31" s="513">
        <f>+Deductions!A24</f>
        <v/>
      </c>
      <c r="H31" s="30" t="n"/>
      <c r="I31" s="1259">
        <f>+Deductions!D24</f>
        <v/>
      </c>
      <c r="M31" s="30" t="n"/>
      <c r="N31" s="1259">
        <f>+Deductions!G24</f>
        <v/>
      </c>
      <c r="R31" s="30" t="n"/>
      <c r="S31" s="1259" t="n"/>
      <c r="W31" s="30" t="n"/>
      <c r="X31" s="1260">
        <f>+Deductions!J24</f>
        <v/>
      </c>
      <c r="AC31" s="30" t="n"/>
      <c r="AD31" s="1261">
        <f>+Deductions!M24</f>
        <v/>
      </c>
      <c r="AI31" s="30" t="n"/>
      <c r="AJ31" s="1260">
        <f>+Deductions!P24</f>
        <v/>
      </c>
      <c r="AO31" s="30" t="n"/>
    </row>
    <row r="32" ht="12.75" customHeight="1">
      <c r="A32" s="65" t="n"/>
      <c r="B32" s="513">
        <f>+Deductions!A25</f>
        <v/>
      </c>
      <c r="H32" s="30" t="n"/>
      <c r="I32" s="1259">
        <f>+Deductions!D25</f>
        <v/>
      </c>
      <c r="M32" s="30" t="n"/>
      <c r="N32" s="1259">
        <f>+Deductions!G25</f>
        <v/>
      </c>
      <c r="R32" s="30" t="n"/>
      <c r="S32" s="1259" t="n"/>
      <c r="W32" s="30" t="n"/>
      <c r="X32" s="1260">
        <f>+Deductions!J25</f>
        <v/>
      </c>
      <c r="AC32" s="30" t="n"/>
      <c r="AD32" s="1261">
        <f>+Deductions!M25</f>
        <v/>
      </c>
      <c r="AI32" s="30" t="n"/>
      <c r="AJ32" s="1260">
        <f>+Deductions!P25</f>
        <v/>
      </c>
      <c r="AO32" s="30" t="n"/>
    </row>
    <row r="33" ht="12.75" customHeight="1">
      <c r="A33" s="65" t="n"/>
      <c r="B33" s="513">
        <f>+Deductions!A26</f>
        <v/>
      </c>
      <c r="H33" s="30" t="n"/>
      <c r="I33" s="1259">
        <f>+Deductions!D26</f>
        <v/>
      </c>
      <c r="M33" s="30" t="n"/>
      <c r="N33" s="1259">
        <f>+Deductions!G26</f>
        <v/>
      </c>
      <c r="R33" s="30" t="n"/>
      <c r="S33" s="1259" t="n"/>
      <c r="W33" s="30" t="n"/>
      <c r="X33" s="1260">
        <f>+Deductions!J26</f>
        <v/>
      </c>
      <c r="AC33" s="30" t="n"/>
      <c r="AD33" s="1261">
        <f>+Deductions!M26</f>
        <v/>
      </c>
      <c r="AI33" s="30" t="n"/>
      <c r="AJ33" s="1260">
        <f>+Deductions!P26</f>
        <v/>
      </c>
      <c r="AO33" s="30" t="n"/>
    </row>
    <row r="34" ht="12.75" customHeight="1">
      <c r="A34" s="65" t="n"/>
      <c r="B34" s="513">
        <f>+Deductions!A27</f>
        <v/>
      </c>
      <c r="H34" s="30" t="n"/>
      <c r="I34" s="1259">
        <f>+Deductions!D27</f>
        <v/>
      </c>
      <c r="M34" s="30" t="n"/>
      <c r="N34" s="1259">
        <f>+Deductions!G27</f>
        <v/>
      </c>
      <c r="R34" s="30" t="n"/>
      <c r="S34" s="1259" t="n"/>
      <c r="W34" s="30" t="n"/>
      <c r="X34" s="1260">
        <f>+Deductions!J27</f>
        <v/>
      </c>
      <c r="AC34" s="30" t="n"/>
      <c r="AD34" s="1261">
        <f>+Deductions!M27</f>
        <v/>
      </c>
      <c r="AI34" s="30" t="n"/>
      <c r="AJ34" s="1260">
        <f>+Deductions!P27</f>
        <v/>
      </c>
      <c r="AO34" s="30" t="n"/>
    </row>
    <row r="35" ht="12.75" customHeight="1">
      <c r="A35" s="65" t="n"/>
      <c r="B35" s="513">
        <f>+Deductions!A28</f>
        <v/>
      </c>
      <c r="H35" s="30" t="n"/>
      <c r="I35" s="1259">
        <f>+Deductions!D28</f>
        <v/>
      </c>
      <c r="M35" s="30" t="n"/>
      <c r="N35" s="1259">
        <f>+Deductions!G28</f>
        <v/>
      </c>
      <c r="R35" s="30" t="n"/>
      <c r="S35" s="1259" t="n"/>
      <c r="W35" s="30" t="n"/>
      <c r="X35" s="1260">
        <f>+Deductions!J28</f>
        <v/>
      </c>
      <c r="AC35" s="30" t="n"/>
      <c r="AD35" s="1261">
        <f>+Deductions!M28</f>
        <v/>
      </c>
      <c r="AI35" s="30" t="n"/>
      <c r="AJ35" s="1260">
        <f>+Deductions!P28</f>
        <v/>
      </c>
      <c r="AO35" s="30" t="n"/>
    </row>
    <row r="36" ht="12.75" customHeight="1">
      <c r="A36" s="65" t="n"/>
      <c r="B36" s="513">
        <f>+Deductions!A29</f>
        <v/>
      </c>
      <c r="H36" s="30" t="n"/>
      <c r="I36" s="1259">
        <f>+Deductions!D29</f>
        <v/>
      </c>
      <c r="M36" s="30" t="n"/>
      <c r="N36" s="1259">
        <f>+Deductions!G29</f>
        <v/>
      </c>
      <c r="R36" s="30" t="n"/>
      <c r="S36" s="1259" t="n"/>
      <c r="W36" s="30" t="n"/>
      <c r="X36" s="1260">
        <f>+Deductions!J29</f>
        <v/>
      </c>
      <c r="AC36" s="30" t="n"/>
      <c r="AD36" s="1261">
        <f>+Deductions!M29</f>
        <v/>
      </c>
      <c r="AI36" s="30" t="n"/>
      <c r="AJ36" s="1260">
        <f>+Deductions!P29</f>
        <v/>
      </c>
      <c r="AO36" s="30" t="n"/>
    </row>
    <row r="37" ht="12.75" customHeight="1">
      <c r="A37" s="65" t="n"/>
      <c r="B37" s="513">
        <f>+Deductions!A30</f>
        <v/>
      </c>
      <c r="H37" s="30" t="n"/>
      <c r="I37" s="1259">
        <f>+Deductions!D30</f>
        <v/>
      </c>
      <c r="M37" s="30" t="n"/>
      <c r="N37" s="1259">
        <f>+Deductions!G30</f>
        <v/>
      </c>
      <c r="R37" s="30" t="n"/>
      <c r="S37" s="1259" t="n"/>
      <c r="W37" s="30" t="n"/>
      <c r="X37" s="1260">
        <f>+Deductions!J30</f>
        <v/>
      </c>
      <c r="AC37" s="30" t="n"/>
      <c r="AD37" s="1261">
        <f>+Deductions!M30</f>
        <v/>
      </c>
      <c r="AI37" s="30" t="n"/>
      <c r="AJ37" s="1260">
        <f>+Deductions!P30</f>
        <v/>
      </c>
      <c r="AO37" s="30" t="n"/>
    </row>
    <row r="38" ht="12.75" customHeight="1">
      <c r="A38" s="65" t="n"/>
      <c r="B38" s="513">
        <f>+Deductions!A31</f>
        <v/>
      </c>
      <c r="H38" s="30" t="n"/>
      <c r="I38" s="1259">
        <f>+Deductions!D31</f>
        <v/>
      </c>
      <c r="M38" s="30" t="n"/>
      <c r="N38" s="1259">
        <f>+Deductions!G31</f>
        <v/>
      </c>
      <c r="R38" s="30" t="n"/>
      <c r="S38" s="1259" t="n"/>
      <c r="W38" s="30" t="n"/>
      <c r="X38" s="1260">
        <f>+Deductions!J31</f>
        <v/>
      </c>
      <c r="AC38" s="30" t="n"/>
      <c r="AD38" s="1261">
        <f>+Deductions!M31</f>
        <v/>
      </c>
      <c r="AI38" s="30" t="n"/>
      <c r="AJ38" s="1260">
        <f>+Deductions!P31</f>
        <v/>
      </c>
      <c r="AO38" s="30" t="n"/>
    </row>
    <row r="39" ht="12.75" customHeight="1">
      <c r="A39" s="65" t="n"/>
      <c r="B39" s="513">
        <f>+Deductions!A32</f>
        <v/>
      </c>
      <c r="H39" s="30" t="n"/>
      <c r="I39" s="1259">
        <f>+Deductions!D32</f>
        <v/>
      </c>
      <c r="M39" s="30" t="n"/>
      <c r="N39" s="1259">
        <f>+Deductions!G32</f>
        <v/>
      </c>
      <c r="R39" s="30" t="n"/>
      <c r="S39" s="1259" t="n"/>
      <c r="W39" s="30" t="n"/>
      <c r="X39" s="1260">
        <f>+Deductions!J32</f>
        <v/>
      </c>
      <c r="AC39" s="30" t="n"/>
      <c r="AD39" s="1261">
        <f>+Deductions!M32</f>
        <v/>
      </c>
      <c r="AI39" s="30" t="n"/>
      <c r="AJ39" s="1260">
        <f>+Deductions!P32</f>
        <v/>
      </c>
      <c r="AO39" s="30" t="n"/>
    </row>
    <row r="40" ht="12.75" customHeight="1">
      <c r="A40" s="65" t="n"/>
      <c r="B40" s="513">
        <f>+Deductions!A33</f>
        <v/>
      </c>
      <c r="H40" s="30" t="n"/>
      <c r="I40" s="1259">
        <f>+Deductions!D33</f>
        <v/>
      </c>
      <c r="M40" s="30" t="n"/>
      <c r="N40" s="1259">
        <f>+Deductions!G33</f>
        <v/>
      </c>
      <c r="R40" s="30" t="n"/>
      <c r="S40" s="1259" t="n"/>
      <c r="W40" s="30" t="n"/>
      <c r="X40" s="1260">
        <f>+Deductions!J33</f>
        <v/>
      </c>
      <c r="AC40" s="30" t="n"/>
      <c r="AD40" s="1261">
        <f>+Deductions!M33</f>
        <v/>
      </c>
      <c r="AI40" s="30" t="n"/>
      <c r="AJ40" s="1260">
        <f>+Deductions!P33</f>
        <v/>
      </c>
      <c r="AO40" s="30" t="n"/>
    </row>
    <row r="41" ht="12.75" customHeight="1">
      <c r="A41" s="65" t="n"/>
      <c r="B41" s="513">
        <f>+Deductions!A34</f>
        <v/>
      </c>
      <c r="H41" s="30" t="n"/>
      <c r="I41" s="1259">
        <f>+Deductions!D34</f>
        <v/>
      </c>
      <c r="M41" s="30" t="n"/>
      <c r="N41" s="1259">
        <f>+Deductions!G34</f>
        <v/>
      </c>
      <c r="R41" s="30" t="n"/>
      <c r="S41" s="1259" t="n"/>
      <c r="W41" s="30" t="n"/>
      <c r="X41" s="1260">
        <f>+Deductions!J34</f>
        <v/>
      </c>
      <c r="AC41" s="30" t="n"/>
      <c r="AD41" s="1261">
        <f>+Deductions!M34</f>
        <v/>
      </c>
      <c r="AI41" s="30" t="n"/>
      <c r="AJ41" s="1260">
        <f>+Deductions!P34</f>
        <v/>
      </c>
      <c r="AO41" s="30" t="n"/>
    </row>
    <row r="42" ht="12.75" customHeight="1">
      <c r="A42" s="65" t="n"/>
      <c r="B42" s="513">
        <f>+Deductions!A35</f>
        <v/>
      </c>
      <c r="H42" s="30" t="n"/>
      <c r="I42" s="1259">
        <f>+Deductions!D35</f>
        <v/>
      </c>
      <c r="M42" s="30" t="n"/>
      <c r="N42" s="1259">
        <f>+Deductions!G35</f>
        <v/>
      </c>
      <c r="R42" s="30" t="n"/>
      <c r="S42" s="1259" t="n"/>
      <c r="W42" s="30" t="n"/>
      <c r="X42" s="1260">
        <f>+Deductions!J35</f>
        <v/>
      </c>
      <c r="AC42" s="30" t="n"/>
      <c r="AD42" s="1261">
        <f>+Deductions!M35</f>
        <v/>
      </c>
      <c r="AI42" s="30" t="n"/>
      <c r="AJ42" s="1260">
        <f>+Deductions!P35</f>
        <v/>
      </c>
      <c r="AO42" s="30" t="n"/>
    </row>
    <row r="43" ht="12.75" customHeight="1">
      <c r="A43" s="65" t="n"/>
      <c r="B43" s="513">
        <f>+Deductions!A36</f>
        <v/>
      </c>
      <c r="H43" s="30" t="n"/>
      <c r="I43" s="1259">
        <f>+Deductions!D36</f>
        <v/>
      </c>
      <c r="M43" s="30" t="n"/>
      <c r="N43" s="1259">
        <f>+Deductions!G36</f>
        <v/>
      </c>
      <c r="R43" s="30" t="n"/>
      <c r="S43" s="1259" t="n"/>
      <c r="W43" s="30" t="n"/>
      <c r="X43" s="1260">
        <f>+Deductions!J36</f>
        <v/>
      </c>
      <c r="AC43" s="30" t="n"/>
      <c r="AD43" s="1261">
        <f>+Deductions!M36</f>
        <v/>
      </c>
      <c r="AI43" s="30" t="n"/>
      <c r="AJ43" s="1260">
        <f>+Deductions!P36</f>
        <v/>
      </c>
      <c r="AO43" s="30" t="n"/>
    </row>
    <row r="44" ht="12.75" customHeight="1">
      <c r="A44" s="66" t="n"/>
      <c r="B44" s="519">
        <f>+Deductions!A37</f>
        <v/>
      </c>
      <c r="C44" s="934" t="n"/>
      <c r="D44" s="934" t="n"/>
      <c r="E44" s="934" t="n"/>
      <c r="F44" s="934" t="n"/>
      <c r="G44" s="934" t="n"/>
      <c r="H44" s="935" t="n"/>
      <c r="I44" s="1262">
        <f>+Deductions!D37</f>
        <v/>
      </c>
      <c r="J44" s="934" t="n"/>
      <c r="K44" s="934" t="n"/>
      <c r="L44" s="934" t="n"/>
      <c r="M44" s="935" t="n"/>
      <c r="N44" s="1262">
        <f>+Deductions!G37</f>
        <v/>
      </c>
      <c r="O44" s="934" t="n"/>
      <c r="P44" s="934" t="n"/>
      <c r="Q44" s="934" t="n"/>
      <c r="R44" s="935" t="n"/>
      <c r="S44" s="1262" t="n"/>
      <c r="T44" s="934" t="n"/>
      <c r="U44" s="934" t="n"/>
      <c r="V44" s="934" t="n"/>
      <c r="W44" s="935" t="n"/>
      <c r="X44" s="1263">
        <f>+Deductions!J37</f>
        <v/>
      </c>
      <c r="Y44" s="934" t="n"/>
      <c r="Z44" s="934" t="n"/>
      <c r="AA44" s="934" t="n"/>
      <c r="AB44" s="934" t="n"/>
      <c r="AC44" s="935" t="n"/>
      <c r="AD44" s="1264">
        <f>+Deductions!M37</f>
        <v/>
      </c>
      <c r="AE44" s="934" t="n"/>
      <c r="AF44" s="934" t="n"/>
      <c r="AG44" s="934" t="n"/>
      <c r="AH44" s="934" t="n"/>
      <c r="AI44" s="935" t="n"/>
      <c r="AJ44" s="1263">
        <f>+Deductions!P37</f>
        <v/>
      </c>
      <c r="AK44" s="934" t="n"/>
      <c r="AL44" s="934" t="n"/>
      <c r="AM44" s="934" t="n"/>
      <c r="AN44" s="934" t="n"/>
      <c r="AO44" s="935" t="n"/>
    </row>
    <row r="45" ht="12.75" customHeight="1">
      <c r="A45" s="35" t="n"/>
      <c r="B45" s="534" t="inlineStr">
        <is>
          <t>Total A</t>
        </is>
      </c>
      <c r="C45" s="203" t="n"/>
      <c r="D45" s="203" t="n"/>
      <c r="E45" s="203" t="n"/>
      <c r="F45" s="203" t="n"/>
      <c r="G45" s="203" t="n"/>
      <c r="H45" s="203" t="n"/>
      <c r="I45" s="203" t="n"/>
      <c r="J45" s="203" t="n"/>
      <c r="K45" s="203" t="n"/>
      <c r="L45" s="203" t="n"/>
      <c r="M45" s="203" t="n"/>
      <c r="N45" s="203" t="n"/>
      <c r="O45" s="203" t="n"/>
      <c r="P45" s="203" t="n"/>
      <c r="Q45" s="203" t="n"/>
      <c r="R45" s="203" t="n"/>
      <c r="S45" s="203" t="n"/>
      <c r="T45" s="203" t="n"/>
      <c r="U45" s="203" t="n"/>
      <c r="V45" s="203" t="n"/>
      <c r="W45" s="203" t="n"/>
      <c r="X45" s="203" t="n"/>
      <c r="Y45" s="203" t="n"/>
      <c r="Z45" s="203" t="n"/>
      <c r="AA45" s="203" t="n"/>
      <c r="AB45" s="203" t="n"/>
      <c r="AC45" s="203" t="n"/>
      <c r="AD45" s="203" t="n"/>
      <c r="AE45" s="203" t="n"/>
      <c r="AF45" s="203" t="n"/>
      <c r="AG45" s="203" t="n"/>
      <c r="AH45" s="203" t="n"/>
      <c r="AI45" s="203" t="n"/>
      <c r="AJ45" s="1265">
        <f>+Deductions!P42</f>
        <v/>
      </c>
      <c r="AK45" s="203" t="n"/>
      <c r="AL45" s="203" t="n"/>
      <c r="AM45" s="203" t="n"/>
      <c r="AN45" s="203" t="n"/>
      <c r="AO45" s="1003" t="n"/>
    </row>
    <row r="46" ht="12.75" customHeight="1">
      <c r="A46" s="23" t="n"/>
      <c r="B46" s="24" t="inlineStr">
        <is>
          <t>B - FRESH WATER</t>
        </is>
      </c>
      <c r="C46" s="24" t="n"/>
      <c r="D46" s="25" t="n"/>
      <c r="E46" s="25" t="n"/>
      <c r="F46" s="25" t="n"/>
      <c r="G46" s="25" t="n"/>
      <c r="H46" s="69" t="n"/>
      <c r="I46" s="69" t="n"/>
      <c r="J46" s="69" t="n"/>
      <c r="K46" s="69" t="n"/>
      <c r="L46" s="69" t="n"/>
      <c r="M46" s="69" t="n"/>
      <c r="N46" s="69" t="n"/>
      <c r="AD46" s="69" t="n"/>
      <c r="AI46" s="1266" t="n"/>
      <c r="AJ46" s="69" t="n"/>
      <c r="AO46" s="71" t="n"/>
    </row>
    <row r="47" ht="5.25" customHeight="1">
      <c r="A47" s="8" t="n"/>
      <c r="B47" s="15" t="n"/>
      <c r="C47" s="15" t="n"/>
      <c r="D47" s="16" t="n"/>
      <c r="E47" s="16" t="n"/>
      <c r="F47" s="16" t="n"/>
      <c r="G47" s="16" t="n"/>
      <c r="H47" s="72" t="n"/>
      <c r="I47" s="72" t="n"/>
      <c r="J47" s="72" t="n"/>
      <c r="K47" s="72" t="n"/>
      <c r="L47" s="72" t="n"/>
      <c r="M47" s="72" t="n"/>
      <c r="N47" s="72" t="n"/>
      <c r="AD47" s="72" t="n"/>
      <c r="AI47" s="1267" t="n"/>
      <c r="AJ47" s="72" t="n"/>
      <c r="AO47" s="74" t="n"/>
    </row>
    <row r="48" ht="12.75" customHeight="1">
      <c r="A48" s="68" t="n"/>
      <c r="B48" s="550">
        <f>+Deductions!A47</f>
        <v/>
      </c>
      <c r="C48" s="13" t="n"/>
      <c r="D48" s="13" t="n"/>
      <c r="E48" s="13" t="n"/>
      <c r="F48" s="13" t="n"/>
      <c r="G48" s="13" t="n"/>
      <c r="H48" s="184" t="n"/>
      <c r="I48" s="1256">
        <f>+Deductions!D47</f>
        <v/>
      </c>
      <c r="J48" s="13" t="n"/>
      <c r="K48" s="13" t="n"/>
      <c r="L48" s="13" t="n"/>
      <c r="M48" s="184" t="n"/>
      <c r="N48" s="1256">
        <f>+Deductions!G47</f>
        <v/>
      </c>
      <c r="O48" s="13" t="n"/>
      <c r="P48" s="13" t="n"/>
      <c r="Q48" s="13" t="n"/>
      <c r="R48" s="184" t="n"/>
      <c r="S48" s="1256" t="n"/>
      <c r="T48" s="13" t="n"/>
      <c r="U48" s="13" t="n"/>
      <c r="V48" s="13" t="n"/>
      <c r="W48" s="184" t="n"/>
      <c r="X48" s="1257">
        <f>+Deductions!J47</f>
        <v/>
      </c>
      <c r="Y48" s="13" t="n"/>
      <c r="Z48" s="13" t="n"/>
      <c r="AA48" s="13" t="n"/>
      <c r="AB48" s="13" t="n"/>
      <c r="AC48" s="184" t="n"/>
      <c r="AD48" s="1258">
        <f>+Deductions!M47</f>
        <v/>
      </c>
      <c r="AE48" s="13" t="n"/>
      <c r="AF48" s="13" t="n"/>
      <c r="AG48" s="13" t="n"/>
      <c r="AH48" s="13" t="n"/>
      <c r="AI48" s="184" t="n"/>
      <c r="AJ48" s="1257">
        <f>+Deductions!P47</f>
        <v/>
      </c>
      <c r="AK48" s="13" t="n"/>
      <c r="AL48" s="13" t="n"/>
      <c r="AM48" s="13" t="n"/>
      <c r="AN48" s="13" t="n"/>
      <c r="AO48" s="184" t="n"/>
    </row>
    <row r="49" ht="12.75" customHeight="1">
      <c r="A49" s="65" t="n"/>
      <c r="B49" s="513">
        <f>+Deductions!A48</f>
        <v/>
      </c>
      <c r="H49" s="30" t="n"/>
      <c r="I49" s="1259">
        <f>+Deductions!D48</f>
        <v/>
      </c>
      <c r="M49" s="30" t="n"/>
      <c r="N49" s="1259">
        <f>+Deductions!G48</f>
        <v/>
      </c>
      <c r="R49" s="30" t="n"/>
      <c r="S49" s="1259" t="n"/>
      <c r="W49" s="30" t="n"/>
      <c r="X49" s="1260">
        <f>+Deductions!J48</f>
        <v/>
      </c>
      <c r="AC49" s="30" t="n"/>
      <c r="AD49" s="1261">
        <f>+Deductions!M48</f>
        <v/>
      </c>
      <c r="AI49" s="30" t="n"/>
      <c r="AJ49" s="1260">
        <f>+Deductions!P48</f>
        <v/>
      </c>
      <c r="AO49" s="30" t="n"/>
    </row>
    <row r="50" ht="12.75" customHeight="1">
      <c r="A50" s="65" t="n"/>
      <c r="B50" s="513">
        <f>+Deductions!A49</f>
        <v/>
      </c>
      <c r="H50" s="30" t="n"/>
      <c r="I50" s="1259">
        <f>+Deductions!D49</f>
        <v/>
      </c>
      <c r="M50" s="30" t="n"/>
      <c r="N50" s="1259">
        <f>+Deductions!G49</f>
        <v/>
      </c>
      <c r="R50" s="30" t="n"/>
      <c r="S50" s="1259" t="n"/>
      <c r="W50" s="30" t="n"/>
      <c r="X50" s="1260">
        <f>+Deductions!J49</f>
        <v/>
      </c>
      <c r="AC50" s="30" t="n"/>
      <c r="AD50" s="1261">
        <f>+Deductions!M49</f>
        <v/>
      </c>
      <c r="AI50" s="30" t="n"/>
      <c r="AJ50" s="1260">
        <f>+Deductions!P49</f>
        <v/>
      </c>
      <c r="AO50" s="30" t="n"/>
    </row>
    <row r="51" ht="12.75" customHeight="1">
      <c r="A51" s="65" t="n"/>
      <c r="B51" s="513">
        <f>+Deductions!A50</f>
        <v/>
      </c>
      <c r="H51" s="30" t="n"/>
      <c r="I51" s="1259">
        <f>+Deductions!D50</f>
        <v/>
      </c>
      <c r="M51" s="30" t="n"/>
      <c r="N51" s="1259">
        <f>+Deductions!G50</f>
        <v/>
      </c>
      <c r="R51" s="30" t="n"/>
      <c r="S51" s="1259" t="n"/>
      <c r="W51" s="30" t="n"/>
      <c r="X51" s="1260">
        <f>+Deductions!J50</f>
        <v/>
      </c>
      <c r="AC51" s="30" t="n"/>
      <c r="AD51" s="1261">
        <f>+Deductions!M50</f>
        <v/>
      </c>
      <c r="AI51" s="30" t="n"/>
      <c r="AJ51" s="1260">
        <f>+Deductions!P50</f>
        <v/>
      </c>
      <c r="AO51" s="30" t="n"/>
    </row>
    <row r="52" ht="12.75" customHeight="1">
      <c r="A52" s="65" t="n"/>
      <c r="B52" s="513">
        <f>+Deductions!A51</f>
        <v/>
      </c>
      <c r="H52" s="30" t="n"/>
      <c r="I52" s="1259">
        <f>+Deductions!D51</f>
        <v/>
      </c>
      <c r="M52" s="30" t="n"/>
      <c r="N52" s="1259">
        <f>+Deductions!G51</f>
        <v/>
      </c>
      <c r="R52" s="30" t="n"/>
      <c r="S52" s="1259" t="n"/>
      <c r="W52" s="30" t="n"/>
      <c r="X52" s="1260">
        <f>+Deductions!J51</f>
        <v/>
      </c>
      <c r="AC52" s="30" t="n"/>
      <c r="AD52" s="1261">
        <f>+Deductions!M51</f>
        <v/>
      </c>
      <c r="AI52" s="30" t="n"/>
      <c r="AJ52" s="1260">
        <f>+Deductions!P51</f>
        <v/>
      </c>
      <c r="AO52" s="30" t="n"/>
    </row>
    <row r="53" ht="12.75" customHeight="1">
      <c r="A53" s="66" t="n"/>
      <c r="B53" s="519">
        <f>+Deductions!A52</f>
        <v/>
      </c>
      <c r="C53" s="934" t="n"/>
      <c r="D53" s="934" t="n"/>
      <c r="E53" s="934" t="n"/>
      <c r="F53" s="934" t="n"/>
      <c r="G53" s="934" t="n"/>
      <c r="H53" s="935" t="n"/>
      <c r="I53" s="1262">
        <f>+Deductions!D52</f>
        <v/>
      </c>
      <c r="J53" s="934" t="n"/>
      <c r="K53" s="934" t="n"/>
      <c r="L53" s="934" t="n"/>
      <c r="M53" s="935" t="n"/>
      <c r="N53" s="1262">
        <f>+Deductions!G52</f>
        <v/>
      </c>
      <c r="O53" s="934" t="n"/>
      <c r="P53" s="934" t="n"/>
      <c r="Q53" s="934" t="n"/>
      <c r="R53" s="935" t="n"/>
      <c r="S53" s="1262" t="n"/>
      <c r="T53" s="934" t="n"/>
      <c r="U53" s="934" t="n"/>
      <c r="V53" s="934" t="n"/>
      <c r="W53" s="935" t="n"/>
      <c r="X53" s="1263">
        <f>+Deductions!J52</f>
        <v/>
      </c>
      <c r="Y53" s="934" t="n"/>
      <c r="Z53" s="934" t="n"/>
      <c r="AA53" s="934" t="n"/>
      <c r="AB53" s="934" t="n"/>
      <c r="AC53" s="935" t="n"/>
      <c r="AD53" s="1264">
        <f>+Deductions!M52</f>
        <v/>
      </c>
      <c r="AE53" s="934" t="n"/>
      <c r="AF53" s="934" t="n"/>
      <c r="AG53" s="934" t="n"/>
      <c r="AH53" s="934" t="n"/>
      <c r="AI53" s="935" t="n"/>
      <c r="AJ53" s="1263">
        <f>+Deductions!P52</f>
        <v/>
      </c>
      <c r="AK53" s="934" t="n"/>
      <c r="AL53" s="934" t="n"/>
      <c r="AM53" s="934" t="n"/>
      <c r="AN53" s="934" t="n"/>
      <c r="AO53" s="935" t="n"/>
    </row>
    <row r="54" ht="12.75" customHeight="1">
      <c r="A54" s="35" t="n"/>
      <c r="B54" s="534" t="inlineStr">
        <is>
          <t>Total B</t>
        </is>
      </c>
      <c r="C54" s="203" t="n"/>
      <c r="D54" s="203" t="n"/>
      <c r="E54" s="203" t="n"/>
      <c r="F54" s="203" t="n"/>
      <c r="G54" s="203" t="n"/>
      <c r="H54" s="203" t="n"/>
      <c r="I54" s="203" t="n"/>
      <c r="J54" s="203" t="n"/>
      <c r="K54" s="203" t="n"/>
      <c r="L54" s="203" t="n"/>
      <c r="M54" s="203" t="n"/>
      <c r="N54" s="203" t="n"/>
      <c r="O54" s="203" t="n"/>
      <c r="P54" s="203" t="n"/>
      <c r="Q54" s="203" t="n"/>
      <c r="R54" s="203" t="n"/>
      <c r="S54" s="203" t="n"/>
      <c r="T54" s="203" t="n"/>
      <c r="U54" s="203" t="n"/>
      <c r="V54" s="203" t="n"/>
      <c r="W54" s="203" t="n"/>
      <c r="X54" s="203" t="n"/>
      <c r="Y54" s="203" t="n"/>
      <c r="Z54" s="203" t="n"/>
      <c r="AA54" s="203" t="n"/>
      <c r="AB54" s="203" t="n"/>
      <c r="AC54" s="203" t="n"/>
      <c r="AD54" s="203" t="n"/>
      <c r="AE54" s="203" t="n"/>
      <c r="AF54" s="203" t="n"/>
      <c r="AG54" s="203" t="n"/>
      <c r="AH54" s="203" t="n"/>
      <c r="AI54" s="203" t="n"/>
      <c r="AJ54" s="1265">
        <f>+Deductions!P54</f>
        <v/>
      </c>
      <c r="AK54" s="203" t="n"/>
      <c r="AL54" s="203" t="n"/>
      <c r="AM54" s="203" t="n"/>
      <c r="AN54" s="203" t="n"/>
      <c r="AO54" s="1003" t="n"/>
    </row>
    <row r="55" ht="12.75" customHeight="1">
      <c r="A55" s="23" t="n"/>
      <c r="B55" s="25" t="n"/>
      <c r="C55" s="24" t="n"/>
      <c r="D55" s="25" t="n"/>
      <c r="E55" s="25" t="n"/>
      <c r="F55" s="25" t="n"/>
      <c r="G55" s="25" t="n"/>
      <c r="H55" s="25" t="n"/>
      <c r="I55" s="25" t="n"/>
      <c r="J55" s="25" t="n"/>
      <c r="K55" s="25" t="n"/>
      <c r="L55" s="25" t="n"/>
      <c r="M55" s="25" t="n"/>
      <c r="N55" s="25" t="n"/>
      <c r="P55" s="1268"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84" t="n"/>
    </row>
    <row r="56" ht="12.75" customHeight="1">
      <c r="A56" s="8" t="n"/>
      <c r="B56" s="15" t="n"/>
      <c r="C56" s="75">
        <f>IF(Deductions!AC4="X", Deductions!AD4," ")</f>
        <v/>
      </c>
      <c r="D56" s="16" t="n"/>
      <c r="E56" s="16" t="n"/>
      <c r="F56" s="16" t="n"/>
      <c r="G56" s="16" t="n"/>
      <c r="H56" s="16" t="n"/>
      <c r="I56" s="16" t="n"/>
      <c r="J56" s="16" t="n"/>
      <c r="K56" s="16" t="n"/>
      <c r="L56" s="16" t="n"/>
      <c r="M56" s="16" t="n"/>
      <c r="N56" s="16" t="n"/>
      <c r="O56" s="76" t="n"/>
      <c r="P56" s="934" t="n"/>
      <c r="Q56" s="934" t="n"/>
      <c r="R56" s="934" t="n"/>
      <c r="S56" s="934" t="n"/>
      <c r="T56" s="934" t="n"/>
      <c r="U56" s="934" t="n"/>
      <c r="V56" s="934" t="n"/>
      <c r="W56" s="934" t="n"/>
      <c r="X56" s="934" t="n"/>
      <c r="Y56" s="934" t="n"/>
      <c r="Z56" s="934" t="n"/>
      <c r="AA56" s="934" t="n"/>
      <c r="AB56" s="934" t="n"/>
      <c r="AC56" s="934" t="n"/>
      <c r="AD56" s="934" t="n"/>
      <c r="AE56" s="934" t="n"/>
      <c r="AF56" s="934" t="n"/>
      <c r="AG56" s="934" t="n"/>
      <c r="AH56" s="934" t="n"/>
      <c r="AI56" s="934" t="n"/>
      <c r="AJ56" s="934" t="n"/>
      <c r="AK56" s="934" t="n"/>
      <c r="AL56" s="934" t="n"/>
      <c r="AM56" s="934" t="n"/>
      <c r="AN56" s="934" t="n"/>
      <c r="AO56" s="935" t="n"/>
    </row>
    <row r="57" ht="12.75" customHeight="1">
      <c r="A57" s="528"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row>
    <row r="58" ht="25.5" customHeight="1">
      <c r="A58" s="418" t="n"/>
    </row>
  </sheetData>
  <mergeCells count="302">
    <mergeCell ref="I30:M30"/>
    <mergeCell ref="N26:R26"/>
    <mergeCell ref="B40:H40"/>
    <mergeCell ref="AJ38:AO38"/>
    <mergeCell ref="AD15:AI15"/>
    <mergeCell ref="B49:H49"/>
    <mergeCell ref="N41:R41"/>
    <mergeCell ref="B24:H24"/>
    <mergeCell ref="N50:R50"/>
    <mergeCell ref="X49:AC49"/>
    <mergeCell ref="B33:H33"/>
    <mergeCell ref="B51:H51"/>
    <mergeCell ref="N51:R51"/>
    <mergeCell ref="X24:AC24"/>
    <mergeCell ref="S52:W52"/>
    <mergeCell ref="AJ37:AO37"/>
    <mergeCell ref="X33:AC33"/>
    <mergeCell ref="B32:H32"/>
    <mergeCell ref="N43:R43"/>
    <mergeCell ref="S39:W39"/>
    <mergeCell ref="B26:H26"/>
    <mergeCell ref="B41:H41"/>
    <mergeCell ref="AD49:AI49"/>
    <mergeCell ref="S48:W48"/>
    <mergeCell ref="B35:H35"/>
    <mergeCell ref="AJ33:AO33"/>
    <mergeCell ref="AJ24:AO24"/>
    <mergeCell ref="S10:AA10"/>
    <mergeCell ref="I32:M32"/>
    <mergeCell ref="S14:W14"/>
    <mergeCell ref="N33:R33"/>
    <mergeCell ref="I41:M41"/>
    <mergeCell ref="X41:AC41"/>
    <mergeCell ref="X26:AC26"/>
    <mergeCell ref="N42:R42"/>
    <mergeCell ref="S38:W38"/>
    <mergeCell ref="X35:AC35"/>
    <mergeCell ref="B25:H25"/>
    <mergeCell ref="S23:W23"/>
    <mergeCell ref="B5:AO5"/>
    <mergeCell ref="AJ26:AO26"/>
    <mergeCell ref="S13:W13"/>
    <mergeCell ref="AJ35:AO35"/>
    <mergeCell ref="X25:AC25"/>
    <mergeCell ref="I43:M43"/>
    <mergeCell ref="B27:H27"/>
    <mergeCell ref="B18:H18"/>
    <mergeCell ref="N44:R44"/>
    <mergeCell ref="B52:H52"/>
    <mergeCell ref="S40:W40"/>
    <mergeCell ref="AJ25:AO25"/>
    <mergeCell ref="I24:M24"/>
    <mergeCell ref="S15:W15"/>
    <mergeCell ref="AD42:AI42"/>
    <mergeCell ref="I33:M33"/>
    <mergeCell ref="X27:AC27"/>
    <mergeCell ref="N28:R28"/>
    <mergeCell ref="S24:W24"/>
    <mergeCell ref="B42:H42"/>
    <mergeCell ref="X36:AC36"/>
    <mergeCell ref="AJ9:AO9"/>
    <mergeCell ref="AD12:AI12"/>
    <mergeCell ref="Y2:AH2"/>
    <mergeCell ref="AJ50:AO50"/>
    <mergeCell ref="X11:AC11"/>
    <mergeCell ref="N30:R30"/>
    <mergeCell ref="AC8:AO8"/>
    <mergeCell ref="B53:H53"/>
    <mergeCell ref="B44:H44"/>
    <mergeCell ref="AJ42:AO42"/>
    <mergeCell ref="X52:AC52"/>
    <mergeCell ref="AD20:AI20"/>
    <mergeCell ref="AD14:AI14"/>
    <mergeCell ref="AJ11:AO11"/>
    <mergeCell ref="I50:M50"/>
    <mergeCell ref="I19:M19"/>
    <mergeCell ref="S41:W41"/>
    <mergeCell ref="B29:H29"/>
    <mergeCell ref="AJ52:AO52"/>
    <mergeCell ref="S50:W50"/>
    <mergeCell ref="B37:H37"/>
    <mergeCell ref="I34:M34"/>
    <mergeCell ref="S51:W51"/>
    <mergeCell ref="S25:W25"/>
    <mergeCell ref="X37:AC37"/>
    <mergeCell ref="S43:W43"/>
    <mergeCell ref="AJ28:AO28"/>
    <mergeCell ref="X53:AC53"/>
    <mergeCell ref="AD31:AI31"/>
    <mergeCell ref="AD40:AI40"/>
    <mergeCell ref="I36:M36"/>
    <mergeCell ref="N32:R32"/>
    <mergeCell ref="B15:H15"/>
    <mergeCell ref="AJ13:AO13"/>
    <mergeCell ref="I11:M11"/>
    <mergeCell ref="S42:W42"/>
    <mergeCell ref="AJ30:AO30"/>
    <mergeCell ref="X15:AC15"/>
    <mergeCell ref="AJ53:AO53"/>
    <mergeCell ref="X29:AC29"/>
    <mergeCell ref="X38:AC38"/>
    <mergeCell ref="AJ15:AO15"/>
    <mergeCell ref="A2:X2"/>
    <mergeCell ref="A1:AO1"/>
    <mergeCell ref="AD32:AI32"/>
    <mergeCell ref="AD26:AI26"/>
    <mergeCell ref="AD41:AI41"/>
    <mergeCell ref="I28:M28"/>
    <mergeCell ref="I22:M22"/>
    <mergeCell ref="N18:R18"/>
    <mergeCell ref="I37:M37"/>
    <mergeCell ref="AI2:AO4"/>
    <mergeCell ref="S28:W28"/>
    <mergeCell ref="S37:W37"/>
    <mergeCell ref="I12:M12"/>
    <mergeCell ref="AJ14:AO14"/>
    <mergeCell ref="I21:M21"/>
    <mergeCell ref="AJ54:AO54"/>
    <mergeCell ref="AD43:AI43"/>
    <mergeCell ref="AJ32:AO32"/>
    <mergeCell ref="B43:H43"/>
    <mergeCell ref="AJ41:AO41"/>
    <mergeCell ref="F8:AB8"/>
    <mergeCell ref="S53:W53"/>
    <mergeCell ref="AD18:AI18"/>
    <mergeCell ref="I14:M14"/>
    <mergeCell ref="I23:M23"/>
    <mergeCell ref="X43:AC43"/>
    <mergeCell ref="N19:R19"/>
    <mergeCell ref="Z7:AO7"/>
    <mergeCell ref="X40:AC40"/>
    <mergeCell ref="AJ10:AM10"/>
    <mergeCell ref="A57:AO57"/>
    <mergeCell ref="AJ43:AO43"/>
    <mergeCell ref="N34:R34"/>
    <mergeCell ref="AJ40:AO40"/>
    <mergeCell ref="I51:M51"/>
    <mergeCell ref="AA3:AH3"/>
    <mergeCell ref="AJ27:AO27"/>
    <mergeCell ref="N49:R49"/>
    <mergeCell ref="AB10:AI10"/>
    <mergeCell ref="AD44:AI44"/>
    <mergeCell ref="N36:R36"/>
    <mergeCell ref="S32:W32"/>
    <mergeCell ref="B34:H34"/>
    <mergeCell ref="S26:W26"/>
    <mergeCell ref="B19:H19"/>
    <mergeCell ref="B28:H28"/>
    <mergeCell ref="AD34:AI34"/>
    <mergeCell ref="AD28:AI28"/>
    <mergeCell ref="N20:R20"/>
    <mergeCell ref="X19:AC19"/>
    <mergeCell ref="X34:AC34"/>
    <mergeCell ref="AD25:AI25"/>
    <mergeCell ref="X28:AC28"/>
    <mergeCell ref="AJ19:AO19"/>
    <mergeCell ref="V9:AA9"/>
    <mergeCell ref="B30:H30"/>
    <mergeCell ref="I49:M49"/>
    <mergeCell ref="AD36:AI36"/>
    <mergeCell ref="I27:M27"/>
    <mergeCell ref="AD30:AI30"/>
    <mergeCell ref="N22:R22"/>
    <mergeCell ref="A4:Y4"/>
    <mergeCell ref="B20:H20"/>
    <mergeCell ref="S27:W27"/>
    <mergeCell ref="N37:R37"/>
    <mergeCell ref="X30:AC30"/>
    <mergeCell ref="S18:W18"/>
    <mergeCell ref="X42:AC42"/>
    <mergeCell ref="N12:R12"/>
    <mergeCell ref="X20:AC20"/>
    <mergeCell ref="I25:M25"/>
    <mergeCell ref="N21:R21"/>
    <mergeCell ref="X14:AC14"/>
    <mergeCell ref="S11:W11"/>
    <mergeCell ref="AJ45:AO45"/>
    <mergeCell ref="A6:AO6"/>
    <mergeCell ref="N14:R14"/>
    <mergeCell ref="I53:M53"/>
    <mergeCell ref="K9:N9"/>
    <mergeCell ref="AB9:AC9"/>
    <mergeCell ref="N23:R23"/>
    <mergeCell ref="B31:H31"/>
    <mergeCell ref="AJ29:AO29"/>
    <mergeCell ref="O9:R9"/>
    <mergeCell ref="B54:AI54"/>
    <mergeCell ref="S34:W34"/>
    <mergeCell ref="B21:H21"/>
    <mergeCell ref="AJ44:AO44"/>
    <mergeCell ref="B39:H39"/>
    <mergeCell ref="B48:H48"/>
    <mergeCell ref="P55:AO56"/>
    <mergeCell ref="I52:M52"/>
    <mergeCell ref="AJ31:AO31"/>
    <mergeCell ref="I39:M39"/>
    <mergeCell ref="X39:AC39"/>
    <mergeCell ref="S36:W36"/>
    <mergeCell ref="I48:M48"/>
    <mergeCell ref="X48:AC48"/>
    <mergeCell ref="S30:W30"/>
    <mergeCell ref="B23:H23"/>
    <mergeCell ref="AJ21:AO21"/>
    <mergeCell ref="AD24:AI24"/>
    <mergeCell ref="AJ51:AO51"/>
    <mergeCell ref="AD33:AI33"/>
    <mergeCell ref="I29:M29"/>
    <mergeCell ref="S20:W20"/>
    <mergeCell ref="B13:H13"/>
    <mergeCell ref="AD51:AI51"/>
    <mergeCell ref="I38:M38"/>
    <mergeCell ref="X32:AC32"/>
    <mergeCell ref="S29:W29"/>
    <mergeCell ref="B7:Y7"/>
    <mergeCell ref="I13:M13"/>
    <mergeCell ref="AJ23:AO23"/>
    <mergeCell ref="S44:W44"/>
    <mergeCell ref="AD35:AI35"/>
    <mergeCell ref="I31:M31"/>
    <mergeCell ref="N27:R27"/>
    <mergeCell ref="I40:M40"/>
    <mergeCell ref="S22:W22"/>
    <mergeCell ref="N35:R35"/>
    <mergeCell ref="S31:W31"/>
    <mergeCell ref="A3:Y3"/>
    <mergeCell ref="AD19:AI19"/>
    <mergeCell ref="I15:M15"/>
    <mergeCell ref="S12:W12"/>
    <mergeCell ref="AJ48:AO48"/>
    <mergeCell ref="N11:R11"/>
    <mergeCell ref="N25:R25"/>
    <mergeCell ref="S21:W21"/>
    <mergeCell ref="X18:AC18"/>
    <mergeCell ref="A58:AO58"/>
    <mergeCell ref="A11:H11"/>
    <mergeCell ref="AD27:AI27"/>
    <mergeCell ref="AJ18:AO18"/>
    <mergeCell ref="A10:J10"/>
    <mergeCell ref="N53:R53"/>
    <mergeCell ref="I26:M26"/>
    <mergeCell ref="B36:H36"/>
    <mergeCell ref="AJ34:AO34"/>
    <mergeCell ref="B50:H50"/>
    <mergeCell ref="AD11:AI11"/>
    <mergeCell ref="A9:J9"/>
    <mergeCell ref="AJ49:AO49"/>
    <mergeCell ref="X50:AC50"/>
    <mergeCell ref="S9:U9"/>
    <mergeCell ref="B45:AI45"/>
    <mergeCell ref="AJ36:AO36"/>
    <mergeCell ref="X51:AC51"/>
    <mergeCell ref="N52:R52"/>
    <mergeCell ref="AD53:AI53"/>
    <mergeCell ref="AD22:AI22"/>
    <mergeCell ref="N39:R39"/>
    <mergeCell ref="I18:M18"/>
    <mergeCell ref="B22:H22"/>
    <mergeCell ref="AD50:AI50"/>
    <mergeCell ref="N48:R48"/>
    <mergeCell ref="AJ20:AO20"/>
    <mergeCell ref="A12:H12"/>
    <mergeCell ref="S49:W49"/>
    <mergeCell ref="AA4:AH4"/>
    <mergeCell ref="X44:AC44"/>
    <mergeCell ref="AD37:AI37"/>
    <mergeCell ref="N29:R29"/>
    <mergeCell ref="X22:AC22"/>
    <mergeCell ref="S19:W19"/>
    <mergeCell ref="I42:M42"/>
    <mergeCell ref="N38:R38"/>
    <mergeCell ref="S33:W33"/>
    <mergeCell ref="X31:AC31"/>
    <mergeCell ref="AD52:AI52"/>
    <mergeCell ref="AJ22:AO22"/>
    <mergeCell ref="AD21:AI21"/>
    <mergeCell ref="N13:R13"/>
    <mergeCell ref="X12:AC12"/>
    <mergeCell ref="AD9:AI9"/>
    <mergeCell ref="AD39:AI39"/>
    <mergeCell ref="A8:E8"/>
    <mergeCell ref="X21:AC21"/>
    <mergeCell ref="AD48:AI48"/>
    <mergeCell ref="I35:M35"/>
    <mergeCell ref="N31:R31"/>
    <mergeCell ref="B14:H14"/>
    <mergeCell ref="I44:M44"/>
    <mergeCell ref="N40:R40"/>
    <mergeCell ref="S35:W35"/>
    <mergeCell ref="AJ12:AO12"/>
    <mergeCell ref="AD29:AI29"/>
    <mergeCell ref="I20:M20"/>
    <mergeCell ref="AD23:AI23"/>
    <mergeCell ref="AD38:AI38"/>
    <mergeCell ref="N15:R15"/>
    <mergeCell ref="N24:R24"/>
    <mergeCell ref="B38:H38"/>
    <mergeCell ref="X23:AC23"/>
    <mergeCell ref="AD13:AI13"/>
    <mergeCell ref="AJ39:AO39"/>
    <mergeCell ref="AN10:AO10"/>
    <mergeCell ref="K10:R10"/>
    <mergeCell ref="X13:AC13"/>
  </mergeCells>
  <printOptions horizontalCentered="1" verticalCentered="1"/>
  <pageMargins left="0.3937007874015748" right="0.3937007874015748" top="0.2362204724409449" bottom="0.2362204724409449" header="0" footer="0.2362204724409449"/>
  <pageSetup orientation="portrait" horizontalDpi="300" verticalDpi="300"/>
  <headerFooter alignWithMargins="0">
    <oddHeader/>
    <oddFooter>&amp;RPage 3 of 4</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tabColor rgb="FFFF0000"/>
    <outlinePr summaryBelow="1" summaryRight="1"/>
    <pageSetUpPr fitToPage="1"/>
  </sheetPr>
  <dimension ref="A1:AO58"/>
  <sheetViews>
    <sheetView showGridLines="0" showZeros="0" topLeftCell="A25" zoomScale="98" zoomScaleNormal="98" workbookViewId="0">
      <selection activeCell="AV25" sqref="AV1:BF1048576"/>
    </sheetView>
  </sheetViews>
  <sheetFormatPr baseColWidth="8" defaultColWidth="11.5546875" defaultRowHeight="13.2"/>
  <cols>
    <col width="2.44140625" customWidth="1" min="1" max="167"/>
    <col width="2.44140625" customWidth="1" min="246" max="423"/>
    <col width="2.44140625" customWidth="1" min="502" max="679"/>
    <col width="2.44140625" customWidth="1" min="758" max="935"/>
    <col width="2.44140625" customWidth="1" min="1014" max="1191"/>
    <col width="2.44140625" customWidth="1" min="1270" max="1447"/>
    <col width="2.44140625" customWidth="1" min="1526" max="1703"/>
    <col width="2.44140625" customWidth="1" min="1782" max="1959"/>
    <col width="2.44140625" customWidth="1" min="2038" max="2215"/>
    <col width="2.44140625" customWidth="1" min="2294" max="2471"/>
    <col width="2.44140625" customWidth="1" min="2550" max="2727"/>
    <col width="2.44140625" customWidth="1" min="2806" max="2983"/>
    <col width="2.44140625" customWidth="1" min="3062" max="3239"/>
    <col width="2.44140625" customWidth="1" min="3318" max="3495"/>
    <col width="2.44140625" customWidth="1" min="3574" max="3751"/>
    <col width="2.44140625" customWidth="1" min="3830" max="4007"/>
    <col width="2.44140625" customWidth="1" min="4086" max="4263"/>
    <col width="2.44140625" customWidth="1" min="4342" max="4519"/>
    <col width="2.44140625" customWidth="1" min="4598" max="4775"/>
    <col width="2.44140625" customWidth="1" min="4854" max="5031"/>
    <col width="2.44140625" customWidth="1" min="5110" max="5287"/>
    <col width="2.44140625" customWidth="1" min="5366" max="5543"/>
    <col width="2.44140625" customWidth="1" min="5622" max="5799"/>
    <col width="2.44140625" customWidth="1" min="5878" max="6055"/>
    <col width="2.44140625" customWidth="1" min="6134" max="6311"/>
    <col width="2.44140625" customWidth="1" min="6390" max="6567"/>
    <col width="2.44140625" customWidth="1" min="6646" max="6823"/>
    <col width="2.44140625" customWidth="1" min="6902" max="7079"/>
    <col width="2.44140625" customWidth="1" min="7158" max="7335"/>
    <col width="2.44140625" customWidth="1" min="7414" max="7591"/>
    <col width="2.44140625" customWidth="1" min="7670" max="7847"/>
    <col width="2.44140625" customWidth="1" min="7926" max="8103"/>
    <col width="2.44140625" customWidth="1" min="8182" max="8359"/>
    <col width="2.44140625" customWidth="1" min="8438" max="8615"/>
    <col width="2.44140625" customWidth="1" min="8694" max="8871"/>
    <col width="2.44140625" customWidth="1" min="8950" max="9127"/>
    <col width="2.44140625" customWidth="1" min="9206" max="9383"/>
    <col width="2.44140625" customWidth="1" min="9462" max="9639"/>
    <col width="2.44140625" customWidth="1" min="9718" max="9895"/>
    <col width="2.44140625" customWidth="1" min="9974" max="10151"/>
    <col width="2.44140625" customWidth="1" min="10230" max="10407"/>
    <col width="2.44140625" customWidth="1" min="10486" max="10663"/>
    <col width="2.44140625" customWidth="1" min="10742" max="10919"/>
    <col width="2.44140625" customWidth="1" min="10998" max="11175"/>
    <col width="2.44140625" customWidth="1" min="11254" max="11431"/>
    <col width="2.44140625" customWidth="1" min="11510" max="11687"/>
    <col width="2.44140625" customWidth="1" min="11766" max="11943"/>
    <col width="2.44140625" customWidth="1" min="12022" max="12199"/>
    <col width="2.44140625" customWidth="1" min="12278" max="12455"/>
    <col width="2.44140625" customWidth="1" min="12534" max="12711"/>
    <col width="2.44140625" customWidth="1" min="12790" max="12967"/>
    <col width="2.44140625" customWidth="1" min="13046" max="13223"/>
    <col width="2.44140625" customWidth="1" min="13302" max="13479"/>
    <col width="2.44140625" customWidth="1" min="13558" max="13735"/>
    <col width="2.44140625" customWidth="1" min="13814" max="13991"/>
    <col width="2.44140625" customWidth="1" min="14070" max="14247"/>
    <col width="2.44140625" customWidth="1" min="14326" max="14503"/>
    <col width="2.44140625" customWidth="1" min="14582" max="14759"/>
    <col width="2.44140625" customWidth="1" min="14838" max="15015"/>
    <col width="2.44140625" customWidth="1" min="15094" max="15271"/>
    <col width="2.44140625" customWidth="1" min="15350" max="15527"/>
    <col width="2.44140625" customWidth="1" min="15606" max="15783"/>
    <col width="2.44140625" customWidth="1" min="15862" max="16039"/>
    <col width="2.44140625" customWidth="1" min="16118" max="16295"/>
  </cols>
  <sheetData>
    <row r="1" ht="12.75" customHeight="1">
      <c r="A1" s="494" t="inlineStr">
        <is>
          <t>U.N. , ECE - DRAUGHT SURVEY CODE</t>
        </is>
      </c>
    </row>
    <row r="2" ht="12.75" customHeight="1">
      <c r="A2" s="495" t="n"/>
      <c r="B2" s="13" t="n"/>
      <c r="C2" s="13" t="n"/>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498" t="n"/>
      <c r="Z2" s="13" t="n"/>
      <c r="AA2" s="13" t="n"/>
      <c r="AB2" s="13" t="n"/>
      <c r="AC2" s="13" t="n"/>
      <c r="AD2" s="13" t="n"/>
      <c r="AE2" s="13" t="n"/>
      <c r="AF2" s="13" t="n"/>
      <c r="AG2" s="13" t="n"/>
      <c r="AH2" s="184" t="n"/>
      <c r="AI2" s="1004" t="inlineStr">
        <is>
          <t>FORM "D2"</t>
        </is>
      </c>
      <c r="AJ2" s="13" t="n"/>
      <c r="AK2" s="13" t="n"/>
      <c r="AL2" s="13" t="n"/>
      <c r="AM2" s="13" t="n"/>
      <c r="AN2" s="13" t="n"/>
      <c r="AO2" s="184" t="n"/>
    </row>
    <row r="3" ht="12.75" customHeight="1">
      <c r="A3" s="997" t="inlineStr">
        <is>
          <t>DRAUGHT SURVEY REPORT OF CARGO IN BULK</t>
        </is>
      </c>
      <c r="Y3" s="30" t="n"/>
      <c r="Z3" s="2">
        <f>+A!Z3</f>
        <v/>
      </c>
      <c r="AA3" s="998" t="inlineStr">
        <is>
          <t>LOADED</t>
        </is>
      </c>
      <c r="AH3" s="30" t="n"/>
      <c r="AI3" s="45" t="n"/>
      <c r="AO3" s="30" t="n"/>
    </row>
    <row r="4" ht="12.75" customHeight="1">
      <c r="A4" s="859" t="n"/>
      <c r="B4" s="934" t="n"/>
      <c r="C4" s="934" t="n"/>
      <c r="D4" s="934" t="n"/>
      <c r="E4" s="934" t="n"/>
      <c r="F4" s="934" t="n"/>
      <c r="G4" s="934" t="n"/>
      <c r="H4" s="934" t="n"/>
      <c r="I4" s="934" t="n"/>
      <c r="J4" s="934" t="n"/>
      <c r="K4" s="934" t="n"/>
      <c r="L4" s="934" t="n"/>
      <c r="M4" s="934" t="n"/>
      <c r="N4" s="934" t="n"/>
      <c r="O4" s="934" t="n"/>
      <c r="P4" s="934" t="n"/>
      <c r="Q4" s="934" t="n"/>
      <c r="R4" s="934" t="n"/>
      <c r="S4" s="934" t="n"/>
      <c r="T4" s="934" t="n"/>
      <c r="U4" s="934" t="n"/>
      <c r="V4" s="934" t="n"/>
      <c r="W4" s="934" t="n"/>
      <c r="X4" s="934" t="n"/>
      <c r="Y4" s="935" t="n"/>
      <c r="Z4" s="2">
        <f>+A!Z4</f>
        <v/>
      </c>
      <c r="AA4" s="999" t="inlineStr">
        <is>
          <t>UNLOADED</t>
        </is>
      </c>
      <c r="AB4" s="934" t="n"/>
      <c r="AC4" s="934" t="n"/>
      <c r="AD4" s="934" t="n"/>
      <c r="AE4" s="934" t="n"/>
      <c r="AF4" s="934" t="n"/>
      <c r="AG4" s="934" t="n"/>
      <c r="AH4" s="935" t="n"/>
      <c r="AI4" s="1000" t="n"/>
      <c r="AJ4" s="934" t="n"/>
      <c r="AK4" s="934" t="n"/>
      <c r="AL4" s="934" t="n"/>
      <c r="AM4" s="934" t="n"/>
      <c r="AN4" s="934" t="n"/>
      <c r="AO4" s="935" t="n"/>
    </row>
    <row r="5" ht="12.75" customHeight="1">
      <c r="A5" s="6" t="n"/>
      <c r="B5" s="521" t="inlineStr">
        <is>
          <t>Corporate identification:</t>
        </is>
      </c>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84" t="n"/>
    </row>
    <row r="6" ht="12.75" customHeight="1">
      <c r="A6" s="859">
        <f>A!B6</f>
        <v/>
      </c>
      <c r="B6" s="934" t="n"/>
      <c r="C6" s="934" t="n"/>
      <c r="D6" s="934" t="n"/>
      <c r="E6" s="934" t="n"/>
      <c r="F6" s="934" t="n"/>
      <c r="G6" s="934" t="n"/>
      <c r="H6" s="934" t="n"/>
      <c r="I6" s="934" t="n"/>
      <c r="J6" s="934" t="n"/>
      <c r="K6" s="934" t="n"/>
      <c r="L6" s="934" t="n"/>
      <c r="M6" s="934" t="n"/>
      <c r="N6" s="934" t="n"/>
      <c r="O6" s="934" t="n"/>
      <c r="P6" s="934" t="n"/>
      <c r="Q6" s="934" t="n"/>
      <c r="R6" s="934" t="n"/>
      <c r="S6" s="934" t="n"/>
      <c r="T6" s="934" t="n"/>
      <c r="U6" s="934" t="n"/>
      <c r="V6" s="934" t="n"/>
      <c r="W6" s="934" t="n"/>
      <c r="X6" s="934" t="n"/>
      <c r="Y6" s="934" t="n"/>
      <c r="Z6" s="934" t="n"/>
      <c r="AA6" s="934" t="n"/>
      <c r="AB6" s="934" t="n"/>
      <c r="AC6" s="934" t="n"/>
      <c r="AD6" s="934" t="n"/>
      <c r="AE6" s="934" t="n"/>
      <c r="AF6" s="934" t="n"/>
      <c r="AG6" s="934" t="n"/>
      <c r="AH6" s="934" t="n"/>
      <c r="AI6" s="934" t="n"/>
      <c r="AJ6" s="934" t="n"/>
      <c r="AK6" s="934" t="n"/>
      <c r="AL6" s="934" t="n"/>
      <c r="AM6" s="934" t="n"/>
      <c r="AN6" s="934" t="n"/>
      <c r="AO6" s="935" t="n"/>
    </row>
    <row r="7" ht="12.75" customHeight="1">
      <c r="A7" s="6" t="n"/>
      <c r="B7" s="520" t="inlineStr">
        <is>
          <t>Vessel M/V :</t>
        </is>
      </c>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521" t="inlineStr">
        <is>
          <t>Survey no:</t>
        </is>
      </c>
      <c r="AA7" s="13" t="n"/>
      <c r="AB7" s="13" t="n"/>
      <c r="AC7" s="13" t="n"/>
      <c r="AD7" s="13" t="n"/>
      <c r="AE7" s="13" t="n"/>
      <c r="AF7" s="13" t="n"/>
      <c r="AG7" s="13" t="n"/>
      <c r="AH7" s="13" t="n"/>
      <c r="AI7" s="13" t="n"/>
      <c r="AJ7" s="13" t="n"/>
      <c r="AK7" s="13" t="n"/>
      <c r="AL7" s="13" t="n"/>
      <c r="AM7" s="13" t="n"/>
      <c r="AN7" s="13" t="n"/>
      <c r="AO7" s="184" t="n"/>
    </row>
    <row r="8" ht="12.75" customHeight="1">
      <c r="A8" s="514" t="n"/>
      <c r="B8" s="934" t="n"/>
      <c r="C8" s="934" t="n"/>
      <c r="D8" s="934" t="n"/>
      <c r="E8" s="934" t="n"/>
      <c r="F8" s="541">
        <f>+A!G12</f>
        <v/>
      </c>
      <c r="G8" s="934" t="n"/>
      <c r="H8" s="934" t="n"/>
      <c r="I8" s="934" t="n"/>
      <c r="J8" s="934" t="n"/>
      <c r="K8" s="934" t="n"/>
      <c r="L8" s="934" t="n"/>
      <c r="M8" s="934" t="n"/>
      <c r="N8" s="934" t="n"/>
      <c r="O8" s="934" t="n"/>
      <c r="P8" s="934" t="n"/>
      <c r="Q8" s="934" t="n"/>
      <c r="R8" s="934" t="n"/>
      <c r="S8" s="934" t="n"/>
      <c r="T8" s="934" t="n"/>
      <c r="U8" s="934" t="n"/>
      <c r="V8" s="934" t="n"/>
      <c r="W8" s="934" t="n"/>
      <c r="X8" s="934" t="n"/>
      <c r="Y8" s="934" t="n"/>
      <c r="Z8" s="934" t="n"/>
      <c r="AA8" s="934" t="n"/>
      <c r="AB8" s="934" t="n"/>
      <c r="AC8" s="525">
        <f>+A!AG12</f>
        <v/>
      </c>
      <c r="AD8" s="934" t="n"/>
      <c r="AE8" s="934" t="n"/>
      <c r="AF8" s="934" t="n"/>
      <c r="AG8" s="934" t="n"/>
      <c r="AH8" s="934" t="n"/>
      <c r="AI8" s="934" t="n"/>
      <c r="AJ8" s="934" t="n"/>
      <c r="AK8" s="934" t="n"/>
      <c r="AL8" s="934" t="n"/>
      <c r="AM8" s="934" t="n"/>
      <c r="AN8" s="934" t="n"/>
      <c r="AO8" s="935" t="n"/>
    </row>
    <row r="9" ht="12.75" customHeight="1">
      <c r="A9" s="495" t="inlineStr">
        <is>
          <t>FINISHING SOUNDING:</t>
        </is>
      </c>
      <c r="B9" s="13" t="n"/>
      <c r="C9" s="13" t="n"/>
      <c r="D9" s="13" t="n"/>
      <c r="E9" s="13" t="n"/>
      <c r="F9" s="13" t="n"/>
      <c r="G9" s="13" t="n"/>
      <c r="H9" s="13" t="n"/>
      <c r="I9" s="13" t="n"/>
      <c r="J9" s="13" t="n"/>
      <c r="K9" s="520" t="inlineStr">
        <is>
          <t>From Hours:</t>
        </is>
      </c>
      <c r="L9" s="13" t="n"/>
      <c r="M9" s="13" t="n"/>
      <c r="N9" s="13" t="n"/>
      <c r="O9" s="496" t="n"/>
      <c r="P9" s="13" t="n"/>
      <c r="Q9" s="13" t="n"/>
      <c r="R9" s="13" t="n"/>
      <c r="S9" s="520" t="inlineStr">
        <is>
          <t>To Hours</t>
        </is>
      </c>
      <c r="T9" s="13" t="n"/>
      <c r="U9" s="13" t="n"/>
      <c r="V9" s="560" t="n"/>
      <c r="W9" s="13" t="n"/>
      <c r="X9" s="13" t="n"/>
      <c r="Y9" s="13" t="n"/>
      <c r="Z9" s="13" t="n"/>
      <c r="AA9" s="13" t="n"/>
      <c r="AB9" s="520" t="inlineStr">
        <is>
          <t>Date:</t>
        </is>
      </c>
      <c r="AC9" s="13" t="n"/>
      <c r="AD9" s="560" t="n"/>
      <c r="AE9" s="13" t="n"/>
      <c r="AF9" s="13" t="n"/>
      <c r="AG9" s="13" t="n"/>
      <c r="AH9" s="13" t="n"/>
      <c r="AI9" s="13" t="n"/>
      <c r="AJ9" s="547" t="inlineStr">
        <is>
          <t>Trim:</t>
        </is>
      </c>
      <c r="AK9" s="13" t="n"/>
      <c r="AL9" s="13" t="n"/>
      <c r="AM9" s="13" t="n"/>
      <c r="AN9" s="13" t="n"/>
      <c r="AO9" s="184" t="n"/>
    </row>
    <row r="10" ht="12.75" customHeight="1">
      <c r="A10" s="514" t="n"/>
      <c r="B10" s="934" t="n"/>
      <c r="C10" s="934" t="n"/>
      <c r="D10" s="934" t="n"/>
      <c r="E10" s="934" t="n"/>
      <c r="F10" s="934" t="n"/>
      <c r="G10" s="934" t="n"/>
      <c r="H10" s="934" t="n"/>
      <c r="I10" s="934" t="n"/>
      <c r="J10" s="934" t="n"/>
      <c r="K10" s="865">
        <f>Draft!AS3</f>
        <v/>
      </c>
      <c r="L10" s="934" t="n"/>
      <c r="M10" s="934" t="n"/>
      <c r="N10" s="934" t="n"/>
      <c r="O10" s="934" t="n"/>
      <c r="P10" s="934" t="n"/>
      <c r="Q10" s="934" t="n"/>
      <c r="R10" s="934" t="n"/>
      <c r="S10" s="865">
        <f>Draft!AS4</f>
        <v/>
      </c>
      <c r="T10" s="934" t="n"/>
      <c r="U10" s="934" t="n"/>
      <c r="V10" s="934" t="n"/>
      <c r="W10" s="934" t="n"/>
      <c r="X10" s="934" t="n"/>
      <c r="Y10" s="934" t="n"/>
      <c r="Z10" s="934" t="n"/>
      <c r="AA10" s="934" t="n"/>
      <c r="AB10" s="867">
        <f>+Draft!AS2</f>
        <v/>
      </c>
      <c r="AC10" s="934" t="n"/>
      <c r="AD10" s="934" t="n"/>
      <c r="AE10" s="934" t="n"/>
      <c r="AF10" s="934" t="n"/>
      <c r="AG10" s="934" t="n"/>
      <c r="AH10" s="934" t="n"/>
      <c r="AI10" s="934" t="n"/>
      <c r="AJ10" s="1251">
        <f>+Draft!AD13</f>
        <v/>
      </c>
      <c r="AK10" s="934" t="n"/>
      <c r="AL10" s="934" t="n"/>
      <c r="AM10" s="934" t="n"/>
      <c r="AN10" s="870" t="inlineStr">
        <is>
          <t>M</t>
        </is>
      </c>
      <c r="AO10" s="935" t="n"/>
    </row>
    <row r="11" ht="12.75" customHeight="1">
      <c r="A11" s="1244" t="n"/>
      <c r="B11" s="13" t="n"/>
      <c r="C11" s="13" t="n"/>
      <c r="D11" s="13" t="n"/>
      <c r="E11" s="13" t="n"/>
      <c r="F11" s="13" t="n"/>
      <c r="G11" s="13" t="n"/>
      <c r="H11" s="184" t="n"/>
      <c r="I11" s="1252" t="n"/>
      <c r="J11" s="13" t="n"/>
      <c r="K11" s="13" t="n"/>
      <c r="L11" s="13" t="n"/>
      <c r="M11" s="184" t="n"/>
      <c r="N11" s="1252" t="n"/>
      <c r="O11" s="13" t="n"/>
      <c r="P11" s="13" t="n"/>
      <c r="Q11" s="13" t="n"/>
      <c r="R11" s="184" t="n"/>
      <c r="S11" s="1252" t="inlineStr">
        <is>
          <t>Sounding</t>
        </is>
      </c>
      <c r="T11" s="13" t="n"/>
      <c r="U11" s="13" t="n"/>
      <c r="V11" s="13" t="n"/>
      <c r="W11" s="184" t="n"/>
      <c r="X11" s="1252" t="inlineStr">
        <is>
          <t xml:space="preserve"> </t>
        </is>
      </c>
      <c r="Y11" s="13" t="n"/>
      <c r="Z11" s="13" t="n"/>
      <c r="AA11" s="13" t="n"/>
      <c r="AB11" s="13" t="n"/>
      <c r="AC11" s="184" t="n"/>
      <c r="AD11" s="1252" t="n"/>
      <c r="AE11" s="13" t="n"/>
      <c r="AF11" s="13" t="n"/>
      <c r="AG11" s="13" t="n"/>
      <c r="AH11" s="13" t="n"/>
      <c r="AI11" s="184" t="n"/>
      <c r="AJ11" s="1252" t="n"/>
      <c r="AK11" s="13" t="n"/>
      <c r="AL11" s="13" t="n"/>
      <c r="AM11" s="13" t="n"/>
      <c r="AN11" s="13" t="n"/>
      <c r="AO11" s="184" t="n"/>
    </row>
    <row r="12" ht="12.75" customHeight="1">
      <c r="A12" s="861" t="inlineStr">
        <is>
          <t>Compartment Title.</t>
        </is>
      </c>
      <c r="H12" s="30" t="n"/>
      <c r="I12" s="1253" t="inlineStr">
        <is>
          <t>Maximun</t>
        </is>
      </c>
      <c r="M12" s="30" t="n"/>
      <c r="N12" s="1253" t="inlineStr">
        <is>
          <t>Sounding</t>
        </is>
      </c>
      <c r="R12" s="30" t="n"/>
      <c r="S12" s="1254" t="inlineStr">
        <is>
          <t xml:space="preserve"> / ullage</t>
        </is>
      </c>
      <c r="W12" s="30" t="n"/>
      <c r="X12" s="858" t="inlineStr">
        <is>
          <t>Volume</t>
        </is>
      </c>
      <c r="AC12" s="30" t="n"/>
      <c r="AD12" s="858" t="inlineStr">
        <is>
          <t>Density of</t>
        </is>
      </c>
      <c r="AI12" s="30" t="n"/>
      <c r="AJ12" s="858" t="inlineStr">
        <is>
          <t>Total</t>
        </is>
      </c>
      <c r="AO12" s="30" t="n"/>
    </row>
    <row r="13" ht="12.75" customHeight="1">
      <c r="A13" s="65" t="n"/>
      <c r="B13" s="551" t="inlineStr">
        <is>
          <t>* Tank no.</t>
        </is>
      </c>
      <c r="H13" s="30" t="n"/>
      <c r="I13" s="1254" t="inlineStr">
        <is>
          <t>height</t>
        </is>
      </c>
      <c r="M13" s="30" t="n"/>
      <c r="N13" s="1254" t="inlineStr">
        <is>
          <t xml:space="preserve"> / ullage</t>
        </is>
      </c>
      <c r="R13" s="30" t="n"/>
      <c r="S13" s="1254" t="inlineStr">
        <is>
          <t>corrected for</t>
        </is>
      </c>
      <c r="W13" s="30" t="n"/>
      <c r="X13" s="858" t="inlineStr">
        <is>
          <t>corrected</t>
        </is>
      </c>
      <c r="AC13" s="30" t="n"/>
      <c r="AD13" s="858" t="inlineStr">
        <is>
          <t>Water</t>
        </is>
      </c>
      <c r="AI13" s="30" t="n"/>
      <c r="AJ13" s="858" t="inlineStr">
        <is>
          <t>weight</t>
        </is>
      </c>
      <c r="AO13" s="30" t="n"/>
    </row>
    <row r="14" ht="12.75" customHeight="1">
      <c r="A14" s="65" t="n"/>
      <c r="B14" s="551" t="inlineStr">
        <is>
          <t>* Bilges</t>
        </is>
      </c>
      <c r="H14" s="30" t="n"/>
      <c r="I14" s="1253" t="inlineStr">
        <is>
          <t>meausured (*)</t>
        </is>
      </c>
      <c r="M14" s="30" t="n"/>
      <c r="N14" s="1253" t="inlineStr">
        <is>
          <t>metres</t>
        </is>
      </c>
      <c r="R14" s="30" t="n"/>
      <c r="S14" s="1254" t="inlineStr">
        <is>
          <t>trim / list</t>
        </is>
      </c>
      <c r="W14" s="30" t="n"/>
      <c r="X14" s="858" t="inlineStr">
        <is>
          <t>for trim / list</t>
        </is>
      </c>
      <c r="AC14" s="30" t="n"/>
      <c r="AD14" s="858" t="inlineStr">
        <is>
          <t>in air</t>
        </is>
      </c>
      <c r="AI14" s="30" t="n"/>
      <c r="AJ14" s="858" t="inlineStr">
        <is>
          <t>Metric</t>
        </is>
      </c>
      <c r="AO14" s="30" t="n"/>
    </row>
    <row r="15" ht="12.75" customHeight="1">
      <c r="A15" s="66" t="n"/>
      <c r="B15" s="889" t="inlineStr">
        <is>
          <t>* Duct Keel</t>
        </is>
      </c>
      <c r="C15" s="934" t="n"/>
      <c r="D15" s="934" t="n"/>
      <c r="E15" s="934" t="n"/>
      <c r="F15" s="934" t="n"/>
      <c r="G15" s="934" t="n"/>
      <c r="H15" s="935" t="n"/>
      <c r="I15" s="1255" t="inlineStr">
        <is>
          <t>metres</t>
        </is>
      </c>
      <c r="J15" s="934" t="n"/>
      <c r="K15" s="934" t="n"/>
      <c r="L15" s="934" t="n"/>
      <c r="M15" s="935" t="n"/>
      <c r="N15" s="1255" t="n"/>
      <c r="O15" s="934" t="n"/>
      <c r="P15" s="934" t="n"/>
      <c r="Q15" s="934" t="n"/>
      <c r="R15" s="935" t="n"/>
      <c r="S15" s="1255" t="inlineStr">
        <is>
          <t>metres</t>
        </is>
      </c>
      <c r="T15" s="934" t="n"/>
      <c r="U15" s="934" t="n"/>
      <c r="V15" s="934" t="n"/>
      <c r="W15" s="935" t="n"/>
      <c r="X15" s="859" t="inlineStr">
        <is>
          <t>m3</t>
        </is>
      </c>
      <c r="Y15" s="934" t="n"/>
      <c r="Z15" s="934" t="n"/>
      <c r="AA15" s="934" t="n"/>
      <c r="AB15" s="934" t="n"/>
      <c r="AC15" s="935" t="n"/>
      <c r="AD15" s="859" t="inlineStr">
        <is>
          <t>Kg/m3</t>
        </is>
      </c>
      <c r="AE15" s="934" t="n"/>
      <c r="AF15" s="934" t="n"/>
      <c r="AG15" s="934" t="n"/>
      <c r="AH15" s="934" t="n"/>
      <c r="AI15" s="935" t="n"/>
      <c r="AJ15" s="859" t="inlineStr">
        <is>
          <t>tonnes</t>
        </is>
      </c>
      <c r="AK15" s="934" t="n"/>
      <c r="AL15" s="934" t="n"/>
      <c r="AM15" s="934" t="n"/>
      <c r="AN15" s="934" t="n"/>
      <c r="AO15" s="935" t="n"/>
    </row>
    <row r="16" ht="12.75" customHeight="1">
      <c r="A16" s="23" t="n"/>
      <c r="B16" s="24" t="inlineStr">
        <is>
          <t>A - BALLAST</t>
        </is>
      </c>
      <c r="C16" s="24" t="n"/>
      <c r="D16" s="25" t="n"/>
      <c r="E16" s="25" t="n"/>
      <c r="F16" s="25" t="n"/>
      <c r="G16" s="25" t="n"/>
      <c r="H16" s="25" t="n"/>
      <c r="I16" s="67" t="n"/>
      <c r="J16" s="67" t="n"/>
      <c r="K16" s="67" t="n"/>
      <c r="L16" s="67" t="n"/>
      <c r="M16" s="67" t="n"/>
      <c r="N16" s="67" t="n"/>
      <c r="X16" s="25" t="n"/>
      <c r="AC16" s="27" t="n"/>
      <c r="AD16" s="67" t="n"/>
      <c r="AI16" s="67" t="n"/>
      <c r="AJ16" s="25" t="n"/>
      <c r="AO16" s="27" t="n"/>
    </row>
    <row r="17" ht="12.75" customHeight="1">
      <c r="A17" s="8" t="n"/>
      <c r="B17" s="15" t="n"/>
      <c r="C17" s="15" t="n"/>
      <c r="D17" s="16" t="n"/>
      <c r="E17" s="16" t="n"/>
      <c r="F17" s="16" t="n"/>
      <c r="G17" s="16" t="n"/>
      <c r="H17" s="16" t="n"/>
      <c r="I17" s="16" t="n"/>
      <c r="J17" s="16" t="n"/>
      <c r="K17" s="16" t="n"/>
      <c r="L17" s="16" t="n"/>
      <c r="M17" s="16" t="n"/>
      <c r="N17" s="16" t="n"/>
      <c r="X17" s="25" t="n"/>
      <c r="AC17" s="27" t="n"/>
      <c r="AD17" s="25" t="n"/>
      <c r="AI17" s="25" t="n"/>
      <c r="AJ17" s="25" t="n"/>
      <c r="AO17" s="27" t="n"/>
    </row>
    <row r="18" ht="12.75" customHeight="1">
      <c r="A18" s="68" t="n"/>
      <c r="B18" s="550">
        <f>+'Draught survey report'!B18:H18</f>
        <v/>
      </c>
      <c r="C18" s="13" t="n"/>
      <c r="D18" s="13" t="n"/>
      <c r="E18" s="13" t="n"/>
      <c r="F18" s="13" t="n"/>
      <c r="G18" s="13" t="n"/>
      <c r="H18" s="184" t="n"/>
      <c r="I18" s="1269">
        <f>+'Draught survey report'!I18:M18</f>
        <v/>
      </c>
      <c r="J18" s="13" t="n"/>
      <c r="K18" s="13" t="n"/>
      <c r="L18" s="13" t="n"/>
      <c r="M18" s="184" t="n"/>
      <c r="N18" s="1269">
        <f>+Deductions!Z11</f>
        <v/>
      </c>
      <c r="O18" s="13" t="n"/>
      <c r="P18" s="13" t="n"/>
      <c r="Q18" s="13" t="n"/>
      <c r="R18" s="184" t="n"/>
      <c r="S18" s="1269" t="n"/>
      <c r="T18" s="13" t="n"/>
      <c r="U18" s="13" t="n"/>
      <c r="V18" s="13" t="n"/>
      <c r="W18" s="184" t="n"/>
      <c r="X18" s="1257">
        <f>+Deductions!AC11</f>
        <v/>
      </c>
      <c r="Y18" s="13" t="n"/>
      <c r="Z18" s="13" t="n"/>
      <c r="AA18" s="13" t="n"/>
      <c r="AB18" s="13" t="n"/>
      <c r="AC18" s="184" t="n"/>
      <c r="AD18" s="1258">
        <f>+Deductions!AF11</f>
        <v/>
      </c>
      <c r="AE18" s="13" t="n"/>
      <c r="AF18" s="13" t="n"/>
      <c r="AG18" s="13" t="n"/>
      <c r="AH18" s="13" t="n"/>
      <c r="AI18" s="184" t="n"/>
      <c r="AJ18" s="1257">
        <f>+Deductions!AI11</f>
        <v/>
      </c>
      <c r="AK18" s="13" t="n"/>
      <c r="AL18" s="13" t="n"/>
      <c r="AM18" s="13" t="n"/>
      <c r="AN18" s="13" t="n"/>
      <c r="AO18" s="184" t="n"/>
    </row>
    <row r="19" ht="12.75" customHeight="1">
      <c r="A19" s="65" t="n"/>
      <c r="B19" s="513">
        <f>+'Draught survey report'!B19:H19</f>
        <v/>
      </c>
      <c r="H19" s="30" t="n"/>
      <c r="I19" s="1270">
        <f>+'Draught survey report'!I19:M19</f>
        <v/>
      </c>
      <c r="M19" s="30" t="n"/>
      <c r="N19" s="1270">
        <f>+Deductions!Z12</f>
        <v/>
      </c>
      <c r="R19" s="30" t="n"/>
      <c r="S19" s="1270" t="n"/>
      <c r="W19" s="30" t="n"/>
      <c r="X19" s="1260">
        <f>+Deductions!AC12</f>
        <v/>
      </c>
      <c r="AC19" s="30" t="n"/>
      <c r="AD19" s="1261">
        <f>+Deductions!AF12</f>
        <v/>
      </c>
      <c r="AI19" s="30" t="n"/>
      <c r="AJ19" s="1260">
        <f>+Deductions!AI12</f>
        <v/>
      </c>
      <c r="AO19" s="30" t="n"/>
    </row>
    <row r="20" ht="12.75" customHeight="1">
      <c r="A20" s="65" t="n"/>
      <c r="B20" s="513">
        <f>+'Draught survey report'!B20:H20</f>
        <v/>
      </c>
      <c r="H20" s="30" t="n"/>
      <c r="I20" s="1270">
        <f>+'Draught survey report'!I20:M20</f>
        <v/>
      </c>
      <c r="M20" s="30" t="n"/>
      <c r="N20" s="1270">
        <f>+Deductions!Z13</f>
        <v/>
      </c>
      <c r="R20" s="30" t="n"/>
      <c r="S20" s="1270" t="n"/>
      <c r="W20" s="30" t="n"/>
      <c r="X20" s="1260">
        <f>+Deductions!AC13</f>
        <v/>
      </c>
      <c r="AC20" s="30" t="n"/>
      <c r="AD20" s="1261">
        <f>+Deductions!AF13</f>
        <v/>
      </c>
      <c r="AI20" s="30" t="n"/>
      <c r="AJ20" s="1260">
        <f>+Deductions!AI13</f>
        <v/>
      </c>
      <c r="AO20" s="30" t="n"/>
    </row>
    <row r="21" ht="12.75" customHeight="1">
      <c r="A21" s="65" t="n"/>
      <c r="B21" s="513">
        <f>+'Draught survey report'!B21:H21</f>
        <v/>
      </c>
      <c r="H21" s="30" t="n"/>
      <c r="I21" s="1270">
        <f>+'Draught survey report'!I21:M21</f>
        <v/>
      </c>
      <c r="M21" s="30" t="n"/>
      <c r="N21" s="1270">
        <f>+Deductions!Z14</f>
        <v/>
      </c>
      <c r="R21" s="30" t="n"/>
      <c r="S21" s="1270" t="n"/>
      <c r="W21" s="30" t="n"/>
      <c r="X21" s="1260">
        <f>+Deductions!AC14</f>
        <v/>
      </c>
      <c r="AC21" s="30" t="n"/>
      <c r="AD21" s="1261">
        <f>+Deductions!AF14</f>
        <v/>
      </c>
      <c r="AI21" s="30" t="n"/>
      <c r="AJ21" s="1260">
        <f>+Deductions!AI14</f>
        <v/>
      </c>
      <c r="AO21" s="30" t="n"/>
    </row>
    <row r="22" ht="12.75" customHeight="1">
      <c r="A22" s="65" t="n"/>
      <c r="B22" s="513">
        <f>+'Draught survey report'!B22:H22</f>
        <v/>
      </c>
      <c r="H22" s="30" t="n"/>
      <c r="I22" s="1270">
        <f>+'Draught survey report'!I22:M22</f>
        <v/>
      </c>
      <c r="M22" s="30" t="n"/>
      <c r="N22" s="1270">
        <f>+Deductions!Z15</f>
        <v/>
      </c>
      <c r="R22" s="30" t="n"/>
      <c r="S22" s="1270" t="n"/>
      <c r="W22" s="30" t="n"/>
      <c r="X22" s="1260">
        <f>+Deductions!AC15</f>
        <v/>
      </c>
      <c r="AC22" s="30" t="n"/>
      <c r="AD22" s="1261">
        <f>+Deductions!AF15</f>
        <v/>
      </c>
      <c r="AI22" s="30" t="n"/>
      <c r="AJ22" s="1260">
        <f>+Deductions!AI15</f>
        <v/>
      </c>
      <c r="AO22" s="30" t="n"/>
    </row>
    <row r="23" ht="12.75" customHeight="1">
      <c r="A23" s="65" t="n"/>
      <c r="B23" s="513">
        <f>+'Draught survey report'!B23:H23</f>
        <v/>
      </c>
      <c r="H23" s="30" t="n"/>
      <c r="I23" s="1270">
        <f>+'Draught survey report'!I23:M23</f>
        <v/>
      </c>
      <c r="M23" s="30" t="n"/>
      <c r="N23" s="1270">
        <f>+Deductions!Z16</f>
        <v/>
      </c>
      <c r="R23" s="30" t="n"/>
      <c r="S23" s="1270" t="n"/>
      <c r="W23" s="30" t="n"/>
      <c r="X23" s="1260">
        <f>+Deductions!AC16</f>
        <v/>
      </c>
      <c r="AC23" s="30" t="n"/>
      <c r="AD23" s="1261">
        <f>+Deductions!AF16</f>
        <v/>
      </c>
      <c r="AI23" s="30" t="n"/>
      <c r="AJ23" s="1260">
        <f>+Deductions!AI16</f>
        <v/>
      </c>
      <c r="AO23" s="30" t="n"/>
    </row>
    <row r="24" ht="12.75" customHeight="1">
      <c r="A24" s="65" t="n"/>
      <c r="B24" s="513">
        <f>+'Draught survey report'!B24:H24</f>
        <v/>
      </c>
      <c r="H24" s="30" t="n"/>
      <c r="I24" s="1270">
        <f>+'Draught survey report'!I24:M24</f>
        <v/>
      </c>
      <c r="M24" s="30" t="n"/>
      <c r="N24" s="1270">
        <f>+Deductions!Z17</f>
        <v/>
      </c>
      <c r="R24" s="30" t="n"/>
      <c r="S24" s="1270" t="n"/>
      <c r="W24" s="30" t="n"/>
      <c r="X24" s="1260">
        <f>+Deductions!AC17</f>
        <v/>
      </c>
      <c r="AC24" s="30" t="n"/>
      <c r="AD24" s="1261">
        <f>+Deductions!AF17</f>
        <v/>
      </c>
      <c r="AI24" s="30" t="n"/>
      <c r="AJ24" s="1260">
        <f>+Deductions!AI17</f>
        <v/>
      </c>
      <c r="AO24" s="30" t="n"/>
    </row>
    <row r="25" ht="12.75" customHeight="1">
      <c r="A25" s="65" t="n"/>
      <c r="B25" s="513">
        <f>+'Draught survey report'!B25:H25</f>
        <v/>
      </c>
      <c r="H25" s="30" t="n"/>
      <c r="I25" s="1270">
        <f>+'Draught survey report'!I25:M25</f>
        <v/>
      </c>
      <c r="M25" s="30" t="n"/>
      <c r="N25" s="1270">
        <f>+Deductions!Z18</f>
        <v/>
      </c>
      <c r="R25" s="30" t="n"/>
      <c r="S25" s="1270" t="n"/>
      <c r="W25" s="30" t="n"/>
      <c r="X25" s="1260">
        <f>+Deductions!AC18</f>
        <v/>
      </c>
      <c r="AC25" s="30" t="n"/>
      <c r="AD25" s="1261">
        <f>+Deductions!AF18</f>
        <v/>
      </c>
      <c r="AI25" s="30" t="n"/>
      <c r="AJ25" s="1260">
        <f>+Deductions!AI18</f>
        <v/>
      </c>
      <c r="AO25" s="30" t="n"/>
    </row>
    <row r="26" ht="12.75" customHeight="1">
      <c r="A26" s="65" t="n"/>
      <c r="B26" s="513">
        <f>+'Draught survey report'!B26:H26</f>
        <v/>
      </c>
      <c r="H26" s="30" t="n"/>
      <c r="I26" s="1270">
        <f>+'Draught survey report'!I26:M26</f>
        <v/>
      </c>
      <c r="M26" s="30" t="n"/>
      <c r="N26" s="1270">
        <f>+Deductions!Z19</f>
        <v/>
      </c>
      <c r="R26" s="30" t="n"/>
      <c r="S26" s="1270" t="n"/>
      <c r="W26" s="30" t="n"/>
      <c r="X26" s="1260">
        <f>+Deductions!AC19</f>
        <v/>
      </c>
      <c r="AC26" s="30" t="n"/>
      <c r="AD26" s="1261">
        <f>+Deductions!AF19</f>
        <v/>
      </c>
      <c r="AI26" s="30" t="n"/>
      <c r="AJ26" s="1260">
        <f>+Deductions!AI19</f>
        <v/>
      </c>
      <c r="AO26" s="30" t="n"/>
    </row>
    <row r="27" ht="12.75" customHeight="1">
      <c r="A27" s="65" t="n"/>
      <c r="B27" s="513">
        <f>+'Draught survey report'!B27:H27</f>
        <v/>
      </c>
      <c r="H27" s="30" t="n"/>
      <c r="I27" s="1270">
        <f>+'Draught survey report'!I27:M27</f>
        <v/>
      </c>
      <c r="M27" s="30" t="n"/>
      <c r="N27" s="1270">
        <f>+Deductions!Z20</f>
        <v/>
      </c>
      <c r="R27" s="30" t="n"/>
      <c r="S27" s="1270" t="n"/>
      <c r="W27" s="30" t="n"/>
      <c r="X27" s="1260">
        <f>+Deductions!AC20</f>
        <v/>
      </c>
      <c r="AC27" s="30" t="n"/>
      <c r="AD27" s="1261">
        <f>+Deductions!AF20</f>
        <v/>
      </c>
      <c r="AI27" s="30" t="n"/>
      <c r="AJ27" s="1260">
        <f>+Deductions!AI20</f>
        <v/>
      </c>
      <c r="AO27" s="30" t="n"/>
    </row>
    <row r="28" ht="12.75" customHeight="1">
      <c r="A28" s="65" t="n"/>
      <c r="B28" s="513">
        <f>+'Draught survey report'!B28:H28</f>
        <v/>
      </c>
      <c r="H28" s="30" t="n"/>
      <c r="I28" s="1270">
        <f>+'Draught survey report'!I28:M28</f>
        <v/>
      </c>
      <c r="M28" s="30" t="n"/>
      <c r="N28" s="1270">
        <f>+Deductions!Z21</f>
        <v/>
      </c>
      <c r="R28" s="30" t="n"/>
      <c r="S28" s="1270" t="n"/>
      <c r="W28" s="30" t="n"/>
      <c r="X28" s="1260">
        <f>+Deductions!AC21</f>
        <v/>
      </c>
      <c r="AC28" s="30" t="n"/>
      <c r="AD28" s="1261">
        <f>+Deductions!AF21</f>
        <v/>
      </c>
      <c r="AI28" s="30" t="n"/>
      <c r="AJ28" s="1260">
        <f>+Deductions!AI21</f>
        <v/>
      </c>
      <c r="AO28" s="30" t="n"/>
    </row>
    <row r="29" ht="12.75" customHeight="1">
      <c r="A29" s="65" t="n"/>
      <c r="B29" s="513">
        <f>+'Draught survey report'!B29:H29</f>
        <v/>
      </c>
      <c r="H29" s="30" t="n"/>
      <c r="I29" s="1270">
        <f>+'Draught survey report'!I29:M29</f>
        <v/>
      </c>
      <c r="M29" s="30" t="n"/>
      <c r="N29" s="1270">
        <f>+Deductions!Z22</f>
        <v/>
      </c>
      <c r="R29" s="30" t="n"/>
      <c r="S29" s="1270" t="n"/>
      <c r="W29" s="30" t="n"/>
      <c r="X29" s="1260">
        <f>+Deductions!AC22</f>
        <v/>
      </c>
      <c r="AC29" s="30" t="n"/>
      <c r="AD29" s="1261">
        <f>+Deductions!AF22</f>
        <v/>
      </c>
      <c r="AI29" s="30" t="n"/>
      <c r="AJ29" s="1260">
        <f>+Deductions!AI22</f>
        <v/>
      </c>
      <c r="AO29" s="30" t="n"/>
    </row>
    <row r="30" ht="12.75" customHeight="1">
      <c r="A30" s="65" t="n"/>
      <c r="B30" s="513">
        <f>+'Draught survey report'!B30:H30</f>
        <v/>
      </c>
      <c r="H30" s="30" t="n"/>
      <c r="I30" s="1270">
        <f>+'Draught survey report'!I30:M30</f>
        <v/>
      </c>
      <c r="M30" s="30" t="n"/>
      <c r="N30" s="1270">
        <f>+Deductions!Z23</f>
        <v/>
      </c>
      <c r="R30" s="30" t="n"/>
      <c r="S30" s="1270" t="n"/>
      <c r="W30" s="30" t="n"/>
      <c r="X30" s="1260">
        <f>+Deductions!AC23</f>
        <v/>
      </c>
      <c r="AC30" s="30" t="n"/>
      <c r="AD30" s="1261">
        <f>+Deductions!AF23</f>
        <v/>
      </c>
      <c r="AI30" s="30" t="n"/>
      <c r="AJ30" s="1260">
        <f>+Deductions!AI23</f>
        <v/>
      </c>
      <c r="AO30" s="30" t="n"/>
    </row>
    <row r="31" ht="12.75" customHeight="1">
      <c r="A31" s="65" t="n"/>
      <c r="B31" s="513">
        <f>+'Draught survey report'!B31:H31</f>
        <v/>
      </c>
      <c r="H31" s="30" t="n"/>
      <c r="I31" s="1270">
        <f>+'Draught survey report'!I31:M31</f>
        <v/>
      </c>
      <c r="M31" s="30" t="n"/>
      <c r="N31" s="1270">
        <f>+Deductions!Z24</f>
        <v/>
      </c>
      <c r="R31" s="30" t="n"/>
      <c r="S31" s="1270" t="n"/>
      <c r="W31" s="30" t="n"/>
      <c r="X31" s="1260">
        <f>+Deductions!AC24</f>
        <v/>
      </c>
      <c r="AC31" s="30" t="n"/>
      <c r="AD31" s="1261">
        <f>+Deductions!AF24</f>
        <v/>
      </c>
      <c r="AI31" s="30" t="n"/>
      <c r="AJ31" s="1260">
        <f>+Deductions!AI24</f>
        <v/>
      </c>
      <c r="AO31" s="30" t="n"/>
    </row>
    <row r="32" ht="12.75" customHeight="1">
      <c r="A32" s="65" t="n"/>
      <c r="B32" s="513">
        <f>+'Draught survey report'!B32:H32</f>
        <v/>
      </c>
      <c r="H32" s="30" t="n"/>
      <c r="I32" s="1270">
        <f>+'Draught survey report'!I32:M32</f>
        <v/>
      </c>
      <c r="M32" s="30" t="n"/>
      <c r="N32" s="1270">
        <f>+Deductions!Z25</f>
        <v/>
      </c>
      <c r="R32" s="30" t="n"/>
      <c r="S32" s="1270" t="n"/>
      <c r="W32" s="30" t="n"/>
      <c r="X32" s="1260">
        <f>+Deductions!AC25</f>
        <v/>
      </c>
      <c r="AC32" s="30" t="n"/>
      <c r="AD32" s="1261">
        <f>+Deductions!AF25</f>
        <v/>
      </c>
      <c r="AI32" s="30" t="n"/>
      <c r="AJ32" s="1260">
        <f>+Deductions!AI25</f>
        <v/>
      </c>
      <c r="AO32" s="30" t="n"/>
    </row>
    <row r="33" ht="12.75" customHeight="1">
      <c r="A33" s="65" t="n"/>
      <c r="B33" s="924">
        <f>+'Draught survey report'!B33:H33</f>
        <v/>
      </c>
      <c r="H33" s="30" t="n"/>
      <c r="I33" s="1270">
        <f>+'Draught survey report'!I33:M33</f>
        <v/>
      </c>
      <c r="M33" s="30" t="n"/>
      <c r="N33" s="1270">
        <f>+Deductions!Z26</f>
        <v/>
      </c>
      <c r="R33" s="30" t="n"/>
      <c r="S33" s="1270" t="n"/>
      <c r="W33" s="30" t="n"/>
      <c r="X33" s="1260">
        <f>+Deductions!AC26</f>
        <v/>
      </c>
      <c r="AC33" s="30" t="n"/>
      <c r="AD33" s="1261">
        <f>+Deductions!AF26</f>
        <v/>
      </c>
      <c r="AI33" s="30" t="n"/>
      <c r="AJ33" s="1260">
        <f>+Deductions!AI26</f>
        <v/>
      </c>
      <c r="AO33" s="30" t="n"/>
    </row>
    <row r="34" ht="12.75" customHeight="1">
      <c r="A34" s="65" t="n"/>
      <c r="B34" s="513">
        <f>+'Draught survey report'!B34:H34</f>
        <v/>
      </c>
      <c r="H34" s="30" t="n"/>
      <c r="I34" s="1270">
        <f>+'Draught survey report'!I34:M34</f>
        <v/>
      </c>
      <c r="M34" s="30" t="n"/>
      <c r="N34" s="1270">
        <f>+Deductions!Z27</f>
        <v/>
      </c>
      <c r="R34" s="30" t="n"/>
      <c r="S34" s="1270" t="n"/>
      <c r="W34" s="30" t="n"/>
      <c r="X34" s="1260">
        <f>+Deductions!AC27</f>
        <v/>
      </c>
      <c r="AC34" s="30" t="n"/>
      <c r="AD34" s="1261">
        <f>+Deductions!AF27</f>
        <v/>
      </c>
      <c r="AI34" s="30" t="n"/>
      <c r="AJ34" s="1260">
        <f>+Deductions!AI27</f>
        <v/>
      </c>
      <c r="AO34" s="30" t="n"/>
    </row>
    <row r="35" ht="12.75" customHeight="1">
      <c r="A35" s="65" t="n"/>
      <c r="B35" s="513">
        <f>+'Draught survey report'!B35:H35</f>
        <v/>
      </c>
      <c r="H35" s="30" t="n"/>
      <c r="I35" s="1270">
        <f>+'Draught survey report'!I35:M35</f>
        <v/>
      </c>
      <c r="M35" s="30" t="n"/>
      <c r="N35" s="1270">
        <f>+Deductions!Z28</f>
        <v/>
      </c>
      <c r="R35" s="30" t="n"/>
      <c r="S35" s="1270" t="n"/>
      <c r="W35" s="30" t="n"/>
      <c r="X35" s="1260">
        <f>+Deductions!AC28</f>
        <v/>
      </c>
      <c r="AC35" s="30" t="n"/>
      <c r="AD35" s="1261">
        <f>+Deductions!AF28</f>
        <v/>
      </c>
      <c r="AI35" s="30" t="n"/>
      <c r="AJ35" s="1260">
        <f>+Deductions!AI28</f>
        <v/>
      </c>
      <c r="AO35" s="30" t="n"/>
    </row>
    <row r="36" ht="12.75" customHeight="1">
      <c r="A36" s="65" t="n"/>
      <c r="B36" s="513">
        <f>+'Draught survey report'!B36:H36</f>
        <v/>
      </c>
      <c r="H36" s="30" t="n"/>
      <c r="I36" s="1270">
        <f>+'Draught survey report'!I36:M36</f>
        <v/>
      </c>
      <c r="M36" s="30" t="n"/>
      <c r="N36" s="1270">
        <f>+Deductions!Z29</f>
        <v/>
      </c>
      <c r="R36" s="30" t="n"/>
      <c r="S36" s="1270" t="n"/>
      <c r="W36" s="30" t="n"/>
      <c r="X36" s="1260">
        <f>+Deductions!AC29</f>
        <v/>
      </c>
      <c r="AC36" s="30" t="n"/>
      <c r="AD36" s="1261">
        <f>+Deductions!AF29</f>
        <v/>
      </c>
      <c r="AI36" s="30" t="n"/>
      <c r="AJ36" s="1260">
        <f>+Deductions!AI29</f>
        <v/>
      </c>
      <c r="AO36" s="30" t="n"/>
    </row>
    <row r="37" ht="12.75" customHeight="1">
      <c r="A37" s="65" t="n"/>
      <c r="B37" s="513">
        <f>+'Draught survey report'!B37:H37</f>
        <v/>
      </c>
      <c r="H37" s="30" t="n"/>
      <c r="I37" s="1270">
        <f>+'Draught survey report'!I37:M37</f>
        <v/>
      </c>
      <c r="M37" s="30" t="n"/>
      <c r="N37" s="1270">
        <f>+Deductions!Z30</f>
        <v/>
      </c>
      <c r="R37" s="30" t="n"/>
      <c r="S37" s="1270" t="n"/>
      <c r="W37" s="30" t="n"/>
      <c r="X37" s="1260">
        <f>+Deductions!AC30</f>
        <v/>
      </c>
      <c r="AC37" s="30" t="n"/>
      <c r="AD37" s="1261">
        <f>+Deductions!AF30</f>
        <v/>
      </c>
      <c r="AI37" s="30" t="n"/>
      <c r="AJ37" s="1260">
        <f>+Deductions!AI30</f>
        <v/>
      </c>
      <c r="AO37" s="30" t="n"/>
    </row>
    <row r="38" ht="12.75" customHeight="1">
      <c r="A38" s="65" t="n"/>
      <c r="B38" s="513">
        <f>+'Draught survey report'!B38:H38</f>
        <v/>
      </c>
      <c r="H38" s="30" t="n"/>
      <c r="I38" s="1270">
        <f>+'Draught survey report'!I38:M38</f>
        <v/>
      </c>
      <c r="M38" s="30" t="n"/>
      <c r="N38" s="1270">
        <f>+Deductions!Z31</f>
        <v/>
      </c>
      <c r="R38" s="30" t="n"/>
      <c r="S38" s="1270" t="n"/>
      <c r="W38" s="30" t="n"/>
      <c r="X38" s="1260">
        <f>+Deductions!AC31</f>
        <v/>
      </c>
      <c r="AC38" s="30" t="n"/>
      <c r="AD38" s="1261">
        <f>+Deductions!AF31</f>
        <v/>
      </c>
      <c r="AI38" s="30" t="n"/>
      <c r="AJ38" s="1260">
        <f>+Deductions!AI31</f>
        <v/>
      </c>
      <c r="AO38" s="30" t="n"/>
    </row>
    <row r="39" ht="12.75" customHeight="1">
      <c r="A39" s="65" t="n"/>
      <c r="B39" s="513">
        <f>+'Draught survey report'!B39:H39</f>
        <v/>
      </c>
      <c r="H39" s="30" t="n"/>
      <c r="I39" s="1270">
        <f>+'Draught survey report'!I39:M39</f>
        <v/>
      </c>
      <c r="M39" s="30" t="n"/>
      <c r="N39" s="1270">
        <f>+Deductions!Z32</f>
        <v/>
      </c>
      <c r="R39" s="30" t="n"/>
      <c r="S39" s="1270" t="n"/>
      <c r="W39" s="30" t="n"/>
      <c r="X39" s="1260">
        <f>+Deductions!AC32</f>
        <v/>
      </c>
      <c r="AC39" s="30" t="n"/>
      <c r="AD39" s="1261">
        <f>+Deductions!AF32</f>
        <v/>
      </c>
      <c r="AI39" s="30" t="n"/>
      <c r="AJ39" s="1260">
        <f>+Deductions!AI32</f>
        <v/>
      </c>
      <c r="AO39" s="30" t="n"/>
    </row>
    <row r="40" ht="12.75" customHeight="1">
      <c r="A40" s="65" t="n"/>
      <c r="B40" s="513">
        <f>+'Draught survey report'!B40:H40</f>
        <v/>
      </c>
      <c r="H40" s="30" t="n"/>
      <c r="I40" s="1270">
        <f>+'Draught survey report'!I40:M40</f>
        <v/>
      </c>
      <c r="M40" s="30" t="n"/>
      <c r="N40" s="1270">
        <f>+Deductions!Z33</f>
        <v/>
      </c>
      <c r="R40" s="30" t="n"/>
      <c r="S40" s="1270" t="n"/>
      <c r="W40" s="30" t="n"/>
      <c r="X40" s="1260">
        <f>+Deductions!AC33</f>
        <v/>
      </c>
      <c r="AC40" s="30" t="n"/>
      <c r="AD40" s="1261">
        <f>+Deductions!AF33</f>
        <v/>
      </c>
      <c r="AI40" s="30" t="n"/>
      <c r="AJ40" s="1260">
        <f>+Deductions!AI33</f>
        <v/>
      </c>
      <c r="AO40" s="30" t="n"/>
    </row>
    <row r="41" ht="12.75" customHeight="1">
      <c r="A41" s="65" t="n"/>
      <c r="B41" s="513">
        <f>+'Draught survey report'!B41:H41</f>
        <v/>
      </c>
      <c r="H41" s="30" t="n"/>
      <c r="I41" s="1270">
        <f>+'Draught survey report'!I41:M41</f>
        <v/>
      </c>
      <c r="M41" s="30" t="n"/>
      <c r="N41" s="1270">
        <f>+Deductions!Z34</f>
        <v/>
      </c>
      <c r="R41" s="30" t="n"/>
      <c r="S41" s="1270" t="n"/>
      <c r="W41" s="30" t="n"/>
      <c r="X41" s="1260">
        <f>+Deductions!AC34</f>
        <v/>
      </c>
      <c r="AC41" s="30" t="n"/>
      <c r="AD41" s="1261">
        <f>+Deductions!AF34</f>
        <v/>
      </c>
      <c r="AI41" s="30" t="n"/>
      <c r="AJ41" s="1260">
        <f>+Deductions!AI34</f>
        <v/>
      </c>
      <c r="AO41" s="30" t="n"/>
    </row>
    <row r="42" ht="12.75" customHeight="1">
      <c r="A42" s="65" t="n"/>
      <c r="B42" s="513">
        <f>+'Draught survey report'!B42:H42</f>
        <v/>
      </c>
      <c r="H42" s="30" t="n"/>
      <c r="I42" s="1270">
        <f>+'Draught survey report'!I42:M42</f>
        <v/>
      </c>
      <c r="M42" s="30" t="n"/>
      <c r="N42" s="1270">
        <f>+Deductions!Z35</f>
        <v/>
      </c>
      <c r="R42" s="30" t="n"/>
      <c r="S42" s="1270" t="n"/>
      <c r="W42" s="30" t="n"/>
      <c r="X42" s="1260">
        <f>+Deductions!AC35</f>
        <v/>
      </c>
      <c r="AC42" s="30" t="n"/>
      <c r="AD42" s="1261">
        <f>+Deductions!AF35</f>
        <v/>
      </c>
      <c r="AI42" s="30" t="n"/>
      <c r="AJ42" s="1260">
        <f>+Deductions!AI35</f>
        <v/>
      </c>
      <c r="AO42" s="30" t="n"/>
    </row>
    <row r="43" ht="12.75" customHeight="1">
      <c r="A43" s="65" t="n"/>
      <c r="B43" s="513">
        <f>+'Draught survey report'!B43:H43</f>
        <v/>
      </c>
      <c r="H43" s="30" t="n"/>
      <c r="I43" s="1270">
        <f>+'Draught survey report'!I43:M43</f>
        <v/>
      </c>
      <c r="M43" s="30" t="n"/>
      <c r="N43" s="1270">
        <f>+Deductions!Z36</f>
        <v/>
      </c>
      <c r="R43" s="30" t="n"/>
      <c r="S43" s="1270" t="n"/>
      <c r="W43" s="30" t="n"/>
      <c r="X43" s="1260">
        <f>+Deductions!AC36</f>
        <v/>
      </c>
      <c r="AC43" s="30" t="n"/>
      <c r="AD43" s="1261">
        <f>+Deductions!AF36</f>
        <v/>
      </c>
      <c r="AI43" s="30" t="n"/>
      <c r="AJ43" s="1260">
        <f>+Deductions!AI36</f>
        <v/>
      </c>
      <c r="AO43" s="30" t="n"/>
    </row>
    <row r="44" ht="12.75" customHeight="1">
      <c r="A44" s="66" t="n"/>
      <c r="B44" s="519">
        <f>+'Draught survey report'!B44:H44</f>
        <v/>
      </c>
      <c r="C44" s="934" t="n"/>
      <c r="D44" s="934" t="n"/>
      <c r="E44" s="934" t="n"/>
      <c r="F44" s="934" t="n"/>
      <c r="G44" s="934" t="n"/>
      <c r="H44" s="935" t="n"/>
      <c r="I44" s="1271">
        <f>+'Draught survey report'!I44:M44</f>
        <v/>
      </c>
      <c r="J44" s="934" t="n"/>
      <c r="K44" s="934" t="n"/>
      <c r="L44" s="934" t="n"/>
      <c r="M44" s="935" t="n"/>
      <c r="N44" s="1271">
        <f>+Deductions!Z37</f>
        <v/>
      </c>
      <c r="O44" s="934" t="n"/>
      <c r="P44" s="934" t="n"/>
      <c r="Q44" s="934" t="n"/>
      <c r="R44" s="935" t="n"/>
      <c r="S44" s="1271" t="n"/>
      <c r="T44" s="934" t="n"/>
      <c r="U44" s="934" t="n"/>
      <c r="V44" s="934" t="n"/>
      <c r="W44" s="935" t="n"/>
      <c r="X44" s="1263">
        <f>+Deductions!AC37</f>
        <v/>
      </c>
      <c r="Y44" s="934" t="n"/>
      <c r="Z44" s="934" t="n"/>
      <c r="AA44" s="934" t="n"/>
      <c r="AB44" s="934" t="n"/>
      <c r="AC44" s="935" t="n"/>
      <c r="AD44" s="1264">
        <f>+Deductions!AF37</f>
        <v/>
      </c>
      <c r="AE44" s="934" t="n"/>
      <c r="AF44" s="934" t="n"/>
      <c r="AG44" s="934" t="n"/>
      <c r="AH44" s="934" t="n"/>
      <c r="AI44" s="935" t="n"/>
      <c r="AJ44" s="1263">
        <f>+Deductions!AI37</f>
        <v/>
      </c>
      <c r="AK44" s="934" t="n"/>
      <c r="AL44" s="934" t="n"/>
      <c r="AM44" s="934" t="n"/>
      <c r="AN44" s="934" t="n"/>
      <c r="AO44" s="935" t="n"/>
    </row>
    <row r="45" ht="12.75" customHeight="1">
      <c r="A45" s="35" t="n"/>
      <c r="B45" s="534" t="inlineStr">
        <is>
          <t>Total A</t>
        </is>
      </c>
      <c r="C45" s="203" t="n"/>
      <c r="D45" s="203" t="n"/>
      <c r="E45" s="203" t="n"/>
      <c r="F45" s="203" t="n"/>
      <c r="G45" s="203" t="n"/>
      <c r="H45" s="203" t="n"/>
      <c r="I45" s="203" t="n"/>
      <c r="J45" s="203" t="n"/>
      <c r="K45" s="203" t="n"/>
      <c r="L45" s="203" t="n"/>
      <c r="M45" s="203" t="n"/>
      <c r="N45" s="203" t="n"/>
      <c r="O45" s="203" t="n"/>
      <c r="P45" s="203" t="n"/>
      <c r="Q45" s="203" t="n"/>
      <c r="R45" s="203" t="n"/>
      <c r="S45" s="203" t="n"/>
      <c r="T45" s="203" t="n"/>
      <c r="U45" s="203" t="n"/>
      <c r="V45" s="203" t="n"/>
      <c r="W45" s="203" t="n"/>
      <c r="X45" s="203" t="n"/>
      <c r="Y45" s="203" t="n"/>
      <c r="Z45" s="203" t="n"/>
      <c r="AA45" s="203" t="n"/>
      <c r="AB45" s="203" t="n"/>
      <c r="AC45" s="203" t="n"/>
      <c r="AD45" s="203" t="n"/>
      <c r="AE45" s="203" t="n"/>
      <c r="AF45" s="203" t="n"/>
      <c r="AG45" s="203" t="n"/>
      <c r="AH45" s="203" t="n"/>
      <c r="AI45" s="203" t="n"/>
      <c r="AJ45" s="1265">
        <f>+Deductions!AI42</f>
        <v/>
      </c>
      <c r="AK45" s="203" t="n"/>
      <c r="AL45" s="203" t="n"/>
      <c r="AM45" s="203" t="n"/>
      <c r="AN45" s="203" t="n"/>
      <c r="AO45" s="1003" t="n"/>
    </row>
    <row r="46" ht="12.75" customHeight="1">
      <c r="A46" s="23" t="n"/>
      <c r="B46" s="24" t="inlineStr">
        <is>
          <t>B - FRESH WATER</t>
        </is>
      </c>
      <c r="C46" s="24" t="n"/>
      <c r="D46" s="25" t="n"/>
      <c r="E46" s="25" t="n"/>
      <c r="F46" s="25" t="n"/>
      <c r="G46" s="25" t="n"/>
      <c r="H46" s="69" t="n"/>
      <c r="I46" s="69" t="n"/>
      <c r="J46" s="69" t="n"/>
      <c r="K46" s="69" t="n"/>
      <c r="L46" s="69" t="n"/>
      <c r="M46" s="69" t="n"/>
      <c r="N46" s="69" t="n"/>
      <c r="AD46" s="69" t="n"/>
      <c r="AI46" s="1266" t="n"/>
      <c r="AJ46" s="69" t="n"/>
      <c r="AO46" s="71" t="n"/>
    </row>
    <row r="47" ht="1.5" customHeight="1">
      <c r="A47" s="8" t="n"/>
      <c r="B47" s="15" t="n"/>
      <c r="C47" s="15" t="n"/>
      <c r="D47" s="16" t="n"/>
      <c r="E47" s="16" t="n"/>
      <c r="F47" s="16" t="n"/>
      <c r="G47" s="16" t="n"/>
      <c r="H47" s="72" t="n"/>
      <c r="I47" s="72" t="n"/>
      <c r="J47" s="72" t="n"/>
      <c r="K47" s="72" t="n"/>
      <c r="L47" s="72" t="n"/>
      <c r="M47" s="72" t="n"/>
      <c r="N47" s="72" t="n"/>
      <c r="AD47" s="72" t="n"/>
      <c r="AI47" s="1267" t="n"/>
      <c r="AJ47" s="72" t="n"/>
      <c r="AO47" s="74" t="n"/>
    </row>
    <row r="48" ht="12.75" customHeight="1">
      <c r="A48" s="68" t="n"/>
      <c r="B48" s="550">
        <f>+'Draught survey report'!B48:H48</f>
        <v/>
      </c>
      <c r="C48" s="13" t="n"/>
      <c r="D48" s="13" t="n"/>
      <c r="E48" s="13" t="n"/>
      <c r="F48" s="13" t="n"/>
      <c r="G48" s="13" t="n"/>
      <c r="H48" s="184" t="n"/>
      <c r="I48" s="1269">
        <f>+'Draught survey report'!I48:M48</f>
        <v/>
      </c>
      <c r="J48" s="13" t="n"/>
      <c r="K48" s="13" t="n"/>
      <c r="L48" s="13" t="n"/>
      <c r="M48" s="184" t="n"/>
      <c r="N48" s="1269">
        <f>+Deductions!Z47</f>
        <v/>
      </c>
      <c r="O48" s="13" t="n"/>
      <c r="P48" s="13" t="n"/>
      <c r="Q48" s="13" t="n"/>
      <c r="R48" s="184" t="n"/>
      <c r="S48" s="1269" t="n"/>
      <c r="T48" s="13" t="n"/>
      <c r="U48" s="13" t="n"/>
      <c r="V48" s="13" t="n"/>
      <c r="W48" s="184" t="n"/>
      <c r="X48" s="1257">
        <f>+Deductions!AC47</f>
        <v/>
      </c>
      <c r="Y48" s="13" t="n"/>
      <c r="Z48" s="13" t="n"/>
      <c r="AA48" s="13" t="n"/>
      <c r="AB48" s="13" t="n"/>
      <c r="AC48" s="184" t="n"/>
      <c r="AD48" s="1258">
        <f>+Deductions!AF47</f>
        <v/>
      </c>
      <c r="AE48" s="13" t="n"/>
      <c r="AF48" s="13" t="n"/>
      <c r="AG48" s="13" t="n"/>
      <c r="AH48" s="13" t="n"/>
      <c r="AI48" s="184" t="n"/>
      <c r="AJ48" s="1257">
        <f>+Deductions!AI47</f>
        <v/>
      </c>
      <c r="AK48" s="13" t="n"/>
      <c r="AL48" s="13" t="n"/>
      <c r="AM48" s="13" t="n"/>
      <c r="AN48" s="13" t="n"/>
      <c r="AO48" s="184" t="n"/>
    </row>
    <row r="49" ht="12.75" customHeight="1">
      <c r="A49" s="65" t="n"/>
      <c r="B49" s="513">
        <f>+'Draught survey report'!B49:H49</f>
        <v/>
      </c>
      <c r="H49" s="30" t="n"/>
      <c r="I49" s="1270">
        <f>+'Draught survey report'!I49:M49</f>
        <v/>
      </c>
      <c r="M49" s="30" t="n"/>
      <c r="N49" s="1270">
        <f>+Deductions!Z48</f>
        <v/>
      </c>
      <c r="R49" s="30" t="n"/>
      <c r="S49" s="1270" t="n"/>
      <c r="W49" s="30" t="n"/>
      <c r="X49" s="1260">
        <f>+Deductions!AC48</f>
        <v/>
      </c>
      <c r="AC49" s="30" t="n"/>
      <c r="AD49" s="1261">
        <f>+Deductions!AF48</f>
        <v/>
      </c>
      <c r="AI49" s="30" t="n"/>
      <c r="AJ49" s="1260">
        <f>+Deductions!AI48</f>
        <v/>
      </c>
      <c r="AO49" s="30" t="n"/>
    </row>
    <row r="50" ht="12.75" customHeight="1">
      <c r="A50" s="65" t="n"/>
      <c r="B50" s="513">
        <f>+'Draught survey report'!B50:H50</f>
        <v/>
      </c>
      <c r="H50" s="30" t="n"/>
      <c r="I50" s="1270">
        <f>+'Draught survey report'!I50:M50</f>
        <v/>
      </c>
      <c r="M50" s="30" t="n"/>
      <c r="N50" s="1270">
        <f>+Deductions!Z49</f>
        <v/>
      </c>
      <c r="R50" s="30" t="n"/>
      <c r="S50" s="1270" t="n"/>
      <c r="W50" s="30" t="n"/>
      <c r="X50" s="1260">
        <f>+Deductions!AC49</f>
        <v/>
      </c>
      <c r="AC50" s="30" t="n"/>
      <c r="AD50" s="1261">
        <f>+Deductions!AF49</f>
        <v/>
      </c>
      <c r="AI50" s="30" t="n"/>
      <c r="AJ50" s="1260">
        <f>+Deductions!AI49</f>
        <v/>
      </c>
      <c r="AO50" s="30" t="n"/>
    </row>
    <row r="51" ht="12.75" customHeight="1">
      <c r="A51" s="65" t="n"/>
      <c r="B51" s="513">
        <f>+'Draught survey report'!B51:H51</f>
        <v/>
      </c>
      <c r="H51" s="30" t="n"/>
      <c r="I51" s="1270">
        <f>+'Draught survey report'!I51:M51</f>
        <v/>
      </c>
      <c r="M51" s="30" t="n"/>
      <c r="N51" s="1270">
        <f>+Deductions!Z50</f>
        <v/>
      </c>
      <c r="R51" s="30" t="n"/>
      <c r="S51" s="1270" t="n"/>
      <c r="W51" s="30" t="n"/>
      <c r="X51" s="1260">
        <f>+Deductions!AC50</f>
        <v/>
      </c>
      <c r="AC51" s="30" t="n"/>
      <c r="AD51" s="1261">
        <f>+Deductions!AF50</f>
        <v/>
      </c>
      <c r="AI51" s="30" t="n"/>
      <c r="AJ51" s="1260">
        <f>+Deductions!AI50</f>
        <v/>
      </c>
      <c r="AO51" s="30" t="n"/>
    </row>
    <row r="52" ht="12.75" customHeight="1">
      <c r="A52" s="65" t="n"/>
      <c r="B52" s="513">
        <f>+'Draught survey report'!B52:H52</f>
        <v/>
      </c>
      <c r="H52" s="30" t="n"/>
      <c r="I52" s="1270">
        <f>+'Draught survey report'!I52:M52</f>
        <v/>
      </c>
      <c r="M52" s="30" t="n"/>
      <c r="N52" s="1270">
        <f>+Deductions!Z51</f>
        <v/>
      </c>
      <c r="R52" s="30" t="n"/>
      <c r="S52" s="1270" t="n"/>
      <c r="W52" s="30" t="n"/>
      <c r="X52" s="1260">
        <f>+Deductions!AC51</f>
        <v/>
      </c>
      <c r="AC52" s="30" t="n"/>
      <c r="AD52" s="1261">
        <f>+Deductions!AF51</f>
        <v/>
      </c>
      <c r="AI52" s="30" t="n"/>
      <c r="AJ52" s="1260">
        <f>+Deductions!AI51</f>
        <v/>
      </c>
      <c r="AO52" s="30" t="n"/>
    </row>
    <row r="53" ht="12.75" customHeight="1">
      <c r="A53" s="66" t="n"/>
      <c r="B53" s="519">
        <f>+'Draught survey report'!B53:H53</f>
        <v/>
      </c>
      <c r="C53" s="934" t="n"/>
      <c r="D53" s="934" t="n"/>
      <c r="E53" s="934" t="n"/>
      <c r="F53" s="934" t="n"/>
      <c r="G53" s="934" t="n"/>
      <c r="H53" s="935" t="n"/>
      <c r="I53" s="1271">
        <f>+'Draught survey report'!I53:M53</f>
        <v/>
      </c>
      <c r="J53" s="934" t="n"/>
      <c r="K53" s="934" t="n"/>
      <c r="L53" s="934" t="n"/>
      <c r="M53" s="935" t="n"/>
      <c r="N53" s="1271">
        <f>+Deductions!Z52</f>
        <v/>
      </c>
      <c r="O53" s="934" t="n"/>
      <c r="P53" s="934" t="n"/>
      <c r="Q53" s="934" t="n"/>
      <c r="R53" s="935" t="n"/>
      <c r="S53" s="1271" t="n"/>
      <c r="T53" s="934" t="n"/>
      <c r="U53" s="934" t="n"/>
      <c r="V53" s="934" t="n"/>
      <c r="W53" s="935" t="n"/>
      <c r="X53" s="1263">
        <f>+Deductions!AC52</f>
        <v/>
      </c>
      <c r="Y53" s="934" t="n"/>
      <c r="Z53" s="934" t="n"/>
      <c r="AA53" s="934" t="n"/>
      <c r="AB53" s="934" t="n"/>
      <c r="AC53" s="935" t="n"/>
      <c r="AD53" s="1264">
        <f>+Deductions!AF52</f>
        <v/>
      </c>
      <c r="AE53" s="934" t="n"/>
      <c r="AF53" s="934" t="n"/>
      <c r="AG53" s="934" t="n"/>
      <c r="AH53" s="934" t="n"/>
      <c r="AI53" s="935" t="n"/>
      <c r="AJ53" s="1263">
        <f>+Deductions!AI52</f>
        <v/>
      </c>
      <c r="AK53" s="934" t="n"/>
      <c r="AL53" s="934" t="n"/>
      <c r="AM53" s="934" t="n"/>
      <c r="AN53" s="934" t="n"/>
      <c r="AO53" s="935" t="n"/>
    </row>
    <row r="54" ht="12.75" customHeight="1">
      <c r="A54" s="35" t="n"/>
      <c r="B54" s="534" t="inlineStr">
        <is>
          <t>Total B</t>
        </is>
      </c>
      <c r="C54" s="203" t="n"/>
      <c r="D54" s="203" t="n"/>
      <c r="E54" s="203" t="n"/>
      <c r="F54" s="203" t="n"/>
      <c r="G54" s="203" t="n"/>
      <c r="H54" s="203" t="n"/>
      <c r="I54" s="203" t="n"/>
      <c r="J54" s="203" t="n"/>
      <c r="K54" s="203" t="n"/>
      <c r="L54" s="203" t="n"/>
      <c r="M54" s="203" t="n"/>
      <c r="N54" s="203" t="n"/>
      <c r="O54" s="203" t="n"/>
      <c r="P54" s="203" t="n"/>
      <c r="Q54" s="203" t="n"/>
      <c r="R54" s="203" t="n"/>
      <c r="S54" s="203" t="n"/>
      <c r="T54" s="203" t="n"/>
      <c r="U54" s="203" t="n"/>
      <c r="V54" s="203" t="n"/>
      <c r="W54" s="203" t="n"/>
      <c r="X54" s="203" t="n"/>
      <c r="Y54" s="203" t="n"/>
      <c r="Z54" s="203" t="n"/>
      <c r="AA54" s="203" t="n"/>
      <c r="AB54" s="203" t="n"/>
      <c r="AC54" s="203" t="n"/>
      <c r="AD54" s="203" t="n"/>
      <c r="AE54" s="203" t="n"/>
      <c r="AF54" s="203" t="n"/>
      <c r="AG54" s="203" t="n"/>
      <c r="AH54" s="203" t="n"/>
      <c r="AI54" s="203" t="n"/>
      <c r="AJ54" s="1265">
        <f>+Deductions!AI54</f>
        <v/>
      </c>
      <c r="AK54" s="203" t="n"/>
      <c r="AL54" s="203" t="n"/>
      <c r="AM54" s="203" t="n"/>
      <c r="AN54" s="203" t="n"/>
      <c r="AO54" s="1003" t="n"/>
    </row>
    <row r="55" ht="12.75" customHeight="1">
      <c r="A55" s="23" t="n"/>
      <c r="B55" s="25" t="n"/>
      <c r="C55" s="24" t="n"/>
      <c r="D55" s="25" t="n"/>
      <c r="E55" s="25" t="n"/>
      <c r="F55" s="25" t="n"/>
      <c r="G55" s="25" t="n"/>
      <c r="H55" s="25" t="n"/>
      <c r="I55" s="25" t="n"/>
      <c r="J55" s="25" t="n"/>
      <c r="K55" s="25" t="n"/>
      <c r="L55" s="25" t="n"/>
      <c r="M55" s="25" t="n"/>
      <c r="N55" s="25" t="n"/>
      <c r="AD55" s="25" t="n"/>
      <c r="AI55" s="25" t="n"/>
      <c r="AJ55" s="25" t="n"/>
      <c r="AO55" s="27" t="n"/>
    </row>
    <row r="56" ht="12.75" customHeight="1">
      <c r="A56" s="8" t="n"/>
      <c r="B56" s="15" t="n"/>
      <c r="C56" s="75">
        <f>IF(Deductions!AC4="X", Deductions!AD4," ")</f>
        <v/>
      </c>
      <c r="D56" s="16" t="n"/>
      <c r="E56" s="16" t="n"/>
      <c r="F56" s="16" t="n"/>
      <c r="G56" s="16" t="n"/>
      <c r="H56" s="16" t="n"/>
      <c r="I56" s="16" t="n"/>
      <c r="J56" s="16" t="n"/>
      <c r="K56" s="16" t="n"/>
      <c r="L56" s="16" t="n"/>
      <c r="M56" s="16" t="n"/>
      <c r="N56" s="16" t="n"/>
      <c r="O56" s="934" t="n"/>
      <c r="P56" s="76" t="n"/>
      <c r="Q56" s="934" t="n"/>
      <c r="R56" s="934" t="n"/>
      <c r="S56" s="934" t="n"/>
      <c r="T56" s="934" t="n"/>
      <c r="U56" s="934" t="n"/>
      <c r="V56" s="934" t="n"/>
      <c r="W56" s="934" t="n"/>
      <c r="X56" s="934" t="n"/>
      <c r="Y56" s="934" t="n"/>
      <c r="Z56" s="934" t="n"/>
      <c r="AA56" s="934" t="n"/>
      <c r="AB56" s="934" t="n"/>
      <c r="AC56" s="934" t="n"/>
      <c r="AD56" s="16" t="n"/>
      <c r="AE56" s="934" t="n"/>
      <c r="AF56" s="934" t="n"/>
      <c r="AG56" s="934" t="n"/>
      <c r="AH56" s="934" t="n"/>
      <c r="AI56" s="16" t="n"/>
      <c r="AJ56" s="16" t="n"/>
      <c r="AK56" s="934" t="n"/>
      <c r="AL56" s="934" t="n"/>
      <c r="AM56" s="934" t="n"/>
      <c r="AN56" s="934" t="n"/>
      <c r="AO56" s="20" t="n"/>
    </row>
    <row r="57" ht="12.75" customHeight="1">
      <c r="A57" s="528"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row>
    <row r="58" ht="24" customHeight="1">
      <c r="A58" s="418" t="n"/>
    </row>
  </sheetData>
  <mergeCells count="301">
    <mergeCell ref="I30:M30"/>
    <mergeCell ref="N26:R26"/>
    <mergeCell ref="B40:H40"/>
    <mergeCell ref="AJ38:AO38"/>
    <mergeCell ref="AD15:AI15"/>
    <mergeCell ref="B49:H49"/>
    <mergeCell ref="N41:R41"/>
    <mergeCell ref="B24:H24"/>
    <mergeCell ref="N50:R50"/>
    <mergeCell ref="X49:AC49"/>
    <mergeCell ref="B33:H33"/>
    <mergeCell ref="B51:H51"/>
    <mergeCell ref="N51:R51"/>
    <mergeCell ref="X24:AC24"/>
    <mergeCell ref="S52:W52"/>
    <mergeCell ref="AJ37:AO37"/>
    <mergeCell ref="X33:AC33"/>
    <mergeCell ref="B32:H32"/>
    <mergeCell ref="N43:R43"/>
    <mergeCell ref="S39:W39"/>
    <mergeCell ref="B26:H26"/>
    <mergeCell ref="B41:H41"/>
    <mergeCell ref="AD49:AI49"/>
    <mergeCell ref="S48:W48"/>
    <mergeCell ref="B35:H35"/>
    <mergeCell ref="AJ33:AO33"/>
    <mergeCell ref="AJ24:AO24"/>
    <mergeCell ref="S10:AA10"/>
    <mergeCell ref="I32:M32"/>
    <mergeCell ref="S14:W14"/>
    <mergeCell ref="N33:R33"/>
    <mergeCell ref="I41:M41"/>
    <mergeCell ref="X41:AC41"/>
    <mergeCell ref="X26:AC26"/>
    <mergeCell ref="N42:R42"/>
    <mergeCell ref="S38:W38"/>
    <mergeCell ref="X35:AC35"/>
    <mergeCell ref="B25:H25"/>
    <mergeCell ref="S23:W23"/>
    <mergeCell ref="B5:AO5"/>
    <mergeCell ref="AJ26:AO26"/>
    <mergeCell ref="S13:W13"/>
    <mergeCell ref="AJ35:AO35"/>
    <mergeCell ref="X25:AC25"/>
    <mergeCell ref="I43:M43"/>
    <mergeCell ref="B27:H27"/>
    <mergeCell ref="B18:H18"/>
    <mergeCell ref="N44:R44"/>
    <mergeCell ref="B52:H52"/>
    <mergeCell ref="S40:W40"/>
    <mergeCell ref="AJ25:AO25"/>
    <mergeCell ref="I24:M24"/>
    <mergeCell ref="S15:W15"/>
    <mergeCell ref="AD42:AI42"/>
    <mergeCell ref="I33:M33"/>
    <mergeCell ref="X27:AC27"/>
    <mergeCell ref="N28:R28"/>
    <mergeCell ref="S24:W24"/>
    <mergeCell ref="B42:H42"/>
    <mergeCell ref="X36:AC36"/>
    <mergeCell ref="AJ9:AO9"/>
    <mergeCell ref="AD12:AI12"/>
    <mergeCell ref="Y2:AH2"/>
    <mergeCell ref="AJ50:AO50"/>
    <mergeCell ref="X11:AC11"/>
    <mergeCell ref="N30:R30"/>
    <mergeCell ref="AC8:AO8"/>
    <mergeCell ref="B53:H53"/>
    <mergeCell ref="B44:H44"/>
    <mergeCell ref="AJ42:AO42"/>
    <mergeCell ref="X52:AC52"/>
    <mergeCell ref="AD20:AI20"/>
    <mergeCell ref="AD14:AI14"/>
    <mergeCell ref="AJ11:AO11"/>
    <mergeCell ref="I50:M50"/>
    <mergeCell ref="I19:M19"/>
    <mergeCell ref="S41:W41"/>
    <mergeCell ref="B29:H29"/>
    <mergeCell ref="AJ52:AO52"/>
    <mergeCell ref="S50:W50"/>
    <mergeCell ref="B37:H37"/>
    <mergeCell ref="I34:M34"/>
    <mergeCell ref="S51:W51"/>
    <mergeCell ref="S25:W25"/>
    <mergeCell ref="X37:AC37"/>
    <mergeCell ref="S43:W43"/>
    <mergeCell ref="AJ28:AO28"/>
    <mergeCell ref="X53:AC53"/>
    <mergeCell ref="AD31:AI31"/>
    <mergeCell ref="AD40:AI40"/>
    <mergeCell ref="I36:M36"/>
    <mergeCell ref="N32:R32"/>
    <mergeCell ref="B15:H15"/>
    <mergeCell ref="AJ13:AO13"/>
    <mergeCell ref="I11:M11"/>
    <mergeCell ref="S42:W42"/>
    <mergeCell ref="AJ30:AO30"/>
    <mergeCell ref="X15:AC15"/>
    <mergeCell ref="AJ53:AO53"/>
    <mergeCell ref="X29:AC29"/>
    <mergeCell ref="X38:AC38"/>
    <mergeCell ref="AJ15:AO15"/>
    <mergeCell ref="A2:X2"/>
    <mergeCell ref="A1:AO1"/>
    <mergeCell ref="AD32:AI32"/>
    <mergeCell ref="AD26:AI26"/>
    <mergeCell ref="AD41:AI41"/>
    <mergeCell ref="I28:M28"/>
    <mergeCell ref="I22:M22"/>
    <mergeCell ref="N18:R18"/>
    <mergeCell ref="I37:M37"/>
    <mergeCell ref="AI2:AO4"/>
    <mergeCell ref="S28:W28"/>
    <mergeCell ref="S37:W37"/>
    <mergeCell ref="I12:M12"/>
    <mergeCell ref="AJ14:AO14"/>
    <mergeCell ref="I21:M21"/>
    <mergeCell ref="AJ54:AO54"/>
    <mergeCell ref="AD43:AI43"/>
    <mergeCell ref="AJ32:AO32"/>
    <mergeCell ref="B43:H43"/>
    <mergeCell ref="AJ41:AO41"/>
    <mergeCell ref="F8:AB8"/>
    <mergeCell ref="S53:W53"/>
    <mergeCell ref="AD18:AI18"/>
    <mergeCell ref="I14:M14"/>
    <mergeCell ref="I23:M23"/>
    <mergeCell ref="X43:AC43"/>
    <mergeCell ref="N19:R19"/>
    <mergeCell ref="Z7:AO7"/>
    <mergeCell ref="X40:AC40"/>
    <mergeCell ref="AJ10:AM10"/>
    <mergeCell ref="A57:AO57"/>
    <mergeCell ref="AJ43:AO43"/>
    <mergeCell ref="N34:R34"/>
    <mergeCell ref="AJ40:AO40"/>
    <mergeCell ref="I51:M51"/>
    <mergeCell ref="AA3:AH3"/>
    <mergeCell ref="AJ27:AO27"/>
    <mergeCell ref="N49:R49"/>
    <mergeCell ref="AB10:AI10"/>
    <mergeCell ref="AD44:AI44"/>
    <mergeCell ref="N36:R36"/>
    <mergeCell ref="S32:W32"/>
    <mergeCell ref="B34:H34"/>
    <mergeCell ref="S26:W26"/>
    <mergeCell ref="B19:H19"/>
    <mergeCell ref="B28:H28"/>
    <mergeCell ref="AD34:AI34"/>
    <mergeCell ref="AD28:AI28"/>
    <mergeCell ref="N20:R20"/>
    <mergeCell ref="X19:AC19"/>
    <mergeCell ref="X34:AC34"/>
    <mergeCell ref="AD25:AI25"/>
    <mergeCell ref="X28:AC28"/>
    <mergeCell ref="AJ19:AO19"/>
    <mergeCell ref="V9:AA9"/>
    <mergeCell ref="B30:H30"/>
    <mergeCell ref="I49:M49"/>
    <mergeCell ref="AD36:AI36"/>
    <mergeCell ref="I27:M27"/>
    <mergeCell ref="AD30:AI30"/>
    <mergeCell ref="N22:R22"/>
    <mergeCell ref="A4:Y4"/>
    <mergeCell ref="B20:H20"/>
    <mergeCell ref="S27:W27"/>
    <mergeCell ref="N37:R37"/>
    <mergeCell ref="X30:AC30"/>
    <mergeCell ref="S18:W18"/>
    <mergeCell ref="X42:AC42"/>
    <mergeCell ref="N12:R12"/>
    <mergeCell ref="X20:AC20"/>
    <mergeCell ref="I25:M25"/>
    <mergeCell ref="N21:R21"/>
    <mergeCell ref="X14:AC14"/>
    <mergeCell ref="S11:W11"/>
    <mergeCell ref="AJ45:AO45"/>
    <mergeCell ref="A6:AO6"/>
    <mergeCell ref="N14:R14"/>
    <mergeCell ref="I53:M53"/>
    <mergeCell ref="K9:N9"/>
    <mergeCell ref="AB9:AC9"/>
    <mergeCell ref="N23:R23"/>
    <mergeCell ref="B31:H31"/>
    <mergeCell ref="AJ29:AO29"/>
    <mergeCell ref="O9:R9"/>
    <mergeCell ref="B54:AI54"/>
    <mergeCell ref="S34:W34"/>
    <mergeCell ref="B21:H21"/>
    <mergeCell ref="AJ44:AO44"/>
    <mergeCell ref="B39:H39"/>
    <mergeCell ref="B48:H48"/>
    <mergeCell ref="I52:M52"/>
    <mergeCell ref="AJ31:AO31"/>
    <mergeCell ref="I39:M39"/>
    <mergeCell ref="X39:AC39"/>
    <mergeCell ref="S36:W36"/>
    <mergeCell ref="I48:M48"/>
    <mergeCell ref="X48:AC48"/>
    <mergeCell ref="S30:W30"/>
    <mergeCell ref="B23:H23"/>
    <mergeCell ref="AJ21:AO21"/>
    <mergeCell ref="AD24:AI24"/>
    <mergeCell ref="AJ51:AO51"/>
    <mergeCell ref="AD33:AI33"/>
    <mergeCell ref="I29:M29"/>
    <mergeCell ref="S20:W20"/>
    <mergeCell ref="B13:H13"/>
    <mergeCell ref="AD51:AI51"/>
    <mergeCell ref="I38:M38"/>
    <mergeCell ref="X32:AC32"/>
    <mergeCell ref="S29:W29"/>
    <mergeCell ref="B7:Y7"/>
    <mergeCell ref="I13:M13"/>
    <mergeCell ref="AJ23:AO23"/>
    <mergeCell ref="S44:W44"/>
    <mergeCell ref="AD35:AI35"/>
    <mergeCell ref="I31:M31"/>
    <mergeCell ref="N27:R27"/>
    <mergeCell ref="I40:M40"/>
    <mergeCell ref="S22:W22"/>
    <mergeCell ref="N35:R35"/>
    <mergeCell ref="S31:W31"/>
    <mergeCell ref="A3:Y3"/>
    <mergeCell ref="AD19:AI19"/>
    <mergeCell ref="I15:M15"/>
    <mergeCell ref="S12:W12"/>
    <mergeCell ref="AJ48:AO48"/>
    <mergeCell ref="N11:R11"/>
    <mergeCell ref="N25:R25"/>
    <mergeCell ref="S21:W21"/>
    <mergeCell ref="X18:AC18"/>
    <mergeCell ref="A58:AO58"/>
    <mergeCell ref="A11:H11"/>
    <mergeCell ref="AD27:AI27"/>
    <mergeCell ref="AJ18:AO18"/>
    <mergeCell ref="A10:J10"/>
    <mergeCell ref="N53:R53"/>
    <mergeCell ref="I26:M26"/>
    <mergeCell ref="B36:H36"/>
    <mergeCell ref="AJ34:AO34"/>
    <mergeCell ref="B50:H50"/>
    <mergeCell ref="AD11:AI11"/>
    <mergeCell ref="A9:J9"/>
    <mergeCell ref="AJ49:AO49"/>
    <mergeCell ref="X50:AC50"/>
    <mergeCell ref="S9:U9"/>
    <mergeCell ref="B45:AI45"/>
    <mergeCell ref="AJ36:AO36"/>
    <mergeCell ref="X51:AC51"/>
    <mergeCell ref="N52:R52"/>
    <mergeCell ref="AD53:AI53"/>
    <mergeCell ref="AD22:AI22"/>
    <mergeCell ref="N39:R39"/>
    <mergeCell ref="I18:M18"/>
    <mergeCell ref="B22:H22"/>
    <mergeCell ref="AD50:AI50"/>
    <mergeCell ref="N48:R48"/>
    <mergeCell ref="AJ20:AO20"/>
    <mergeCell ref="A12:H12"/>
    <mergeCell ref="S49:W49"/>
    <mergeCell ref="AA4:AH4"/>
    <mergeCell ref="X44:AC44"/>
    <mergeCell ref="AD37:AI37"/>
    <mergeCell ref="N29:R29"/>
    <mergeCell ref="X22:AC22"/>
    <mergeCell ref="S19:W19"/>
    <mergeCell ref="I42:M42"/>
    <mergeCell ref="N38:R38"/>
    <mergeCell ref="S33:W33"/>
    <mergeCell ref="X31:AC31"/>
    <mergeCell ref="AD52:AI52"/>
    <mergeCell ref="AJ22:AO22"/>
    <mergeCell ref="AD21:AI21"/>
    <mergeCell ref="N13:R13"/>
    <mergeCell ref="X12:AC12"/>
    <mergeCell ref="AD9:AI9"/>
    <mergeCell ref="AD39:AI39"/>
    <mergeCell ref="A8:E8"/>
    <mergeCell ref="X21:AC21"/>
    <mergeCell ref="AD48:AI48"/>
    <mergeCell ref="I35:M35"/>
    <mergeCell ref="N31:R31"/>
    <mergeCell ref="B14:H14"/>
    <mergeCell ref="I44:M44"/>
    <mergeCell ref="N40:R40"/>
    <mergeCell ref="S35:W35"/>
    <mergeCell ref="AJ12:AO12"/>
    <mergeCell ref="AD29:AI29"/>
    <mergeCell ref="I20:M20"/>
    <mergeCell ref="AD23:AI23"/>
    <mergeCell ref="AD38:AI38"/>
    <mergeCell ref="N15:R15"/>
    <mergeCell ref="N24:R24"/>
    <mergeCell ref="B38:H38"/>
    <mergeCell ref="X23:AC23"/>
    <mergeCell ref="AD13:AI13"/>
    <mergeCell ref="AJ39:AO39"/>
    <mergeCell ref="AN10:AO10"/>
    <mergeCell ref="K10:R10"/>
    <mergeCell ref="X13:AC13"/>
  </mergeCells>
  <printOptions horizontalCentered="1" verticalCentered="1"/>
  <pageMargins left="0.3937007874015748" right="0.3937007874015748" top="0.2362204724409449" bottom="0.2362204724409449" header="0" footer="0.2362204724409449"/>
  <pageSetup orientation="portrait" horizontalDpi="300" verticalDpi="300"/>
  <headerFooter alignWithMargins="0">
    <oddHeader/>
    <oddFooter>&amp;RPage 4 of 4</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A1:AO58"/>
  <sheetViews>
    <sheetView showGridLines="0" showZeros="0" topLeftCell="A28" zoomScale="108" workbookViewId="0">
      <selection activeCell="V31" sqref="V31:Y31"/>
    </sheetView>
  </sheetViews>
  <sheetFormatPr baseColWidth="8" defaultColWidth="11.5546875" defaultRowHeight="13.2"/>
  <cols>
    <col width="2.44140625" customWidth="1" min="1" max="178"/>
    <col width="2.44140625" customWidth="1" min="257" max="434"/>
    <col width="2.44140625" customWidth="1" min="513" max="690"/>
    <col width="2.44140625" customWidth="1" min="769" max="946"/>
    <col width="2.44140625" customWidth="1" min="1025" max="1202"/>
    <col width="2.44140625" customWidth="1" min="1281" max="1458"/>
    <col width="2.44140625" customWidth="1" min="1537" max="1714"/>
    <col width="2.44140625" customWidth="1" min="1793" max="1970"/>
    <col width="2.44140625" customWidth="1" min="2049" max="2226"/>
    <col width="2.44140625" customWidth="1" min="2305" max="2482"/>
    <col width="2.44140625" customWidth="1" min="2561" max="2738"/>
    <col width="2.44140625" customWidth="1" min="2817" max="2994"/>
    <col width="2.44140625" customWidth="1" min="3073" max="3250"/>
    <col width="2.44140625" customWidth="1" min="3329" max="3506"/>
    <col width="2.44140625" customWidth="1" min="3585" max="3762"/>
    <col width="2.44140625" customWidth="1" min="3841" max="4018"/>
    <col width="2.44140625" customWidth="1" min="4097" max="4274"/>
    <col width="2.44140625" customWidth="1" min="4353" max="4530"/>
    <col width="2.44140625" customWidth="1" min="4609" max="4786"/>
    <col width="2.44140625" customWidth="1" min="4865" max="5042"/>
    <col width="2.44140625" customWidth="1" min="5121" max="5298"/>
    <col width="2.44140625" customWidth="1" min="5377" max="5554"/>
    <col width="2.44140625" customWidth="1" min="5633" max="5810"/>
    <col width="2.44140625" customWidth="1" min="5889" max="6066"/>
    <col width="2.44140625" customWidth="1" min="6145" max="6322"/>
    <col width="2.44140625" customWidth="1" min="6401" max="6578"/>
    <col width="2.44140625" customWidth="1" min="6657" max="6834"/>
    <col width="2.44140625" customWidth="1" min="6913" max="7090"/>
    <col width="2.44140625" customWidth="1" min="7169" max="7346"/>
    <col width="2.44140625" customWidth="1" min="7425" max="7602"/>
    <col width="2.44140625" customWidth="1" min="7681" max="7858"/>
    <col width="2.44140625" customWidth="1" min="7937" max="8114"/>
    <col width="2.44140625" customWidth="1" min="8193" max="8370"/>
    <col width="2.44140625" customWidth="1" min="8449" max="8626"/>
    <col width="2.44140625" customWidth="1" min="8705" max="8882"/>
    <col width="2.44140625" customWidth="1" min="8961" max="9138"/>
    <col width="2.44140625" customWidth="1" min="9217" max="9394"/>
    <col width="2.44140625" customWidth="1" min="9473" max="9650"/>
    <col width="2.44140625" customWidth="1" min="9729" max="9906"/>
    <col width="2.44140625" customWidth="1" min="9985" max="10162"/>
    <col width="2.44140625" customWidth="1" min="10241" max="10418"/>
    <col width="2.44140625" customWidth="1" min="10497" max="10674"/>
    <col width="2.44140625" customWidth="1" min="10753" max="10930"/>
    <col width="2.44140625" customWidth="1" min="11009" max="11186"/>
    <col width="2.44140625" customWidth="1" min="11265" max="11442"/>
    <col width="2.44140625" customWidth="1" min="11521" max="11698"/>
    <col width="2.44140625" customWidth="1" min="11777" max="11954"/>
    <col width="2.44140625" customWidth="1" min="12033" max="12210"/>
    <col width="2.44140625" customWidth="1" min="12289" max="12466"/>
    <col width="2.44140625" customWidth="1" min="12545" max="12722"/>
    <col width="2.44140625" customWidth="1" min="12801" max="12978"/>
    <col width="2.44140625" customWidth="1" min="13057" max="13234"/>
    <col width="2.44140625" customWidth="1" min="13313" max="13490"/>
    <col width="2.44140625" customWidth="1" min="13569" max="13746"/>
    <col width="2.44140625" customWidth="1" min="13825" max="14002"/>
    <col width="2.44140625" customWidth="1" min="14081" max="14258"/>
    <col width="2.44140625" customWidth="1" min="14337" max="14514"/>
    <col width="2.44140625" customWidth="1" min="14593" max="14770"/>
    <col width="2.44140625" customWidth="1" min="14849" max="15026"/>
    <col width="2.44140625" customWidth="1" min="15105" max="15282"/>
    <col width="2.44140625" customWidth="1" min="15361" max="15538"/>
    <col width="2.44140625" customWidth="1" min="15617" max="15794"/>
    <col width="2.44140625" customWidth="1" min="15873" max="16050"/>
    <col width="2.44140625" customWidth="1" min="16129" max="16306"/>
  </cols>
  <sheetData>
    <row r="1" ht="12.75" customHeight="1">
      <c r="A1" s="494" t="inlineStr">
        <is>
          <t>U.N. , ECE - DRAUGHT SURVEY CODE</t>
        </is>
      </c>
    </row>
    <row r="2" ht="12.75" customHeight="1">
      <c r="A2" s="495" t="n"/>
      <c r="B2" s="13" t="n"/>
      <c r="C2" s="13" t="n"/>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498" t="n"/>
      <c r="Z2" s="13" t="n"/>
      <c r="AA2" s="13" t="n"/>
      <c r="AB2" s="13" t="n"/>
      <c r="AC2" s="13" t="n"/>
      <c r="AD2" s="13" t="n"/>
      <c r="AE2" s="13" t="n"/>
      <c r="AF2" s="13" t="n"/>
      <c r="AG2" s="13" t="n"/>
      <c r="AH2" s="184" t="n"/>
      <c r="AI2" s="1004" t="inlineStr">
        <is>
          <t>FORM "D3"</t>
        </is>
      </c>
      <c r="AJ2" s="13" t="n"/>
      <c r="AK2" s="13" t="n"/>
      <c r="AL2" s="13" t="n"/>
      <c r="AM2" s="13" t="n"/>
      <c r="AN2" s="13" t="n"/>
      <c r="AO2" s="184" t="n"/>
    </row>
    <row r="3" ht="12.75" customHeight="1">
      <c r="A3" s="997" t="inlineStr">
        <is>
          <t>DRAUGHT SURVEY REPORT OF CARGO IN BULK</t>
        </is>
      </c>
      <c r="Y3" s="30" t="n"/>
      <c r="Z3" s="2">
        <f>+A!Z3</f>
        <v/>
      </c>
      <c r="AA3" s="998" t="inlineStr">
        <is>
          <t>LOADED</t>
        </is>
      </c>
      <c r="AH3" s="30" t="n"/>
      <c r="AI3" s="45" t="n"/>
      <c r="AO3" s="30" t="n"/>
    </row>
    <row r="4" ht="12.75" customHeight="1">
      <c r="A4" s="859" t="n"/>
      <c r="B4" s="934" t="n"/>
      <c r="C4" s="934" t="n"/>
      <c r="D4" s="934" t="n"/>
      <c r="E4" s="934" t="n"/>
      <c r="F4" s="934" t="n"/>
      <c r="G4" s="934" t="n"/>
      <c r="H4" s="934" t="n"/>
      <c r="I4" s="934" t="n"/>
      <c r="J4" s="934" t="n"/>
      <c r="K4" s="934" t="n"/>
      <c r="L4" s="934" t="n"/>
      <c r="M4" s="934" t="n"/>
      <c r="N4" s="934" t="n"/>
      <c r="O4" s="934" t="n"/>
      <c r="P4" s="934" t="n"/>
      <c r="Q4" s="934" t="n"/>
      <c r="R4" s="934" t="n"/>
      <c r="S4" s="934" t="n"/>
      <c r="T4" s="934" t="n"/>
      <c r="U4" s="934" t="n"/>
      <c r="V4" s="934" t="n"/>
      <c r="W4" s="934" t="n"/>
      <c r="X4" s="934" t="n"/>
      <c r="Y4" s="935" t="n"/>
      <c r="Z4" s="2">
        <f>+A!Z4</f>
        <v/>
      </c>
      <c r="AA4" s="999" t="inlineStr">
        <is>
          <t>UNLOADED</t>
        </is>
      </c>
      <c r="AB4" s="934" t="n"/>
      <c r="AC4" s="934" t="n"/>
      <c r="AD4" s="934" t="n"/>
      <c r="AE4" s="934" t="n"/>
      <c r="AF4" s="934" t="n"/>
      <c r="AG4" s="934" t="n"/>
      <c r="AH4" s="935" t="n"/>
      <c r="AI4" s="1000" t="n"/>
      <c r="AJ4" s="934" t="n"/>
      <c r="AK4" s="934" t="n"/>
      <c r="AL4" s="934" t="n"/>
      <c r="AM4" s="934" t="n"/>
      <c r="AN4" s="934" t="n"/>
      <c r="AO4" s="935" t="n"/>
    </row>
    <row r="5" ht="12.75" customHeight="1">
      <c r="A5" s="6" t="n"/>
      <c r="B5" s="521" t="inlineStr">
        <is>
          <t>Corporate identification:</t>
        </is>
      </c>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84" t="n"/>
    </row>
    <row r="6" ht="12.75" customHeight="1">
      <c r="A6" s="859">
        <f>A!B6</f>
        <v/>
      </c>
      <c r="B6" s="934" t="n"/>
      <c r="C6" s="934" t="n"/>
      <c r="D6" s="934" t="n"/>
      <c r="E6" s="934" t="n"/>
      <c r="F6" s="934" t="n"/>
      <c r="G6" s="934" t="n"/>
      <c r="H6" s="934" t="n"/>
      <c r="I6" s="934" t="n"/>
      <c r="J6" s="934" t="n"/>
      <c r="K6" s="934" t="n"/>
      <c r="L6" s="934" t="n"/>
      <c r="M6" s="934" t="n"/>
      <c r="N6" s="934" t="n"/>
      <c r="O6" s="934" t="n"/>
      <c r="P6" s="934" t="n"/>
      <c r="Q6" s="934" t="n"/>
      <c r="R6" s="934" t="n"/>
      <c r="S6" s="934" t="n"/>
      <c r="T6" s="934" t="n"/>
      <c r="U6" s="934" t="n"/>
      <c r="V6" s="934" t="n"/>
      <c r="W6" s="934" t="n"/>
      <c r="X6" s="934" t="n"/>
      <c r="Y6" s="934" t="n"/>
      <c r="Z6" s="934" t="n"/>
      <c r="AA6" s="934" t="n"/>
      <c r="AB6" s="934" t="n"/>
      <c r="AC6" s="934" t="n"/>
      <c r="AD6" s="934" t="n"/>
      <c r="AE6" s="934" t="n"/>
      <c r="AF6" s="934" t="n"/>
      <c r="AG6" s="934" t="n"/>
      <c r="AH6" s="934" t="n"/>
      <c r="AI6" s="934" t="n"/>
      <c r="AJ6" s="934" t="n"/>
      <c r="AK6" s="934" t="n"/>
      <c r="AL6" s="934" t="n"/>
      <c r="AM6" s="934" t="n"/>
      <c r="AN6" s="934" t="n"/>
      <c r="AO6" s="935" t="n"/>
    </row>
    <row r="7" ht="12.75" customHeight="1">
      <c r="A7" s="6" t="n"/>
      <c r="B7" s="520" t="inlineStr">
        <is>
          <t>Vessel M/V :</t>
        </is>
      </c>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521" t="inlineStr">
        <is>
          <t>Survey no:</t>
        </is>
      </c>
      <c r="AA7" s="13" t="n"/>
      <c r="AB7" s="13" t="n"/>
      <c r="AC7" s="13" t="n"/>
      <c r="AD7" s="13" t="n"/>
      <c r="AE7" s="13" t="n"/>
      <c r="AF7" s="13" t="n"/>
      <c r="AG7" s="13" t="n"/>
      <c r="AH7" s="13" t="n"/>
      <c r="AI7" s="13" t="n"/>
      <c r="AJ7" s="13" t="n"/>
      <c r="AK7" s="13" t="n"/>
      <c r="AL7" s="13" t="n"/>
      <c r="AM7" s="13" t="n"/>
      <c r="AN7" s="13" t="n"/>
      <c r="AO7" s="184" t="n"/>
    </row>
    <row r="8" ht="12.75" customHeight="1">
      <c r="A8" s="514" t="n"/>
      <c r="B8" s="934" t="n"/>
      <c r="C8" s="934" t="n"/>
      <c r="D8" s="934" t="n"/>
      <c r="E8" s="934" t="n"/>
      <c r="F8" s="541">
        <f>+A!G12</f>
        <v/>
      </c>
      <c r="G8" s="934" t="n"/>
      <c r="H8" s="934" t="n"/>
      <c r="I8" s="934" t="n"/>
      <c r="J8" s="934" t="n"/>
      <c r="K8" s="934" t="n"/>
      <c r="L8" s="934" t="n"/>
      <c r="M8" s="934" t="n"/>
      <c r="N8" s="934" t="n"/>
      <c r="O8" s="934" t="n"/>
      <c r="P8" s="934" t="n"/>
      <c r="Q8" s="934" t="n"/>
      <c r="R8" s="934" t="n"/>
      <c r="S8" s="934" t="n"/>
      <c r="T8" s="934" t="n"/>
      <c r="U8" s="934" t="n"/>
      <c r="V8" s="934" t="n"/>
      <c r="W8" s="934" t="n"/>
      <c r="X8" s="934" t="n"/>
      <c r="Y8" s="934" t="n"/>
      <c r="Z8" s="934" t="n"/>
      <c r="AA8" s="934" t="n"/>
      <c r="AB8" s="934" t="n"/>
      <c r="AC8" s="525">
        <f>+A!AG12</f>
        <v/>
      </c>
      <c r="AD8" s="934" t="n"/>
      <c r="AE8" s="934" t="n"/>
      <c r="AF8" s="934" t="n"/>
      <c r="AG8" s="934" t="n"/>
      <c r="AH8" s="934" t="n"/>
      <c r="AI8" s="934" t="n"/>
      <c r="AJ8" s="934" t="n"/>
      <c r="AK8" s="934" t="n"/>
      <c r="AL8" s="934" t="n"/>
      <c r="AM8" s="934" t="n"/>
      <c r="AN8" s="934" t="n"/>
      <c r="AO8" s="935" t="n"/>
    </row>
    <row r="9" ht="12.75" customHeight="1">
      <c r="A9" s="1001" t="inlineStr">
        <is>
          <t>SOUNDINGS</t>
        </is>
      </c>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84" t="n"/>
    </row>
    <row r="10" ht="12.75" customHeight="1">
      <c r="A10" s="8" t="n"/>
      <c r="B10" s="15" t="n"/>
      <c r="C10" s="15" t="n"/>
      <c r="D10" s="16" t="n"/>
      <c r="E10" s="16" t="n"/>
      <c r="F10" s="16" t="n"/>
      <c r="G10" s="16" t="n"/>
      <c r="H10" s="16" t="n"/>
      <c r="I10" s="16" t="n"/>
      <c r="J10" s="16" t="n"/>
      <c r="K10" s="16" t="n"/>
      <c r="L10" s="16" t="n"/>
      <c r="M10" s="16" t="n"/>
      <c r="AH10" s="25" t="n"/>
      <c r="AI10" s="25" t="n"/>
      <c r="AJ10" s="25" t="n"/>
      <c r="AK10" s="25" t="n"/>
      <c r="AL10" s="25" t="n"/>
      <c r="AM10" s="25" t="n"/>
      <c r="AN10" s="25" t="n"/>
      <c r="AO10" s="27" t="n"/>
    </row>
    <row r="11" ht="12.75" customHeight="1">
      <c r="A11" s="1244" t="inlineStr">
        <is>
          <t>Compartment</t>
        </is>
      </c>
      <c r="B11" s="13" t="n"/>
      <c r="C11" s="13" t="n"/>
      <c r="D11" s="13" t="n"/>
      <c r="E11" s="184" t="n"/>
      <c r="F11" s="77" t="n"/>
      <c r="G11" s="78" t="n"/>
      <c r="H11" s="78" t="n"/>
      <c r="I11" s="79" t="n"/>
      <c r="J11" s="1272" t="inlineStr">
        <is>
          <t>STARTING SURVEY</t>
        </is>
      </c>
      <c r="K11" s="203" t="n"/>
      <c r="L11" s="203" t="n"/>
      <c r="M11" s="203" t="n"/>
      <c r="N11" s="203" t="n"/>
      <c r="O11" s="203" t="n"/>
      <c r="P11" s="203" t="n"/>
      <c r="Q11" s="203" t="n"/>
      <c r="R11" s="203" t="n"/>
      <c r="S11" s="203" t="n"/>
      <c r="T11" s="203" t="n"/>
      <c r="U11" s="203" t="n"/>
      <c r="V11" s="203" t="n"/>
      <c r="W11" s="203" t="n"/>
      <c r="X11" s="203" t="n"/>
      <c r="Y11" s="1003" t="n"/>
      <c r="Z11" s="1272" t="inlineStr">
        <is>
          <t>FINISHING SURVEY</t>
        </is>
      </c>
      <c r="AA11" s="203" t="n"/>
      <c r="AB11" s="203" t="n"/>
      <c r="AC11" s="203" t="n"/>
      <c r="AD11" s="203" t="n"/>
      <c r="AE11" s="203" t="n"/>
      <c r="AF11" s="203" t="n"/>
      <c r="AG11" s="203" t="n"/>
      <c r="AH11" s="203" t="n"/>
      <c r="AI11" s="203" t="n"/>
      <c r="AJ11" s="203" t="n"/>
      <c r="AK11" s="203" t="n"/>
      <c r="AL11" s="203" t="n"/>
      <c r="AM11" s="203" t="n"/>
      <c r="AN11" s="203" t="n"/>
      <c r="AO11" s="1003" t="n"/>
    </row>
    <row r="12" ht="12.75" customHeight="1">
      <c r="A12" s="861" t="inlineStr">
        <is>
          <t>Title,</t>
        </is>
      </c>
      <c r="E12" s="30" t="n"/>
      <c r="F12" s="858" t="inlineStr">
        <is>
          <t>Total</t>
        </is>
      </c>
      <c r="I12" s="30" t="n"/>
      <c r="J12" s="1244" t="inlineStr">
        <is>
          <t>Sounding</t>
        </is>
      </c>
      <c r="K12" s="13" t="n"/>
      <c r="L12" s="184" t="n"/>
      <c r="M12" s="1244" t="inlineStr">
        <is>
          <t>Temp</t>
        </is>
      </c>
      <c r="N12" s="184" t="n"/>
      <c r="O12" s="1244" t="inlineStr">
        <is>
          <t>Actual</t>
        </is>
      </c>
      <c r="P12" s="13" t="n"/>
      <c r="Q12" s="184" t="n"/>
      <c r="R12" s="1244" t="inlineStr">
        <is>
          <t>Actual</t>
        </is>
      </c>
      <c r="S12" s="13" t="n"/>
      <c r="T12" s="13" t="n"/>
      <c r="U12" s="184" t="n"/>
      <c r="V12" s="1244" t="inlineStr">
        <is>
          <t>Weight</t>
        </is>
      </c>
      <c r="W12" s="13" t="n"/>
      <c r="X12" s="13" t="n"/>
      <c r="Y12" s="184" t="n"/>
      <c r="Z12" s="1244" t="inlineStr">
        <is>
          <t>Sounding</t>
        </is>
      </c>
      <c r="AA12" s="13" t="n"/>
      <c r="AB12" s="184" t="n"/>
      <c r="AC12" s="1244" t="inlineStr">
        <is>
          <t>Temp</t>
        </is>
      </c>
      <c r="AD12" s="184" t="n"/>
      <c r="AE12" s="1244" t="inlineStr">
        <is>
          <t>Actual</t>
        </is>
      </c>
      <c r="AF12" s="13" t="n"/>
      <c r="AG12" s="184" t="n"/>
      <c r="AH12" s="1244" t="inlineStr">
        <is>
          <t>Actual</t>
        </is>
      </c>
      <c r="AI12" s="13" t="n"/>
      <c r="AJ12" s="13" t="n"/>
      <c r="AK12" s="184" t="n"/>
      <c r="AL12" s="1244" t="inlineStr">
        <is>
          <t>Weight</t>
        </is>
      </c>
      <c r="AM12" s="13" t="n"/>
      <c r="AN12" s="13" t="n"/>
      <c r="AO12" s="184" t="n"/>
    </row>
    <row r="13" ht="12.75" customHeight="1">
      <c r="A13" s="861" t="inlineStr">
        <is>
          <t>Tank no.</t>
        </is>
      </c>
      <c r="E13" s="30" t="n"/>
      <c r="F13" s="858" t="inlineStr">
        <is>
          <t>sounded</t>
        </is>
      </c>
      <c r="I13" s="30" t="n"/>
      <c r="J13" s="861" t="inlineStr">
        <is>
          <t>Ullage</t>
        </is>
      </c>
      <c r="L13" s="30" t="n"/>
      <c r="M13" s="65" t="n"/>
      <c r="N13" s="27" t="n"/>
      <c r="O13" s="861" t="inlineStr">
        <is>
          <t>Density</t>
        </is>
      </c>
      <c r="Q13" s="30" t="n"/>
      <c r="R13" s="861" t="inlineStr">
        <is>
          <t>Volume</t>
        </is>
      </c>
      <c r="U13" s="30" t="n"/>
      <c r="V13" s="861" t="inlineStr">
        <is>
          <t>Metric</t>
        </is>
      </c>
      <c r="Y13" s="30" t="n"/>
      <c r="Z13" s="861" t="inlineStr">
        <is>
          <t>Ullage</t>
        </is>
      </c>
      <c r="AB13" s="30" t="n"/>
      <c r="AC13" s="65" t="n"/>
      <c r="AD13" s="27" t="n"/>
      <c r="AE13" s="861" t="inlineStr">
        <is>
          <t>Density</t>
        </is>
      </c>
      <c r="AG13" s="30" t="n"/>
      <c r="AH13" s="861" t="inlineStr">
        <is>
          <t>Volume</t>
        </is>
      </c>
      <c r="AK13" s="30" t="n"/>
      <c r="AL13" s="861" t="inlineStr">
        <is>
          <t>Metric</t>
        </is>
      </c>
      <c r="AO13" s="30" t="n"/>
    </row>
    <row r="14" ht="12.75" customHeight="1">
      <c r="A14" s="862" t="inlineStr">
        <is>
          <t>Slop t.</t>
        </is>
      </c>
      <c r="B14" s="934" t="n"/>
      <c r="C14" s="934" t="n"/>
      <c r="D14" s="934" t="n"/>
      <c r="E14" s="935" t="n"/>
      <c r="F14" s="859" t="inlineStr">
        <is>
          <t>depth m.</t>
        </is>
      </c>
      <c r="G14" s="934" t="n"/>
      <c r="H14" s="934" t="n"/>
      <c r="I14" s="935" t="n"/>
      <c r="J14" s="862" t="inlineStr">
        <is>
          <t>metres</t>
        </is>
      </c>
      <c r="K14" s="934" t="n"/>
      <c r="L14" s="935" t="n"/>
      <c r="M14" s="862" t="inlineStr">
        <is>
          <t>º C</t>
        </is>
      </c>
      <c r="N14" s="935" t="n"/>
      <c r="O14" s="862" t="inlineStr">
        <is>
          <t>Kg/m3</t>
        </is>
      </c>
      <c r="P14" s="934" t="n"/>
      <c r="Q14" s="935" t="n"/>
      <c r="R14" s="862" t="inlineStr">
        <is>
          <t>m3</t>
        </is>
      </c>
      <c r="S14" s="934" t="n"/>
      <c r="T14" s="934" t="n"/>
      <c r="U14" s="935" t="n"/>
      <c r="V14" s="862" t="inlineStr">
        <is>
          <t>Tonnes</t>
        </is>
      </c>
      <c r="W14" s="934" t="n"/>
      <c r="X14" s="934" t="n"/>
      <c r="Y14" s="935" t="n"/>
      <c r="Z14" s="862" t="inlineStr">
        <is>
          <t>metres</t>
        </is>
      </c>
      <c r="AA14" s="934" t="n"/>
      <c r="AB14" s="935" t="n"/>
      <c r="AC14" s="862" t="inlineStr">
        <is>
          <t>º C</t>
        </is>
      </c>
      <c r="AD14" s="935" t="n"/>
      <c r="AE14" s="862" t="inlineStr">
        <is>
          <t>Kg/m3</t>
        </is>
      </c>
      <c r="AF14" s="934" t="n"/>
      <c r="AG14" s="935" t="n"/>
      <c r="AH14" s="862" t="inlineStr">
        <is>
          <t>m3</t>
        </is>
      </c>
      <c r="AI14" s="934" t="n"/>
      <c r="AJ14" s="934" t="n"/>
      <c r="AK14" s="935" t="n"/>
      <c r="AL14" s="862" t="inlineStr">
        <is>
          <t>Tonnes</t>
        </is>
      </c>
      <c r="AM14" s="934" t="n"/>
      <c r="AN14" s="934" t="n"/>
      <c r="AO14" s="935" t="n"/>
    </row>
    <row r="15" ht="12.75" customHeight="1">
      <c r="A15" s="6" t="n"/>
      <c r="B15" s="11" t="inlineStr">
        <is>
          <t>C - FUEL OIL</t>
        </is>
      </c>
      <c r="C15" s="11" t="n"/>
      <c r="D15" s="12" t="n"/>
      <c r="E15" s="12" t="n"/>
      <c r="F15" s="12" t="n"/>
      <c r="G15" s="12" t="n"/>
      <c r="H15" s="12" t="n"/>
      <c r="I15" s="12" t="n"/>
      <c r="P15" s="25" t="n"/>
      <c r="Q15" s="25" t="n"/>
      <c r="R15" s="25" t="n"/>
      <c r="S15" s="25" t="n"/>
      <c r="T15" s="25" t="n"/>
      <c r="U15" s="25" t="n"/>
      <c r="V15" s="25" t="n"/>
      <c r="Y15" s="27" t="n"/>
      <c r="AF15" s="25" t="n"/>
      <c r="AG15" s="25" t="n"/>
      <c r="AH15" s="25" t="n"/>
      <c r="AI15" s="25" t="n"/>
      <c r="AJ15" s="25" t="n"/>
      <c r="AK15" s="25" t="n"/>
      <c r="AL15" s="25" t="n"/>
      <c r="AO15" s="27" t="n"/>
    </row>
    <row r="16" ht="6" customHeight="1">
      <c r="A16" s="8" t="n"/>
      <c r="B16" s="15" t="n"/>
      <c r="C16" s="15" t="n"/>
      <c r="D16" s="16" t="n"/>
      <c r="E16" s="16" t="n"/>
      <c r="F16" s="32" t="n"/>
      <c r="G16" s="32" t="n"/>
      <c r="H16" s="16" t="n"/>
      <c r="I16" s="16" t="n"/>
      <c r="J16" s="577" t="n"/>
      <c r="K16" s="934" t="n"/>
      <c r="L16" s="934" t="n"/>
      <c r="M16" s="934" t="n"/>
      <c r="N16" s="934" t="n"/>
      <c r="O16" s="934" t="n"/>
      <c r="P16" s="934" t="n"/>
      <c r="Q16" s="934" t="n"/>
      <c r="R16" s="934" t="n"/>
      <c r="S16" s="934" t="n"/>
      <c r="T16" s="934" t="n"/>
      <c r="U16" s="934" t="n"/>
      <c r="V16" s="934" t="n"/>
      <c r="W16" s="934" t="n"/>
      <c r="X16" s="934" t="n"/>
      <c r="Y16" s="935" t="n"/>
      <c r="Z16" s="577" t="n"/>
      <c r="AA16" s="934" t="n"/>
      <c r="AB16" s="934" t="n"/>
      <c r="AC16" s="934" t="n"/>
      <c r="AD16" s="934" t="n"/>
      <c r="AE16" s="934" t="n"/>
      <c r="AF16" s="934" t="n"/>
      <c r="AG16" s="934" t="n"/>
      <c r="AH16" s="934" t="n"/>
      <c r="AI16" s="934" t="n"/>
      <c r="AJ16" s="934" t="n"/>
      <c r="AK16" s="934" t="n"/>
      <c r="AL16" s="934" t="n"/>
      <c r="AM16" s="934" t="n"/>
      <c r="AN16" s="934" t="n"/>
      <c r="AO16" s="935" t="n"/>
    </row>
    <row r="17" ht="12.75" customHeight="1">
      <c r="A17" s="1273" t="n"/>
      <c r="B17" s="13" t="n"/>
      <c r="C17" s="13" t="n"/>
      <c r="D17" s="13" t="n"/>
      <c r="E17" s="184" t="n"/>
      <c r="F17" s="1274" t="n"/>
      <c r="G17" s="13" t="n"/>
      <c r="H17" s="13" t="n"/>
      <c r="I17" s="184" t="n"/>
      <c r="J17" s="1275" t="n"/>
      <c r="K17" s="13" t="n"/>
      <c r="L17" s="184" t="n"/>
      <c r="M17" s="1008" t="n"/>
      <c r="N17" s="184" t="n"/>
      <c r="O17" s="1008" t="n"/>
      <c r="P17" s="13" t="n"/>
      <c r="Q17" s="184" t="n"/>
      <c r="R17" s="1274" t="n"/>
      <c r="S17" s="13" t="n"/>
      <c r="T17" s="13" t="n"/>
      <c r="U17" s="184" t="n"/>
      <c r="V17" s="1274">
        <f>ROUND(R17*(O17-(0.00063*(M17-15))),2)</f>
        <v/>
      </c>
      <c r="W17" s="13" t="n"/>
      <c r="X17" s="13" t="n"/>
      <c r="Y17" s="184" t="n"/>
      <c r="Z17" s="1275" t="n"/>
      <c r="AA17" s="13" t="n"/>
      <c r="AB17" s="184" t="n"/>
      <c r="AC17" s="1008" t="n"/>
      <c r="AD17" s="184" t="n"/>
      <c r="AE17" s="1008" t="n"/>
      <c r="AF17" s="13" t="n"/>
      <c r="AG17" s="184" t="n"/>
      <c r="AH17" s="1274" t="n"/>
      <c r="AI17" s="13" t="n"/>
      <c r="AJ17" s="13" t="n"/>
      <c r="AK17" s="184" t="n"/>
      <c r="AL17" s="1274">
        <f>ROUND(AH17*(AE17-(0.00063*(AC17-15))),2)</f>
        <v/>
      </c>
      <c r="AM17" s="13" t="n"/>
      <c r="AN17" s="13" t="n"/>
      <c r="AO17" s="184" t="n"/>
    </row>
    <row r="18" ht="12.75" customHeight="1">
      <c r="A18" s="1276" t="n"/>
      <c r="E18" s="30" t="n"/>
      <c r="F18" s="1277" t="n"/>
      <c r="I18" s="30" t="n"/>
      <c r="J18" s="1278" t="n"/>
      <c r="L18" s="30" t="n"/>
      <c r="M18" s="1010" t="n"/>
      <c r="N18" s="30" t="n"/>
      <c r="O18" s="1010" t="n"/>
      <c r="Q18" s="30" t="n"/>
      <c r="R18" s="1277" t="n"/>
      <c r="U18" s="30" t="n"/>
      <c r="V18" s="1277">
        <f>ROUND(R18*(O18-(0.00063*(M18-15))),2)</f>
        <v/>
      </c>
      <c r="Y18" s="30" t="n"/>
      <c r="Z18" s="1278" t="n"/>
      <c r="AB18" s="30" t="n"/>
      <c r="AC18" s="1010" t="n"/>
      <c r="AD18" s="30" t="n"/>
      <c r="AE18" s="1010" t="n"/>
      <c r="AG18" s="30" t="n"/>
      <c r="AH18" s="1277" t="n"/>
      <c r="AK18" s="30" t="n"/>
      <c r="AL18" s="1277">
        <f>ROUND(AH18*(AE18-(0.00063*(AC18-15))),2)</f>
        <v/>
      </c>
      <c r="AO18" s="30" t="n"/>
    </row>
    <row r="19" ht="12.75" customHeight="1">
      <c r="A19" s="1276" t="n"/>
      <c r="E19" s="30" t="n"/>
      <c r="F19" s="1277" t="n"/>
      <c r="I19" s="30" t="n"/>
      <c r="J19" s="1278" t="n"/>
      <c r="L19" s="30" t="n"/>
      <c r="M19" s="1010" t="n"/>
      <c r="N19" s="30" t="n"/>
      <c r="O19" s="1010" t="n"/>
      <c r="Q19" s="30" t="n"/>
      <c r="R19" s="1277" t="n"/>
      <c r="U19" s="30" t="n"/>
      <c r="V19" s="1277">
        <f>ROUND(R19*(O19-(0.00063*(M19-15))),2)</f>
        <v/>
      </c>
      <c r="Y19" s="30" t="n"/>
      <c r="Z19" s="1278" t="n"/>
      <c r="AB19" s="30" t="n"/>
      <c r="AC19" s="1010" t="n"/>
      <c r="AD19" s="30" t="n"/>
      <c r="AE19" s="1010" t="n"/>
      <c r="AG19" s="30" t="n"/>
      <c r="AH19" s="1277" t="n"/>
      <c r="AK19" s="30" t="n"/>
      <c r="AL19" s="1277">
        <f>ROUND(AH19*(AE19-(0.00063*(AC19-15))),2)</f>
        <v/>
      </c>
      <c r="AO19" s="30" t="n"/>
    </row>
    <row r="20" ht="12.75" customHeight="1">
      <c r="A20" s="1276" t="n"/>
      <c r="E20" s="30" t="n"/>
      <c r="F20" s="1277" t="n"/>
      <c r="I20" s="30" t="n"/>
      <c r="J20" s="1278" t="n"/>
      <c r="L20" s="30" t="n"/>
      <c r="M20" s="1010" t="n"/>
      <c r="N20" s="30" t="n"/>
      <c r="O20" s="1010" t="n"/>
      <c r="Q20" s="30" t="n"/>
      <c r="R20" s="1277" t="n"/>
      <c r="U20" s="30" t="n"/>
      <c r="V20" s="1277">
        <f>ROUND(R20*(O20-(0.00063*(M20-15))),2)</f>
        <v/>
      </c>
      <c r="Y20" s="30" t="n"/>
      <c r="Z20" s="1278" t="n"/>
      <c r="AB20" s="30" t="n"/>
      <c r="AC20" s="1010" t="n"/>
      <c r="AD20" s="30" t="n"/>
      <c r="AE20" s="1010" t="n"/>
      <c r="AG20" s="30" t="n"/>
      <c r="AH20" s="1277" t="n"/>
      <c r="AK20" s="30" t="n"/>
      <c r="AL20" s="1277">
        <f>ROUND(AH20*(AE20-(0.00063*(AC20-15))),2)</f>
        <v/>
      </c>
      <c r="AO20" s="30" t="n"/>
    </row>
    <row r="21" ht="12.75" customHeight="1">
      <c r="A21" s="1276" t="n"/>
      <c r="E21" s="30" t="n"/>
      <c r="F21" s="1277" t="n"/>
      <c r="I21" s="30" t="n"/>
      <c r="J21" s="1278" t="n"/>
      <c r="L21" s="30" t="n"/>
      <c r="M21" s="1010" t="n"/>
      <c r="N21" s="30" t="n"/>
      <c r="O21" s="1010" t="n"/>
      <c r="Q21" s="30" t="n"/>
      <c r="R21" s="1277" t="n"/>
      <c r="U21" s="30" t="n"/>
      <c r="V21" s="1277">
        <f>ROUND(R21*(O21-(0.00063*(M21-15))),2)</f>
        <v/>
      </c>
      <c r="Y21" s="30" t="n"/>
      <c r="Z21" s="1278" t="n"/>
      <c r="AB21" s="30" t="n"/>
      <c r="AC21" s="1010" t="n"/>
      <c r="AD21" s="30" t="n"/>
      <c r="AE21" s="1010" t="n"/>
      <c r="AG21" s="30" t="n"/>
      <c r="AH21" s="1277" t="n"/>
      <c r="AK21" s="30" t="n"/>
      <c r="AL21" s="1277">
        <f>ROUND(AH21*(AE21-(0.00063*(AC21-15))),2)</f>
        <v/>
      </c>
      <c r="AO21" s="30" t="n"/>
    </row>
    <row r="22" ht="12.75" customHeight="1">
      <c r="A22" s="1276" t="n"/>
      <c r="E22" s="30" t="n"/>
      <c r="F22" s="1277" t="n"/>
      <c r="I22" s="30" t="n"/>
      <c r="J22" s="1278" t="n"/>
      <c r="L22" s="30" t="n"/>
      <c r="M22" s="1010" t="n"/>
      <c r="N22" s="30" t="n"/>
      <c r="O22" s="1010" t="n"/>
      <c r="Q22" s="30" t="n"/>
      <c r="R22" s="1277" t="n"/>
      <c r="U22" s="30" t="n"/>
      <c r="V22" s="1277">
        <f>ROUND(R22*(O22-(0.00063*(M22-15))),2)</f>
        <v/>
      </c>
      <c r="Y22" s="30" t="n"/>
      <c r="Z22" s="1278" t="n"/>
      <c r="AB22" s="30" t="n"/>
      <c r="AC22" s="1010" t="n"/>
      <c r="AD22" s="30" t="n"/>
      <c r="AE22" s="1010" t="n"/>
      <c r="AG22" s="30" t="n"/>
      <c r="AH22" s="1277" t="n"/>
      <c r="AK22" s="30" t="n"/>
      <c r="AL22" s="1277">
        <f>ROUND(AH22*(AE22-(0.00063*(AC22-15))),2)</f>
        <v/>
      </c>
      <c r="AO22" s="30" t="n"/>
    </row>
    <row r="23" ht="12.75" customHeight="1">
      <c r="A23" s="1276" t="n"/>
      <c r="E23" s="30" t="n"/>
      <c r="F23" s="1277" t="n"/>
      <c r="I23" s="30" t="n"/>
      <c r="J23" s="1278" t="n"/>
      <c r="L23" s="30" t="n"/>
      <c r="M23" s="1010" t="n"/>
      <c r="N23" s="30" t="n"/>
      <c r="O23" s="1010" t="n"/>
      <c r="Q23" s="30" t="n"/>
      <c r="R23" s="1277" t="n"/>
      <c r="U23" s="30" t="n"/>
      <c r="V23" s="1277">
        <f>ROUND(R23*(O23-(0.00063*(M23-15))),2)</f>
        <v/>
      </c>
      <c r="Y23" s="30" t="n"/>
      <c r="Z23" s="1278" t="n"/>
      <c r="AB23" s="30" t="n"/>
      <c r="AC23" s="1010" t="n"/>
      <c r="AD23" s="30" t="n"/>
      <c r="AE23" s="1010" t="n"/>
      <c r="AG23" s="30" t="n"/>
      <c r="AH23" s="1277" t="n"/>
      <c r="AK23" s="30" t="n"/>
      <c r="AL23" s="1277">
        <f>ROUND(AH23*(AE23-(0.00063*(AC23-15))),2)</f>
        <v/>
      </c>
      <c r="AO23" s="30" t="n"/>
    </row>
    <row r="24" ht="12.75" customHeight="1">
      <c r="A24" s="1276" t="n"/>
      <c r="E24" s="30" t="n"/>
      <c r="F24" s="1277" t="n"/>
      <c r="I24" s="30" t="n"/>
      <c r="J24" s="1278" t="n"/>
      <c r="L24" s="30" t="n"/>
      <c r="M24" s="1010" t="n"/>
      <c r="N24" s="30" t="n"/>
      <c r="O24" s="1010" t="n"/>
      <c r="Q24" s="30" t="n"/>
      <c r="R24" s="1277" t="n"/>
      <c r="U24" s="30" t="n"/>
      <c r="V24" s="1277">
        <f>ROUND(R24*(O24-(0.00063*(M24-15))),2)</f>
        <v/>
      </c>
      <c r="Y24" s="30" t="n"/>
      <c r="Z24" s="1278" t="n"/>
      <c r="AB24" s="30" t="n"/>
      <c r="AC24" s="1010" t="n"/>
      <c r="AD24" s="30" t="n"/>
      <c r="AE24" s="1010" t="n"/>
      <c r="AG24" s="30" t="n"/>
      <c r="AH24" s="1277" t="n"/>
      <c r="AK24" s="30" t="n"/>
      <c r="AL24" s="1277">
        <f>ROUND(AH24*(AE24-(0.00063*(AC24-15))),2)</f>
        <v/>
      </c>
      <c r="AO24" s="30" t="n"/>
    </row>
    <row r="25" ht="12.75" customHeight="1">
      <c r="A25" s="1276" t="n"/>
      <c r="E25" s="30" t="n"/>
      <c r="F25" s="1277" t="n"/>
      <c r="I25" s="30" t="n"/>
      <c r="J25" s="1278" t="n"/>
      <c r="L25" s="30" t="n"/>
      <c r="M25" s="1010" t="n"/>
      <c r="N25" s="30" t="n"/>
      <c r="O25" s="1010" t="n"/>
      <c r="Q25" s="30" t="n"/>
      <c r="R25" s="1277" t="n"/>
      <c r="U25" s="30" t="n"/>
      <c r="V25" s="1277">
        <f>ROUND(R25*(O25-(0.00063*(M25-15))),2)</f>
        <v/>
      </c>
      <c r="Y25" s="30" t="n"/>
      <c r="Z25" s="1278" t="n"/>
      <c r="AB25" s="30" t="n"/>
      <c r="AC25" s="1010" t="n"/>
      <c r="AD25" s="30" t="n"/>
      <c r="AE25" s="1010" t="n"/>
      <c r="AG25" s="30" t="n"/>
      <c r="AH25" s="1277" t="n"/>
      <c r="AK25" s="30" t="n"/>
      <c r="AL25" s="1277">
        <f>ROUND(AH25*(AE25-(0.00063*(AC25-15))),2)</f>
        <v/>
      </c>
      <c r="AO25" s="30" t="n"/>
    </row>
    <row r="26" ht="12.75" customHeight="1">
      <c r="A26" s="1276" t="n"/>
      <c r="E26" s="30" t="n"/>
      <c r="F26" s="1277" t="n"/>
      <c r="I26" s="30" t="n"/>
      <c r="J26" s="1278" t="n"/>
      <c r="L26" s="30" t="n"/>
      <c r="M26" s="1010" t="n"/>
      <c r="N26" s="30" t="n"/>
      <c r="O26" s="1010" t="n"/>
      <c r="Q26" s="30" t="n"/>
      <c r="R26" s="1277" t="n"/>
      <c r="U26" s="30" t="n"/>
      <c r="V26" s="1277">
        <f>ROUND(R26*(O26-(0.00063*(M26-15))),2)</f>
        <v/>
      </c>
      <c r="Y26" s="30" t="n"/>
      <c r="Z26" s="1278" t="n"/>
      <c r="AB26" s="30" t="n"/>
      <c r="AC26" s="1010" t="n"/>
      <c r="AD26" s="30" t="n"/>
      <c r="AE26" s="1010" t="n"/>
      <c r="AG26" s="30" t="n"/>
      <c r="AH26" s="1277" t="n"/>
      <c r="AK26" s="30" t="n"/>
      <c r="AL26" s="1277">
        <f>ROUND(AH26*(AE26-(0.00063*(AC26-15))),2)</f>
        <v/>
      </c>
      <c r="AO26" s="30" t="n"/>
    </row>
    <row r="27" ht="12.75" customHeight="1">
      <c r="A27" s="1276" t="n"/>
      <c r="E27" s="30" t="n"/>
      <c r="F27" s="1277" t="n"/>
      <c r="I27" s="30" t="n"/>
      <c r="J27" s="1278" t="n"/>
      <c r="L27" s="30" t="n"/>
      <c r="M27" s="1010" t="n"/>
      <c r="N27" s="30" t="n"/>
      <c r="O27" s="1010" t="n"/>
      <c r="Q27" s="30" t="n"/>
      <c r="R27" s="1277" t="n"/>
      <c r="U27" s="30" t="n"/>
      <c r="V27" s="1277">
        <f>ROUND(R27*(O27-(0.00063*(M27-15))),2)</f>
        <v/>
      </c>
      <c r="Y27" s="30" t="n"/>
      <c r="Z27" s="1278" t="n"/>
      <c r="AB27" s="30" t="n"/>
      <c r="AC27" s="1010" t="n"/>
      <c r="AD27" s="30" t="n"/>
      <c r="AE27" s="1010" t="n"/>
      <c r="AG27" s="30" t="n"/>
      <c r="AH27" s="1277" t="n"/>
      <c r="AK27" s="30" t="n"/>
      <c r="AL27" s="1277">
        <f>ROUND(AH27*(AE27-(0.00063*(AC27-15))),2)</f>
        <v/>
      </c>
      <c r="AO27" s="30" t="n"/>
    </row>
    <row r="28" ht="12.75" customHeight="1">
      <c r="A28" s="1276" t="n"/>
      <c r="E28" s="30" t="n"/>
      <c r="F28" s="1277" t="n"/>
      <c r="I28" s="30" t="n"/>
      <c r="J28" s="1278" t="n"/>
      <c r="L28" s="30" t="n"/>
      <c r="M28" s="1010" t="n"/>
      <c r="N28" s="30" t="n"/>
      <c r="O28" s="1010" t="n"/>
      <c r="Q28" s="30" t="n"/>
      <c r="R28" s="1277" t="n"/>
      <c r="U28" s="30" t="n"/>
      <c r="V28" s="1277">
        <f>ROUND(R28*(O28-(0.00063*(M28-15))),2)</f>
        <v/>
      </c>
      <c r="Y28" s="30" t="n"/>
      <c r="Z28" s="1278" t="n"/>
      <c r="AB28" s="30" t="n"/>
      <c r="AC28" s="1010" t="n"/>
      <c r="AD28" s="30" t="n"/>
      <c r="AE28" s="1010" t="n"/>
      <c r="AG28" s="30" t="n"/>
      <c r="AH28" s="1277" t="n"/>
      <c r="AK28" s="30" t="n"/>
      <c r="AL28" s="1277">
        <f>ROUND(AH28*(AE28-(0.00063*(AC28-15))),2)</f>
        <v/>
      </c>
      <c r="AO28" s="30" t="n"/>
    </row>
    <row r="29" ht="12.75" customHeight="1">
      <c r="A29" s="1276" t="n"/>
      <c r="E29" s="30" t="n"/>
      <c r="F29" s="1277" t="n"/>
      <c r="I29" s="30" t="n"/>
      <c r="J29" s="1278" t="n"/>
      <c r="L29" s="30" t="n"/>
      <c r="M29" s="1010" t="n"/>
      <c r="N29" s="30" t="n"/>
      <c r="O29" s="1010" t="n"/>
      <c r="Q29" s="30" t="n"/>
      <c r="R29" s="1277" t="n"/>
      <c r="U29" s="30" t="n"/>
      <c r="V29" s="1277">
        <f>ROUND(R29*(O29-(0.00063*(M29-15))),2)</f>
        <v/>
      </c>
      <c r="Y29" s="30" t="n"/>
      <c r="Z29" s="1278" t="n"/>
      <c r="AB29" s="30" t="n"/>
      <c r="AC29" s="1010" t="n"/>
      <c r="AD29" s="30" t="n"/>
      <c r="AE29" s="1010" t="n"/>
      <c r="AG29" s="30" t="n"/>
      <c r="AH29" s="1277" t="n"/>
      <c r="AK29" s="30" t="n"/>
      <c r="AL29" s="1277">
        <f>ROUND(AH29*(AE29-(0.00063*(AC29-15))),2)</f>
        <v/>
      </c>
      <c r="AO29" s="30" t="n"/>
    </row>
    <row r="30" ht="12.75" customHeight="1">
      <c r="A30" s="1279" t="n"/>
      <c r="B30" s="934" t="n"/>
      <c r="C30" s="934" t="n"/>
      <c r="D30" s="934" t="n"/>
      <c r="E30" s="935" t="n"/>
      <c r="F30" s="1280" t="n"/>
      <c r="G30" s="934" t="n"/>
      <c r="H30" s="934" t="n"/>
      <c r="I30" s="935" t="n"/>
      <c r="J30" s="1278" t="n"/>
      <c r="L30" s="30" t="n"/>
      <c r="M30" s="1012" t="n"/>
      <c r="N30" s="935" t="n"/>
      <c r="O30" s="1012" t="n"/>
      <c r="P30" s="934" t="n"/>
      <c r="Q30" s="935" t="n"/>
      <c r="R30" s="1280" t="n"/>
      <c r="S30" s="934" t="n"/>
      <c r="T30" s="934" t="n"/>
      <c r="U30" s="935" t="n"/>
      <c r="V30" s="1280">
        <f>ROUND(R30*(O30-(0.00063*(M30-15))),2)</f>
        <v/>
      </c>
      <c r="W30" s="934" t="n"/>
      <c r="X30" s="934" t="n"/>
      <c r="Y30" s="935" t="n"/>
      <c r="Z30" s="1278" t="n"/>
      <c r="AB30" s="30" t="n"/>
      <c r="AC30" s="1012" t="n"/>
      <c r="AD30" s="935" t="n"/>
      <c r="AE30" s="1012" t="n"/>
      <c r="AF30" s="934" t="n"/>
      <c r="AG30" s="935" t="n"/>
      <c r="AH30" s="1280" t="n"/>
      <c r="AI30" s="934" t="n"/>
      <c r="AJ30" s="934" t="n"/>
      <c r="AK30" s="935" t="n"/>
      <c r="AL30" s="1280">
        <f>ROUND(AH30*(AE30-(0.00063*(AC30-15))),2)</f>
        <v/>
      </c>
      <c r="AM30" s="934" t="n"/>
      <c r="AN30" s="934" t="n"/>
      <c r="AO30" s="935" t="n"/>
    </row>
    <row r="31" ht="12.75" customHeight="1">
      <c r="A31" s="1281" t="inlineStr">
        <is>
          <t>Total C</t>
        </is>
      </c>
      <c r="B31" s="203" t="n"/>
      <c r="C31" s="203" t="n"/>
      <c r="D31" s="203" t="n"/>
      <c r="E31" s="1003" t="n"/>
      <c r="F31" s="1282" t="n"/>
      <c r="G31" s="203" t="n"/>
      <c r="H31" s="203" t="n"/>
      <c r="I31" s="1003" t="n"/>
      <c r="J31" s="1283" t="n"/>
      <c r="K31" s="203" t="n"/>
      <c r="L31" s="203" t="n"/>
      <c r="M31" s="203" t="n"/>
      <c r="N31" s="203" t="n"/>
      <c r="O31" s="203" t="n"/>
      <c r="P31" s="203" t="n"/>
      <c r="Q31" s="203" t="n"/>
      <c r="R31" s="203" t="n"/>
      <c r="S31" s="203" t="n"/>
      <c r="T31" s="203" t="n"/>
      <c r="U31" s="1003" t="n"/>
      <c r="V31" s="1284">
        <f>IF(Draft!G20=0,SUM(V17:Y30),Draft!G20)</f>
        <v/>
      </c>
      <c r="W31" s="203" t="n"/>
      <c r="X31" s="203" t="n"/>
      <c r="Y31" s="1003" t="n"/>
      <c r="Z31" s="1283" t="n"/>
      <c r="AA31" s="203" t="n"/>
      <c r="AB31" s="203" t="n"/>
      <c r="AC31" s="203" t="n"/>
      <c r="AD31" s="203" t="n"/>
      <c r="AE31" s="203" t="n"/>
      <c r="AF31" s="203" t="n"/>
      <c r="AG31" s="203" t="n"/>
      <c r="AH31" s="203" t="n"/>
      <c r="AI31" s="203" t="n"/>
      <c r="AJ31" s="203" t="n"/>
      <c r="AK31" s="1003" t="n"/>
      <c r="AL31" s="1284">
        <f>IF(Draft!AS20=0,SUM(AL17:AO30),Draft!AS20)</f>
        <v/>
      </c>
      <c r="AM31" s="203" t="n"/>
      <c r="AN31" s="203" t="n"/>
      <c r="AO31" s="1003" t="n"/>
    </row>
    <row r="32" ht="12.75" customHeight="1">
      <c r="A32" s="23" t="n"/>
      <c r="B32" s="554" t="inlineStr">
        <is>
          <t>D - DIESEL OIL</t>
        </is>
      </c>
      <c r="C32" s="24" t="n"/>
      <c r="D32" s="25" t="n"/>
      <c r="E32" s="25" t="n"/>
      <c r="F32" s="25" t="n"/>
      <c r="G32" s="25" t="n"/>
      <c r="H32" s="25" t="n"/>
      <c r="I32" s="25" t="n"/>
      <c r="J32" s="25" t="n"/>
      <c r="K32" s="25" t="n"/>
      <c r="L32" s="25" t="n"/>
      <c r="M32" s="25" t="n"/>
      <c r="AF32" s="25" t="n"/>
      <c r="AG32" s="25" t="n"/>
      <c r="AH32" s="25" t="n"/>
      <c r="AI32" s="25" t="n"/>
      <c r="AJ32" s="25" t="n"/>
      <c r="AK32" s="25" t="n"/>
      <c r="AL32" s="25" t="n"/>
      <c r="AO32" s="27" t="n"/>
    </row>
    <row r="33" ht="12.75" customHeight="1">
      <c r="A33" s="8" t="n"/>
      <c r="B33" s="15" t="n"/>
      <c r="C33" s="15" t="n"/>
      <c r="D33" s="16" t="n"/>
      <c r="E33" s="16" t="n"/>
      <c r="F33" s="16" t="n"/>
      <c r="G33" s="16" t="n"/>
      <c r="H33" s="16" t="n"/>
      <c r="I33" s="16" t="n"/>
      <c r="J33" s="16" t="n"/>
      <c r="K33" s="16" t="n"/>
      <c r="L33" s="16" t="n"/>
      <c r="M33" s="16" t="n"/>
      <c r="AF33" s="16" t="n"/>
      <c r="AG33" s="16" t="n"/>
      <c r="AH33" s="16" t="n"/>
      <c r="AI33" s="16" t="n"/>
      <c r="AJ33" s="16" t="n"/>
      <c r="AK33" s="16" t="n"/>
      <c r="AL33" s="16" t="n"/>
      <c r="AO33" s="20" t="n"/>
    </row>
    <row r="34" ht="12.75" customHeight="1">
      <c r="A34" s="1273" t="n"/>
      <c r="B34" s="13" t="n"/>
      <c r="C34" s="13" t="n"/>
      <c r="D34" s="13" t="n"/>
      <c r="E34" s="184" t="n"/>
      <c r="F34" s="1274" t="n"/>
      <c r="G34" s="13" t="n"/>
      <c r="H34" s="13" t="n"/>
      <c r="I34" s="184" t="n"/>
      <c r="J34" s="1275" t="n"/>
      <c r="K34" s="13" t="n"/>
      <c r="L34" s="184" t="n"/>
      <c r="M34" s="1008" t="n"/>
      <c r="N34" s="184" t="n"/>
      <c r="O34" s="1008" t="n"/>
      <c r="P34" s="13" t="n"/>
      <c r="Q34" s="184" t="n"/>
      <c r="R34" s="1274" t="n"/>
      <c r="S34" s="13" t="n"/>
      <c r="T34" s="13" t="n"/>
      <c r="U34" s="184" t="n"/>
      <c r="V34" s="1274">
        <f>ROUND(R34*(O34-(0.00065*(M34-15))),2)</f>
        <v/>
      </c>
      <c r="W34" s="13" t="n"/>
      <c r="X34" s="13" t="n"/>
      <c r="Y34" s="184" t="n"/>
      <c r="Z34" s="1275" t="n"/>
      <c r="AA34" s="13" t="n"/>
      <c r="AB34" s="184" t="n"/>
      <c r="AC34" s="1008" t="n"/>
      <c r="AD34" s="184" t="n"/>
      <c r="AE34" s="1008" t="n"/>
      <c r="AF34" s="13" t="n"/>
      <c r="AG34" s="184" t="n"/>
      <c r="AH34" s="1274" t="n"/>
      <c r="AI34" s="13" t="n"/>
      <c r="AJ34" s="13" t="n"/>
      <c r="AK34" s="184" t="n"/>
      <c r="AL34" s="1274">
        <f>ROUND(AH34*(AE34-(0.00065*(AC34-15))),2)</f>
        <v/>
      </c>
      <c r="AM34" s="13" t="n"/>
      <c r="AN34" s="13" t="n"/>
      <c r="AO34" s="184" t="n"/>
    </row>
    <row r="35" ht="12.75" customHeight="1">
      <c r="A35" s="1276" t="n"/>
      <c r="E35" s="30" t="n"/>
      <c r="F35" s="1277" t="n"/>
      <c r="I35" s="30" t="n"/>
      <c r="J35" s="1278" t="n"/>
      <c r="L35" s="30" t="n"/>
      <c r="M35" s="1010" t="n"/>
      <c r="N35" s="30" t="n"/>
      <c r="O35" s="1010" t="n"/>
      <c r="Q35" s="30" t="n"/>
      <c r="R35" s="1277" t="n"/>
      <c r="U35" s="30" t="n"/>
      <c r="V35" s="1277">
        <f>ROUND(R35*(O35-(0.00065*(M35-15))),2)</f>
        <v/>
      </c>
      <c r="Y35" s="30" t="n"/>
      <c r="Z35" s="1278" t="n"/>
      <c r="AB35" s="30" t="n"/>
      <c r="AC35" s="1010" t="n"/>
      <c r="AD35" s="30" t="n"/>
      <c r="AE35" s="1010" t="n"/>
      <c r="AG35" s="30" t="n"/>
      <c r="AH35" s="1277" t="n"/>
      <c r="AK35" s="30" t="n"/>
      <c r="AL35" s="1277">
        <f>ROUND(AH35*(AE35-(0.00065*(AC35-15))),2)</f>
        <v/>
      </c>
      <c r="AO35" s="30" t="n"/>
    </row>
    <row r="36" ht="12.75" customHeight="1">
      <c r="A36" s="1276" t="n"/>
      <c r="E36" s="30" t="n"/>
      <c r="F36" s="1277" t="n"/>
      <c r="I36" s="30" t="n"/>
      <c r="J36" s="1278" t="n"/>
      <c r="L36" s="30" t="n"/>
      <c r="M36" s="1010" t="n"/>
      <c r="N36" s="30" t="n"/>
      <c r="O36" s="1010" t="n"/>
      <c r="Q36" s="30" t="n"/>
      <c r="R36" s="1277" t="n"/>
      <c r="U36" s="30" t="n"/>
      <c r="V36" s="1277">
        <f>ROUND(R36*(O36-(0.00065*(M36-15))),2)</f>
        <v/>
      </c>
      <c r="Y36" s="30" t="n"/>
      <c r="Z36" s="1278" t="n"/>
      <c r="AB36" s="30" t="n"/>
      <c r="AC36" s="1010" t="n"/>
      <c r="AD36" s="30" t="n"/>
      <c r="AE36" s="1010" t="n"/>
      <c r="AG36" s="30" t="n"/>
      <c r="AH36" s="1277" t="n"/>
      <c r="AK36" s="30" t="n"/>
      <c r="AL36" s="1277">
        <f>ROUND(AH36*(AE36-(0.00065*(AC36-15))),2)</f>
        <v/>
      </c>
      <c r="AO36" s="30" t="n"/>
    </row>
    <row r="37" ht="12.75" customHeight="1">
      <c r="A37" s="1276" t="n"/>
      <c r="E37" s="30" t="n"/>
      <c r="F37" s="1277" t="n"/>
      <c r="I37" s="30" t="n"/>
      <c r="J37" s="1278" t="n"/>
      <c r="L37" s="30" t="n"/>
      <c r="M37" s="1010" t="n"/>
      <c r="N37" s="30" t="n"/>
      <c r="O37" s="1010" t="n"/>
      <c r="Q37" s="30" t="n"/>
      <c r="R37" s="1277" t="n"/>
      <c r="U37" s="30" t="n"/>
      <c r="V37" s="1277">
        <f>ROUND(R37*(O37-(0.00065*(M37-15))),2)</f>
        <v/>
      </c>
      <c r="Y37" s="30" t="n"/>
      <c r="Z37" s="1278" t="n"/>
      <c r="AB37" s="30" t="n"/>
      <c r="AC37" s="1010" t="n"/>
      <c r="AD37" s="30" t="n"/>
      <c r="AE37" s="1010" t="n"/>
      <c r="AG37" s="30" t="n"/>
      <c r="AH37" s="1277" t="n"/>
      <c r="AK37" s="30" t="n"/>
      <c r="AL37" s="1277">
        <f>ROUND(AH37*(AE37-(0.00065*(AC37-15))),2)</f>
        <v/>
      </c>
      <c r="AO37" s="30" t="n"/>
    </row>
    <row r="38" ht="12.75" customHeight="1">
      <c r="A38" s="1276" t="n"/>
      <c r="E38" s="30" t="n"/>
      <c r="F38" s="1277" t="n"/>
      <c r="I38" s="30" t="n"/>
      <c r="J38" s="1278" t="n"/>
      <c r="L38" s="30" t="n"/>
      <c r="M38" s="1010" t="n"/>
      <c r="N38" s="30" t="n"/>
      <c r="O38" s="1010" t="n"/>
      <c r="Q38" s="30" t="n"/>
      <c r="R38" s="1277" t="n"/>
      <c r="U38" s="30" t="n"/>
      <c r="V38" s="1277">
        <f>ROUND(R38*(O38-(0.00065*(M38-15))),2)</f>
        <v/>
      </c>
      <c r="Y38" s="30" t="n"/>
      <c r="Z38" s="1278" t="n"/>
      <c r="AB38" s="30" t="n"/>
      <c r="AC38" s="1010" t="n"/>
      <c r="AD38" s="30" t="n"/>
      <c r="AE38" s="1010" t="n"/>
      <c r="AG38" s="30" t="n"/>
      <c r="AH38" s="1277" t="n"/>
      <c r="AK38" s="30" t="n"/>
      <c r="AL38" s="1277">
        <f>ROUND(AH38*(AE38-(0.00065*(AC38-15))),2)</f>
        <v/>
      </c>
      <c r="AO38" s="30" t="n"/>
    </row>
    <row r="39" ht="12.75" customHeight="1">
      <c r="A39" s="1279" t="n"/>
      <c r="B39" s="934" t="n"/>
      <c r="C39" s="934" t="n"/>
      <c r="D39" s="934" t="n"/>
      <c r="E39" s="935" t="n"/>
      <c r="F39" s="1277" t="n"/>
      <c r="I39" s="30" t="n"/>
      <c r="J39" s="1278" t="n"/>
      <c r="L39" s="30" t="n"/>
      <c r="M39" s="1010" t="n"/>
      <c r="N39" s="30" t="n"/>
      <c r="O39" s="1010" t="n"/>
      <c r="Q39" s="30" t="n"/>
      <c r="R39" s="1277" t="n"/>
      <c r="U39" s="30" t="n"/>
      <c r="V39" s="1280">
        <f>ROUND(R39*(O39-(0.00065*(M39-15))),2)</f>
        <v/>
      </c>
      <c r="W39" s="934" t="n"/>
      <c r="X39" s="934" t="n"/>
      <c r="Y39" s="935" t="n"/>
      <c r="Z39" s="1278" t="n"/>
      <c r="AB39" s="30" t="n"/>
      <c r="AC39" s="1010" t="n"/>
      <c r="AD39" s="30" t="n"/>
      <c r="AE39" s="1010" t="n"/>
      <c r="AG39" s="30" t="n"/>
      <c r="AH39" s="1277" t="n"/>
      <c r="AK39" s="30" t="n"/>
      <c r="AL39" s="1280">
        <f>ROUND(AH39*(AE39-(0.00065*(AC39-15))),2)</f>
        <v/>
      </c>
      <c r="AM39" s="934" t="n"/>
      <c r="AN39" s="934" t="n"/>
      <c r="AO39" s="935" t="n"/>
    </row>
    <row r="40" ht="12.75" customHeight="1">
      <c r="A40" s="1281" t="inlineStr">
        <is>
          <t>Total D</t>
        </is>
      </c>
      <c r="B40" s="203" t="n"/>
      <c r="C40" s="203" t="n"/>
      <c r="D40" s="203" t="n"/>
      <c r="E40" s="1003" t="n"/>
      <c r="F40" s="1282" t="n"/>
      <c r="G40" s="203" t="n"/>
      <c r="H40" s="203" t="n"/>
      <c r="I40" s="1003" t="n"/>
      <c r="J40" s="1283" t="n"/>
      <c r="K40" s="203" t="n"/>
      <c r="L40" s="203" t="n"/>
      <c r="M40" s="203" t="n"/>
      <c r="N40" s="203" t="n"/>
      <c r="O40" s="203" t="n"/>
      <c r="P40" s="203" t="n"/>
      <c r="Q40" s="203" t="n"/>
      <c r="R40" s="203" t="n"/>
      <c r="S40" s="203" t="n"/>
      <c r="T40" s="203" t="n"/>
      <c r="U40" s="1003" t="n"/>
      <c r="V40" s="1284">
        <f>IF(Draft!G21=0,SUM(V34:Y39),Draft!G21)</f>
        <v/>
      </c>
      <c r="W40" s="203" t="n"/>
      <c r="X40" s="203" t="n"/>
      <c r="Y40" s="1003" t="n"/>
      <c r="Z40" s="1283" t="n"/>
      <c r="AA40" s="203" t="n"/>
      <c r="AB40" s="203" t="n"/>
      <c r="AC40" s="203" t="n"/>
      <c r="AD40" s="203" t="n"/>
      <c r="AE40" s="203" t="n"/>
      <c r="AF40" s="203" t="n"/>
      <c r="AG40" s="203" t="n"/>
      <c r="AH40" s="203" t="n"/>
      <c r="AI40" s="203" t="n"/>
      <c r="AJ40" s="203" t="n"/>
      <c r="AK40" s="1003" t="n"/>
      <c r="AL40" s="1284">
        <f>IF(Draft!AS21=0,SUM(AL34:AO39),Draft!AS21)</f>
        <v/>
      </c>
      <c r="AM40" s="203" t="n"/>
      <c r="AN40" s="203" t="n"/>
      <c r="AO40" s="1003" t="n"/>
    </row>
    <row r="41" ht="8.25" customHeight="1">
      <c r="A41" s="1001"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84" t="n"/>
    </row>
    <row r="42" ht="12" customHeight="1">
      <c r="A42" s="859" t="inlineStr">
        <is>
          <t>SUMMARY OF DEDUCTIBLES</t>
        </is>
      </c>
      <c r="B42" s="934" t="n"/>
      <c r="C42" s="934" t="n"/>
      <c r="D42" s="934" t="n"/>
      <c r="E42" s="934" t="n"/>
      <c r="F42" s="934" t="n"/>
      <c r="G42" s="934" t="n"/>
      <c r="H42" s="934" t="n"/>
      <c r="I42" s="934" t="n"/>
      <c r="J42" s="934" t="n"/>
      <c r="K42" s="934" t="n"/>
      <c r="L42" s="934" t="n"/>
      <c r="M42" s="934" t="n"/>
      <c r="N42" s="934" t="n"/>
      <c r="O42" s="934" t="n"/>
      <c r="P42" s="934" t="n"/>
      <c r="Q42" s="934" t="n"/>
      <c r="R42" s="934" t="n"/>
      <c r="S42" s="934" t="n"/>
      <c r="T42" s="934" t="n"/>
      <c r="U42" s="934" t="n"/>
      <c r="V42" s="934" t="n"/>
      <c r="W42" s="934" t="n"/>
      <c r="X42" s="934" t="n"/>
      <c r="Y42" s="934" t="n"/>
      <c r="Z42" s="934" t="n"/>
      <c r="AA42" s="934" t="n"/>
      <c r="AB42" s="934" t="n"/>
      <c r="AC42" s="934" t="n"/>
      <c r="AD42" s="934" t="n"/>
      <c r="AE42" s="934" t="n"/>
      <c r="AF42" s="934" t="n"/>
      <c r="AG42" s="934" t="n"/>
      <c r="AH42" s="934" t="n"/>
      <c r="AI42" s="934" t="n"/>
      <c r="AJ42" s="934" t="n"/>
      <c r="AK42" s="934" t="n"/>
      <c r="AL42" s="934" t="n"/>
      <c r="AM42" s="934" t="n"/>
      <c r="AN42" s="934" t="n"/>
      <c r="AO42" s="935" t="n"/>
    </row>
    <row r="43" ht="12.75" customHeight="1">
      <c r="A43" s="6" t="n"/>
      <c r="B43" s="11" t="n"/>
      <c r="C43" s="13" t="n"/>
      <c r="D43" s="13" t="n"/>
      <c r="E43" s="13" t="n"/>
      <c r="F43" s="13" t="n"/>
      <c r="G43" s="13" t="n"/>
      <c r="H43" s="13" t="n"/>
      <c r="I43" s="13" t="n"/>
      <c r="J43" s="11" t="n"/>
      <c r="K43" s="12" t="n"/>
      <c r="L43" s="12" t="n"/>
      <c r="M43" s="12" t="n"/>
      <c r="N43" s="496" t="inlineStr">
        <is>
          <t>STARTING SURVEY</t>
        </is>
      </c>
      <c r="O43" s="13" t="n"/>
      <c r="P43" s="13" t="n"/>
      <c r="Q43" s="13" t="n"/>
      <c r="R43" s="13" t="n"/>
      <c r="S43" s="13" t="n"/>
      <c r="T43" s="13" t="n"/>
      <c r="U43" s="13" t="n"/>
      <c r="V43" s="13" t="n"/>
      <c r="W43" s="13" t="n"/>
      <c r="X43" s="13" t="n"/>
      <c r="Y43" s="13" t="n"/>
      <c r="Z43" s="496" t="inlineStr">
        <is>
          <t>FINISHING SURVEY</t>
        </is>
      </c>
      <c r="AA43" s="13" t="n"/>
      <c r="AB43" s="13" t="n"/>
      <c r="AC43" s="13" t="n"/>
      <c r="AD43" s="13" t="n"/>
      <c r="AE43" s="13" t="n"/>
      <c r="AF43" s="13" t="n"/>
      <c r="AG43" s="13" t="n"/>
      <c r="AH43" s="13" t="n"/>
      <c r="AI43" s="13" t="n"/>
      <c r="AJ43" s="13" t="n"/>
      <c r="AK43" s="13" t="n"/>
      <c r="AL43" s="13" t="n"/>
      <c r="AM43" s="12" t="n"/>
      <c r="AN43" s="12" t="n"/>
      <c r="AO43" s="14" t="n"/>
    </row>
    <row r="44" ht="12.75" customHeight="1">
      <c r="A44" s="23" t="n"/>
      <c r="B44" s="24" t="n"/>
      <c r="J44" s="24" t="n"/>
      <c r="K44" s="25" t="n"/>
      <c r="L44" s="25" t="n"/>
      <c r="M44" s="25" t="n"/>
      <c r="N44" s="425" t="inlineStr">
        <is>
          <t>metric tonnes</t>
        </is>
      </c>
      <c r="Z44" s="425" t="inlineStr">
        <is>
          <t>metric tonnes</t>
        </is>
      </c>
      <c r="AM44" s="25" t="n"/>
      <c r="AN44" s="25" t="n"/>
      <c r="AO44" s="27" t="n"/>
    </row>
    <row r="45" ht="12.75" customHeight="1">
      <c r="A45" s="1285" t="inlineStr">
        <is>
          <t xml:space="preserve">Ballast water </t>
        </is>
      </c>
      <c r="N45" s="30" t="n"/>
      <c r="O45" s="1286">
        <f>+Draft!G18</f>
        <v/>
      </c>
      <c r="P45" s="203" t="n"/>
      <c r="Q45" s="203" t="n"/>
      <c r="R45" s="203" t="n"/>
      <c r="S45" s="203" t="n"/>
      <c r="T45" s="203" t="n"/>
      <c r="U45" s="203" t="n"/>
      <c r="V45" s="203" t="n"/>
      <c r="W45" s="203" t="n"/>
      <c r="X45" s="82" t="n"/>
      <c r="Y45" s="1010" t="n"/>
      <c r="Z45" s="30" t="n"/>
      <c r="AA45" s="1286">
        <f>+Draft!AS18</f>
        <v/>
      </c>
      <c r="AB45" s="203" t="n"/>
      <c r="AC45" s="203" t="n"/>
      <c r="AD45" s="203" t="n"/>
      <c r="AE45" s="203" t="n"/>
      <c r="AF45" s="203" t="n"/>
      <c r="AG45" s="203" t="n"/>
      <c r="AH45" s="203" t="n"/>
      <c r="AI45" s="203" t="n"/>
      <c r="AJ45" s="82" t="n"/>
      <c r="AK45" s="1010" t="n"/>
      <c r="AO45" s="30" t="n"/>
    </row>
    <row r="46" ht="12.75" customHeight="1">
      <c r="A46" s="1285" t="inlineStr">
        <is>
          <t xml:space="preserve">Fresh water   </t>
        </is>
      </c>
      <c r="N46" s="30" t="n"/>
      <c r="O46" s="1286">
        <f>+Draft!G19</f>
        <v/>
      </c>
      <c r="P46" s="203" t="n"/>
      <c r="Q46" s="203" t="n"/>
      <c r="R46" s="203" t="n"/>
      <c r="S46" s="203" t="n"/>
      <c r="T46" s="203" t="n"/>
      <c r="U46" s="203" t="n"/>
      <c r="V46" s="203" t="n"/>
      <c r="W46" s="203" t="n"/>
      <c r="X46" s="82" t="n"/>
      <c r="Y46" s="1010" t="n"/>
      <c r="Z46" s="30" t="n"/>
      <c r="AA46" s="1286">
        <f>+Draft!AS19</f>
        <v/>
      </c>
      <c r="AB46" s="203" t="n"/>
      <c r="AC46" s="203" t="n"/>
      <c r="AD46" s="203" t="n"/>
      <c r="AE46" s="203" t="n"/>
      <c r="AF46" s="203" t="n"/>
      <c r="AG46" s="203" t="n"/>
      <c r="AH46" s="203" t="n"/>
      <c r="AI46" s="203" t="n"/>
      <c r="AJ46" s="82" t="n"/>
      <c r="AK46" s="1010" t="n"/>
      <c r="AO46" s="30" t="n"/>
    </row>
    <row r="47" ht="12.75" customHeight="1">
      <c r="A47" s="1285" t="inlineStr">
        <is>
          <t xml:space="preserve">Fuel oil   </t>
        </is>
      </c>
      <c r="N47" s="30" t="n"/>
      <c r="O47" s="1286">
        <f>+Draft!G20</f>
        <v/>
      </c>
      <c r="P47" s="203" t="n"/>
      <c r="Q47" s="203" t="n"/>
      <c r="R47" s="203" t="n"/>
      <c r="S47" s="203" t="n"/>
      <c r="T47" s="203" t="n"/>
      <c r="U47" s="203" t="n"/>
      <c r="V47" s="203" t="n"/>
      <c r="W47" s="203" t="n"/>
      <c r="X47" s="82" t="n"/>
      <c r="Y47" s="1010" t="n"/>
      <c r="Z47" s="30" t="n"/>
      <c r="AA47" s="1286">
        <f>+Draft!AS20</f>
        <v/>
      </c>
      <c r="AB47" s="203" t="n"/>
      <c r="AC47" s="203" t="n"/>
      <c r="AD47" s="203" t="n"/>
      <c r="AE47" s="203" t="n"/>
      <c r="AF47" s="203" t="n"/>
      <c r="AG47" s="203" t="n"/>
      <c r="AH47" s="203" t="n"/>
      <c r="AI47" s="203" t="n"/>
      <c r="AJ47" s="82" t="n"/>
      <c r="AK47" s="1010" t="n"/>
      <c r="AO47" s="30" t="n"/>
    </row>
    <row r="48" ht="12.75" customHeight="1">
      <c r="A48" s="1285" t="inlineStr">
        <is>
          <t xml:space="preserve">Diesel oil   </t>
        </is>
      </c>
      <c r="N48" s="30" t="n"/>
      <c r="O48" s="1286">
        <f>+Draft!G21</f>
        <v/>
      </c>
      <c r="P48" s="203" t="n"/>
      <c r="Q48" s="203" t="n"/>
      <c r="R48" s="203" t="n"/>
      <c r="S48" s="203" t="n"/>
      <c r="T48" s="203" t="n"/>
      <c r="U48" s="203" t="n"/>
      <c r="V48" s="203" t="n"/>
      <c r="W48" s="203" t="n"/>
      <c r="X48" s="82" t="n"/>
      <c r="Y48" s="1010" t="n"/>
      <c r="Z48" s="30" t="n"/>
      <c r="AA48" s="1286">
        <f>+Draft!AS21</f>
        <v/>
      </c>
      <c r="AB48" s="203" t="n"/>
      <c r="AC48" s="203" t="n"/>
      <c r="AD48" s="203" t="n"/>
      <c r="AE48" s="203" t="n"/>
      <c r="AF48" s="203" t="n"/>
      <c r="AG48" s="203" t="n"/>
      <c r="AH48" s="203" t="n"/>
      <c r="AI48" s="203" t="n"/>
      <c r="AJ48" s="82" t="n"/>
      <c r="AK48" s="1010" t="n"/>
      <c r="AO48" s="30" t="n"/>
    </row>
    <row r="49" ht="12.75" customHeight="1">
      <c r="A49" s="1285" t="inlineStr">
        <is>
          <t xml:space="preserve">Lubrificating oil   </t>
        </is>
      </c>
      <c r="N49" s="30" t="n"/>
      <c r="O49" s="1286">
        <f>+Draft!G22</f>
        <v/>
      </c>
      <c r="P49" s="203" t="n"/>
      <c r="Q49" s="203" t="n"/>
      <c r="R49" s="203" t="n"/>
      <c r="S49" s="203" t="n"/>
      <c r="T49" s="203" t="n"/>
      <c r="U49" s="203" t="n"/>
      <c r="V49" s="203" t="n"/>
      <c r="W49" s="203" t="n"/>
      <c r="X49" s="82" t="n"/>
      <c r="Y49" s="1010" t="n"/>
      <c r="Z49" s="30" t="n"/>
      <c r="AA49" s="1286">
        <f>+Draft!AS22</f>
        <v/>
      </c>
      <c r="AB49" s="203" t="n"/>
      <c r="AC49" s="203" t="n"/>
      <c r="AD49" s="203" t="n"/>
      <c r="AE49" s="203" t="n"/>
      <c r="AF49" s="203" t="n"/>
      <c r="AG49" s="203" t="n"/>
      <c r="AH49" s="203" t="n"/>
      <c r="AI49" s="203" t="n"/>
      <c r="AJ49" s="82" t="n"/>
      <c r="AK49" s="1010" t="n"/>
      <c r="AO49" s="30" t="n"/>
    </row>
    <row r="50" ht="12.75" customHeight="1">
      <c r="A50" s="1285" t="inlineStr">
        <is>
          <t xml:space="preserve">Slops   </t>
        </is>
      </c>
      <c r="N50" s="30" t="n"/>
      <c r="O50" s="1286">
        <f>+Draft!G23</f>
        <v/>
      </c>
      <c r="P50" s="203" t="n"/>
      <c r="Q50" s="203" t="n"/>
      <c r="R50" s="203" t="n"/>
      <c r="S50" s="203" t="n"/>
      <c r="T50" s="203" t="n"/>
      <c r="U50" s="203" t="n"/>
      <c r="V50" s="203" t="n"/>
      <c r="W50" s="203" t="n"/>
      <c r="X50" s="82" t="n"/>
      <c r="Y50" s="1010" t="n"/>
      <c r="Z50" s="30" t="n"/>
      <c r="AA50" s="1286">
        <f>+Draft!AS23</f>
        <v/>
      </c>
      <c r="AB50" s="203" t="n"/>
      <c r="AC50" s="203" t="n"/>
      <c r="AD50" s="203" t="n"/>
      <c r="AE50" s="203" t="n"/>
      <c r="AF50" s="203" t="n"/>
      <c r="AG50" s="203" t="n"/>
      <c r="AH50" s="203" t="n"/>
      <c r="AI50" s="203" t="n"/>
      <c r="AJ50" s="82" t="n"/>
      <c r="AK50" s="1010" t="n"/>
      <c r="AO50" s="30" t="n"/>
    </row>
    <row r="51" ht="12.75" customHeight="1">
      <c r="A51" s="1285" t="inlineStr">
        <is>
          <t xml:space="preserve">Swimming pool water   </t>
        </is>
      </c>
      <c r="N51" s="30" t="n"/>
      <c r="O51" s="1286">
        <f>+Draft!G24</f>
        <v/>
      </c>
      <c r="P51" s="203" t="n"/>
      <c r="Q51" s="203" t="n"/>
      <c r="R51" s="203" t="n"/>
      <c r="S51" s="203" t="n"/>
      <c r="T51" s="203" t="n"/>
      <c r="U51" s="203" t="n"/>
      <c r="V51" s="203" t="n"/>
      <c r="W51" s="203" t="n"/>
      <c r="X51" s="82" t="n"/>
      <c r="Y51" s="1010" t="n"/>
      <c r="Z51" s="30" t="n"/>
      <c r="AA51" s="1286">
        <f>+Draft!AS24</f>
        <v/>
      </c>
      <c r="AB51" s="203" t="n"/>
      <c r="AC51" s="203" t="n"/>
      <c r="AD51" s="203" t="n"/>
      <c r="AE51" s="203" t="n"/>
      <c r="AF51" s="203" t="n"/>
      <c r="AG51" s="203" t="n"/>
      <c r="AH51" s="203" t="n"/>
      <c r="AI51" s="203" t="n"/>
      <c r="AJ51" s="82" t="n"/>
      <c r="AK51" s="1010" t="n"/>
      <c r="AO51" s="30" t="n"/>
    </row>
    <row r="52" ht="12.75" customHeight="1">
      <c r="A52" s="1285" t="inlineStr">
        <is>
          <t xml:space="preserve">Anchor &amp; Chain   </t>
        </is>
      </c>
      <c r="N52" s="30" t="n"/>
      <c r="O52" s="1286">
        <f>+Draft!G25</f>
        <v/>
      </c>
      <c r="P52" s="203" t="n"/>
      <c r="Q52" s="203" t="n"/>
      <c r="R52" s="203" t="n"/>
      <c r="S52" s="203" t="n"/>
      <c r="T52" s="203" t="n"/>
      <c r="U52" s="203" t="n"/>
      <c r="V52" s="203" t="n"/>
      <c r="W52" s="203" t="n"/>
      <c r="X52" s="82" t="n"/>
      <c r="Y52" s="1010" t="n"/>
      <c r="Z52" s="30" t="n"/>
      <c r="AA52" s="1286">
        <f>+Draft!AS25</f>
        <v/>
      </c>
      <c r="AB52" s="203" t="n"/>
      <c r="AC52" s="203" t="n"/>
      <c r="AD52" s="203" t="n"/>
      <c r="AE52" s="203" t="n"/>
      <c r="AF52" s="203" t="n"/>
      <c r="AG52" s="203" t="n"/>
      <c r="AH52" s="203" t="n"/>
      <c r="AI52" s="203" t="n"/>
      <c r="AJ52" s="82" t="n"/>
      <c r="AK52" s="1010" t="n"/>
      <c r="AO52" s="30" t="n"/>
    </row>
    <row r="53" ht="12.75" customHeight="1">
      <c r="A53" s="1285" t="inlineStr">
        <is>
          <t xml:space="preserve">Others   </t>
        </is>
      </c>
      <c r="N53" s="30" t="n"/>
      <c r="O53" s="1286" t="n"/>
      <c r="P53" s="203" t="n"/>
      <c r="Q53" s="203" t="n"/>
      <c r="R53" s="203" t="n"/>
      <c r="S53" s="203" t="n"/>
      <c r="T53" s="203" t="n"/>
      <c r="U53" s="203" t="n"/>
      <c r="V53" s="203" t="n"/>
      <c r="W53" s="203" t="n"/>
      <c r="X53" s="82" t="n"/>
      <c r="Y53" s="1010" t="n"/>
      <c r="Z53" s="30" t="n"/>
      <c r="AA53" s="1286" t="n"/>
      <c r="AB53" s="203" t="n"/>
      <c r="AC53" s="203" t="n"/>
      <c r="AD53" s="203" t="n"/>
      <c r="AE53" s="203" t="n"/>
      <c r="AF53" s="203" t="n"/>
      <c r="AG53" s="203" t="n"/>
      <c r="AH53" s="203" t="n"/>
      <c r="AI53" s="203" t="n"/>
      <c r="AJ53" s="82" t="n"/>
      <c r="AK53" s="1010" t="n"/>
      <c r="AO53" s="30" t="n"/>
    </row>
    <row r="54" ht="12.75" customHeight="1">
      <c r="A54" s="23" t="n"/>
      <c r="B54" s="545" t="n"/>
      <c r="AO54" s="30" t="n"/>
    </row>
    <row r="55" ht="12.75" customHeight="1">
      <c r="A55" s="1285" t="inlineStr">
        <is>
          <t xml:space="preserve">Total Deductibles   </t>
        </is>
      </c>
      <c r="N55" s="30" t="n"/>
      <c r="O55" s="1286">
        <f>+Draft!G26</f>
        <v/>
      </c>
      <c r="P55" s="203" t="n"/>
      <c r="Q55" s="203" t="n"/>
      <c r="R55" s="203" t="n"/>
      <c r="S55" s="203" t="n"/>
      <c r="T55" s="203" t="n"/>
      <c r="U55" s="203" t="n"/>
      <c r="V55" s="203" t="n"/>
      <c r="W55" s="203" t="n"/>
      <c r="X55" s="82" t="n"/>
      <c r="Y55" s="1010" t="n"/>
      <c r="Z55" s="30" t="n"/>
      <c r="AA55" s="1286">
        <f>+Draft!AS26</f>
        <v/>
      </c>
      <c r="AB55" s="203" t="n"/>
      <c r="AC55" s="203" t="n"/>
      <c r="AD55" s="203" t="n"/>
      <c r="AE55" s="203" t="n"/>
      <c r="AF55" s="203" t="n"/>
      <c r="AG55" s="203" t="n"/>
      <c r="AH55" s="203" t="n"/>
      <c r="AI55" s="203" t="n"/>
      <c r="AJ55" s="82" t="n"/>
      <c r="AK55" s="1010" t="n"/>
      <c r="AO55" s="30" t="n"/>
    </row>
    <row r="56" ht="12.75" customHeight="1">
      <c r="A56" s="859" t="n"/>
      <c r="B56" s="934" t="n"/>
      <c r="C56" s="934" t="n"/>
      <c r="D56" s="934" t="n"/>
      <c r="E56" s="934" t="n"/>
      <c r="F56" s="934" t="n"/>
      <c r="G56" s="934" t="n"/>
      <c r="H56" s="934" t="n"/>
      <c r="I56" s="934" t="n"/>
      <c r="J56" s="934" t="n"/>
      <c r="K56" s="934" t="n"/>
      <c r="L56" s="934" t="n"/>
      <c r="M56" s="934" t="n"/>
      <c r="N56" s="934" t="n"/>
      <c r="O56" s="934" t="n"/>
      <c r="P56" s="934" t="n"/>
      <c r="Q56" s="934" t="n"/>
      <c r="R56" s="934" t="n"/>
      <c r="S56" s="934" t="n"/>
      <c r="T56" s="934" t="n"/>
      <c r="U56" s="934" t="n"/>
      <c r="V56" s="934" t="n"/>
      <c r="W56" s="934" t="n"/>
      <c r="X56" s="934" t="n"/>
      <c r="Y56" s="934" t="n"/>
      <c r="Z56" s="934" t="n"/>
      <c r="AA56" s="934" t="n"/>
      <c r="AB56" s="934" t="n"/>
      <c r="AC56" s="934" t="n"/>
      <c r="AD56" s="934" t="n"/>
      <c r="AE56" s="934" t="n"/>
      <c r="AF56" s="934" t="n"/>
      <c r="AG56" s="934" t="n"/>
      <c r="AH56" s="934" t="n"/>
      <c r="AI56" s="934" t="n"/>
      <c r="AJ56" s="934" t="n"/>
      <c r="AK56" s="934" t="n"/>
      <c r="AL56" s="934" t="n"/>
      <c r="AM56" s="934" t="n"/>
      <c r="AN56" s="934" t="n"/>
      <c r="AO56" s="935" t="n"/>
    </row>
    <row r="57" ht="12.75" customHeight="1">
      <c r="A57" s="528"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row>
    <row r="58" ht="25.5" customHeight="1">
      <c r="A58" s="418" t="n"/>
    </row>
  </sheetData>
  <mergeCells count="367">
    <mergeCell ref="Y47:Z47"/>
    <mergeCell ref="Z43:AK43"/>
    <mergeCell ref="AK53:AO53"/>
    <mergeCell ref="A48:N48"/>
    <mergeCell ref="O22:Q22"/>
    <mergeCell ref="N44:Y44"/>
    <mergeCell ref="M35:N35"/>
    <mergeCell ref="V18:Y18"/>
    <mergeCell ref="B5:AO5"/>
    <mergeCell ref="V17:Y17"/>
    <mergeCell ref="A37:E37"/>
    <mergeCell ref="F25:I25"/>
    <mergeCell ref="Y50:Z50"/>
    <mergeCell ref="AE24:AG24"/>
    <mergeCell ref="R13:U13"/>
    <mergeCell ref="Y52:Z52"/>
    <mergeCell ref="J39:L39"/>
    <mergeCell ref="V29:Y29"/>
    <mergeCell ref="AE26:AG26"/>
    <mergeCell ref="Y45:Z45"/>
    <mergeCell ref="AL28:AO28"/>
    <mergeCell ref="V31:Y31"/>
    <mergeCell ref="AC36:AD36"/>
    <mergeCell ref="AL21:AO21"/>
    <mergeCell ref="J11:Y11"/>
    <mergeCell ref="F13:I13"/>
    <mergeCell ref="AL23:AO23"/>
    <mergeCell ref="AE39:AG39"/>
    <mergeCell ref="V19:Y19"/>
    <mergeCell ref="Z16:AO16"/>
    <mergeCell ref="J14:L14"/>
    <mergeCell ref="A38:E38"/>
    <mergeCell ref="AH34:AK34"/>
    <mergeCell ref="A40:E40"/>
    <mergeCell ref="F28:I28"/>
    <mergeCell ref="Y53:Z53"/>
    <mergeCell ref="AH36:AK36"/>
    <mergeCell ref="AC17:AD17"/>
    <mergeCell ref="O35:Q35"/>
    <mergeCell ref="F39:I39"/>
    <mergeCell ref="Y55:Z55"/>
    <mergeCell ref="AL29:AO29"/>
    <mergeCell ref="A4:Y4"/>
    <mergeCell ref="V37:Y37"/>
    <mergeCell ref="R23:U23"/>
    <mergeCell ref="AL31:AO31"/>
    <mergeCell ref="A6:AO6"/>
    <mergeCell ref="AC39:AD39"/>
    <mergeCell ref="V38:Y38"/>
    <mergeCell ref="V13:Y13"/>
    <mergeCell ref="AL26:AO26"/>
    <mergeCell ref="R34:U34"/>
    <mergeCell ref="M26:N26"/>
    <mergeCell ref="AA52:AI52"/>
    <mergeCell ref="R36:U36"/>
    <mergeCell ref="A28:E28"/>
    <mergeCell ref="V27:Y27"/>
    <mergeCell ref="A30:E30"/>
    <mergeCell ref="AA49:AI49"/>
    <mergeCell ref="Z37:AB37"/>
    <mergeCell ref="Z12:AB12"/>
    <mergeCell ref="V22:Y22"/>
    <mergeCell ref="F14:I14"/>
    <mergeCell ref="Z14:AB14"/>
    <mergeCell ref="R29:U29"/>
    <mergeCell ref="Z13:AB13"/>
    <mergeCell ref="AH12:AK12"/>
    <mergeCell ref="J21:L21"/>
    <mergeCell ref="A27:E27"/>
    <mergeCell ref="AA55:AI55"/>
    <mergeCell ref="AC20:AD20"/>
    <mergeCell ref="AH14:AK14"/>
    <mergeCell ref="M28:N28"/>
    <mergeCell ref="J23:L23"/>
    <mergeCell ref="R24:U24"/>
    <mergeCell ref="AC22:AD22"/>
    <mergeCell ref="V40:Y40"/>
    <mergeCell ref="O53:W53"/>
    <mergeCell ref="R26:U26"/>
    <mergeCell ref="Z25:AB25"/>
    <mergeCell ref="N43:Y43"/>
    <mergeCell ref="AE21:AG21"/>
    <mergeCell ref="A11:E11"/>
    <mergeCell ref="AE23:AG23"/>
    <mergeCell ref="AA53:AI53"/>
    <mergeCell ref="AK47:AO47"/>
    <mergeCell ref="Z20:AB20"/>
    <mergeCell ref="AA50:AI50"/>
    <mergeCell ref="AC35:AD35"/>
    <mergeCell ref="M18:N18"/>
    <mergeCell ref="AH20:AK20"/>
    <mergeCell ref="AK50:AO50"/>
    <mergeCell ref="Z40:AK40"/>
    <mergeCell ref="J29:L29"/>
    <mergeCell ref="M17:N17"/>
    <mergeCell ref="Y2:AH2"/>
    <mergeCell ref="O19:Q19"/>
    <mergeCell ref="AK52:AO52"/>
    <mergeCell ref="R21:U21"/>
    <mergeCell ref="AE18:AG18"/>
    <mergeCell ref="M19:N19"/>
    <mergeCell ref="J24:L24"/>
    <mergeCell ref="AH30:AK30"/>
    <mergeCell ref="AC28:AD28"/>
    <mergeCell ref="J26:L26"/>
    <mergeCell ref="AE29:AG29"/>
    <mergeCell ref="AC30:AD30"/>
    <mergeCell ref="A2:X2"/>
    <mergeCell ref="O12:Q12"/>
    <mergeCell ref="Z35:AB35"/>
    <mergeCell ref="AC23:AD23"/>
    <mergeCell ref="F34:I34"/>
    <mergeCell ref="AE37:AG37"/>
    <mergeCell ref="Z34:AB34"/>
    <mergeCell ref="O14:Q14"/>
    <mergeCell ref="A12:E12"/>
    <mergeCell ref="AK55:AO55"/>
    <mergeCell ref="Z28:AB28"/>
    <mergeCell ref="O38:Q38"/>
    <mergeCell ref="F8:AB8"/>
    <mergeCell ref="F30:I30"/>
    <mergeCell ref="O13:Q13"/>
    <mergeCell ref="AH35:AK35"/>
    <mergeCell ref="Z36:AB36"/>
    <mergeCell ref="A14:E14"/>
    <mergeCell ref="Z30:AB30"/>
    <mergeCell ref="AK46:AO46"/>
    <mergeCell ref="M24:N24"/>
    <mergeCell ref="J37:L37"/>
    <mergeCell ref="AH39:AK39"/>
    <mergeCell ref="AA45:AI45"/>
    <mergeCell ref="AE17:AG17"/>
    <mergeCell ref="O25:Q25"/>
    <mergeCell ref="AH28:AK28"/>
    <mergeCell ref="AE19:AG19"/>
    <mergeCell ref="A25:E25"/>
    <mergeCell ref="AA46:AI46"/>
    <mergeCell ref="AH21:AK21"/>
    <mergeCell ref="AA51:AI51"/>
    <mergeCell ref="AC29:AD29"/>
    <mergeCell ref="AH23:AK23"/>
    <mergeCell ref="Z24:AB24"/>
    <mergeCell ref="M37:N37"/>
    <mergeCell ref="F36:I36"/>
    <mergeCell ref="A20:E20"/>
    <mergeCell ref="B7:Y7"/>
    <mergeCell ref="M38:N38"/>
    <mergeCell ref="AL18:AO18"/>
    <mergeCell ref="A13:E13"/>
    <mergeCell ref="AK48:AO48"/>
    <mergeCell ref="R17:U17"/>
    <mergeCell ref="F31:I31"/>
    <mergeCell ref="O49:W49"/>
    <mergeCell ref="A51:N51"/>
    <mergeCell ref="J20:L20"/>
    <mergeCell ref="Z39:AB39"/>
    <mergeCell ref="O50:W50"/>
    <mergeCell ref="J22:L22"/>
    <mergeCell ref="V12:Y12"/>
    <mergeCell ref="AK51:AO51"/>
    <mergeCell ref="O52:W52"/>
    <mergeCell ref="V14:Y14"/>
    <mergeCell ref="Z11:AO11"/>
    <mergeCell ref="AE27:AG27"/>
    <mergeCell ref="F24:I24"/>
    <mergeCell ref="F21:I21"/>
    <mergeCell ref="Y46:Z46"/>
    <mergeCell ref="AH29:AK29"/>
    <mergeCell ref="A8:E8"/>
    <mergeCell ref="AE20:AG20"/>
    <mergeCell ref="R37:U37"/>
    <mergeCell ref="O34:Q34"/>
    <mergeCell ref="O28:Q28"/>
    <mergeCell ref="A35:E35"/>
    <mergeCell ref="F26:I26"/>
    <mergeCell ref="AE35:AG35"/>
    <mergeCell ref="Y48:Z48"/>
    <mergeCell ref="AE22:AG22"/>
    <mergeCell ref="O36:Q36"/>
    <mergeCell ref="O30:Q30"/>
    <mergeCell ref="AL24:AO24"/>
    <mergeCell ref="O29:Q29"/>
    <mergeCell ref="A39:E39"/>
    <mergeCell ref="F27:I27"/>
    <mergeCell ref="AH26:AK26"/>
    <mergeCell ref="AL17:AO17"/>
    <mergeCell ref="J35:L35"/>
    <mergeCell ref="V25:Y25"/>
    <mergeCell ref="AE38:AG38"/>
    <mergeCell ref="AL19:AO19"/>
    <mergeCell ref="O55:W55"/>
    <mergeCell ref="A21:E21"/>
    <mergeCell ref="A41:AO41"/>
    <mergeCell ref="AA47:AI47"/>
    <mergeCell ref="V20:Y20"/>
    <mergeCell ref="AC25:AD25"/>
    <mergeCell ref="Y49:Z49"/>
    <mergeCell ref="A23:E23"/>
    <mergeCell ref="A56:AO56"/>
    <mergeCell ref="AL37:AO37"/>
    <mergeCell ref="A52:N52"/>
    <mergeCell ref="AL12:AO12"/>
    <mergeCell ref="O45:W45"/>
    <mergeCell ref="F23:I23"/>
    <mergeCell ref="A34:E34"/>
    <mergeCell ref="AL14:AO14"/>
    <mergeCell ref="F37:I37"/>
    <mergeCell ref="A49:N49"/>
    <mergeCell ref="A36:E36"/>
    <mergeCell ref="A9:AO9"/>
    <mergeCell ref="R18:U18"/>
    <mergeCell ref="A1:AO1"/>
    <mergeCell ref="Y51:Z51"/>
    <mergeCell ref="AI2:AO4"/>
    <mergeCell ref="R19:U19"/>
    <mergeCell ref="AL27:AO27"/>
    <mergeCell ref="A55:N55"/>
    <mergeCell ref="V35:Y35"/>
    <mergeCell ref="M27:N27"/>
    <mergeCell ref="Z7:AO7"/>
    <mergeCell ref="V34:Y34"/>
    <mergeCell ref="AL25:AO25"/>
    <mergeCell ref="V28:Y28"/>
    <mergeCell ref="A29:E29"/>
    <mergeCell ref="F17:I17"/>
    <mergeCell ref="V39:Y39"/>
    <mergeCell ref="V30:Y30"/>
    <mergeCell ref="A31:E31"/>
    <mergeCell ref="J16:Y16"/>
    <mergeCell ref="AA48:AI48"/>
    <mergeCell ref="A24:E24"/>
    <mergeCell ref="AL38:AO38"/>
    <mergeCell ref="O46:W46"/>
    <mergeCell ref="O27:Q27"/>
    <mergeCell ref="V21:Y21"/>
    <mergeCell ref="AH13:AK13"/>
    <mergeCell ref="AL40:AO40"/>
    <mergeCell ref="O48:W48"/>
    <mergeCell ref="V23:Y23"/>
    <mergeCell ref="AK45:AO45"/>
    <mergeCell ref="A50:N50"/>
    <mergeCell ref="M12:N12"/>
    <mergeCell ref="J18:L18"/>
    <mergeCell ref="J17:L17"/>
    <mergeCell ref="V24:Y24"/>
    <mergeCell ref="R27:U27"/>
    <mergeCell ref="AC21:AD21"/>
    <mergeCell ref="J19:L19"/>
    <mergeCell ref="R20:U20"/>
    <mergeCell ref="A3:Y3"/>
    <mergeCell ref="V36:Y36"/>
    <mergeCell ref="R22:U22"/>
    <mergeCell ref="AL35:AO35"/>
    <mergeCell ref="Z21:AB21"/>
    <mergeCell ref="AC18:AD18"/>
    <mergeCell ref="Z29:AB29"/>
    <mergeCell ref="Z23:AB23"/>
    <mergeCell ref="AL30:AO30"/>
    <mergeCell ref="J12:L12"/>
    <mergeCell ref="R38:U38"/>
    <mergeCell ref="M30:N30"/>
    <mergeCell ref="B54:AO54"/>
    <mergeCell ref="M14:N14"/>
    <mergeCell ref="R35:U35"/>
    <mergeCell ref="F38:I38"/>
    <mergeCell ref="AE12:AG12"/>
    <mergeCell ref="V26:Y26"/>
    <mergeCell ref="J27:L27"/>
    <mergeCell ref="Z18:AB18"/>
    <mergeCell ref="AE14:AG14"/>
    <mergeCell ref="A45:N45"/>
    <mergeCell ref="Z17:AB17"/>
    <mergeCell ref="J25:L25"/>
    <mergeCell ref="O21:Q21"/>
    <mergeCell ref="AC24:AD24"/>
    <mergeCell ref="AL34:AO34"/>
    <mergeCell ref="F29:I29"/>
    <mergeCell ref="A46:N46"/>
    <mergeCell ref="R28:U28"/>
    <mergeCell ref="AC26:AD26"/>
    <mergeCell ref="AL36:AO36"/>
    <mergeCell ref="M25:N25"/>
    <mergeCell ref="A26:E26"/>
    <mergeCell ref="M36:N36"/>
    <mergeCell ref="AC19:AD19"/>
    <mergeCell ref="R30:U30"/>
    <mergeCell ref="Z31:AK31"/>
    <mergeCell ref="J38:L38"/>
    <mergeCell ref="AE25:AG25"/>
    <mergeCell ref="AC8:AO8"/>
    <mergeCell ref="R12:U12"/>
    <mergeCell ref="J13:L13"/>
    <mergeCell ref="AK49:AO49"/>
    <mergeCell ref="O39:Q39"/>
    <mergeCell ref="Z26:AB26"/>
    <mergeCell ref="J40:U40"/>
    <mergeCell ref="AC37:AD37"/>
    <mergeCell ref="AC12:AD12"/>
    <mergeCell ref="AE13:AG13"/>
    <mergeCell ref="AC14:AD14"/>
    <mergeCell ref="F19:I19"/>
    <mergeCell ref="AH24:AK24"/>
    <mergeCell ref="Z44:AK44"/>
    <mergeCell ref="AH18:AK18"/>
    <mergeCell ref="Z19:AB19"/>
    <mergeCell ref="M21:N21"/>
    <mergeCell ref="O23:Q23"/>
    <mergeCell ref="AH17:AK17"/>
    <mergeCell ref="R25:U25"/>
    <mergeCell ref="F20:I20"/>
    <mergeCell ref="A57:AO57"/>
    <mergeCell ref="AH19:AK19"/>
    <mergeCell ref="J28:L28"/>
    <mergeCell ref="O24:Q24"/>
    <mergeCell ref="AA3:AH3"/>
    <mergeCell ref="O18:Q18"/>
    <mergeCell ref="AC27:AD27"/>
    <mergeCell ref="J30:L30"/>
    <mergeCell ref="M34:N34"/>
    <mergeCell ref="AL39:AO39"/>
    <mergeCell ref="M39:N39"/>
    <mergeCell ref="AH37:AK37"/>
    <mergeCell ref="Z38:AB38"/>
    <mergeCell ref="AE28:AG28"/>
    <mergeCell ref="O51:W51"/>
    <mergeCell ref="O47:W47"/>
    <mergeCell ref="O17:Q17"/>
    <mergeCell ref="A18:E18"/>
    <mergeCell ref="AE30:AG30"/>
    <mergeCell ref="AC38:AD38"/>
    <mergeCell ref="O37:Q37"/>
    <mergeCell ref="A47:N47"/>
    <mergeCell ref="A22:E22"/>
    <mergeCell ref="F18:I18"/>
    <mergeCell ref="Z27:AB27"/>
    <mergeCell ref="M29:N29"/>
    <mergeCell ref="M23:N23"/>
    <mergeCell ref="J34:L34"/>
    <mergeCell ref="F22:I22"/>
    <mergeCell ref="AH27:AK27"/>
    <mergeCell ref="Z22:AB22"/>
    <mergeCell ref="J36:L36"/>
    <mergeCell ref="O26:Q26"/>
    <mergeCell ref="A58:AO58"/>
    <mergeCell ref="AH25:AK25"/>
    <mergeCell ref="AL20:AO20"/>
    <mergeCell ref="R39:U39"/>
    <mergeCell ref="AH22:AK22"/>
    <mergeCell ref="M20:N20"/>
    <mergeCell ref="R14:U14"/>
    <mergeCell ref="AL22:AO22"/>
    <mergeCell ref="J31:U31"/>
    <mergeCell ref="AE34:AG34"/>
    <mergeCell ref="M22:N22"/>
    <mergeCell ref="F40:I40"/>
    <mergeCell ref="AA4:AH4"/>
    <mergeCell ref="AC34:AD34"/>
    <mergeCell ref="AE36:AG36"/>
    <mergeCell ref="F12:I12"/>
    <mergeCell ref="AH38:AK38"/>
    <mergeCell ref="A17:E17"/>
    <mergeCell ref="A53:N53"/>
    <mergeCell ref="A42:AO42"/>
    <mergeCell ref="F35:I35"/>
    <mergeCell ref="AL13:AO13"/>
    <mergeCell ref="A19:E19"/>
    <mergeCell ref="O20:Q20"/>
  </mergeCells>
  <printOptions horizontalCentered="1" verticalCentered="1"/>
  <pageMargins left="0.3937007874015748" right="0.3937007874015748" top="0.2362204724409449" bottom="0.2362204724409449" header="0" footer="0.2362204724409449"/>
  <pageSetup orientation="portrait" paperSize="9" scale="97" horizontalDpi="300" verticalDpi="300"/>
  <headerFooter alignWithMargins="0">
    <oddHeader/>
    <oddFooter>&amp;RPage 6 of 6</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tabColor indexed="11"/>
    <outlinePr summaryBelow="1" summaryRight="1"/>
    <pageSetUpPr/>
  </sheetPr>
  <dimension ref="A3:AGT49"/>
  <sheetViews>
    <sheetView showGridLines="0" view="pageBreakPreview" zoomScaleNormal="100" zoomScaleSheetLayoutView="100" workbookViewId="0">
      <selection activeCell="B15" sqref="B15"/>
    </sheetView>
  </sheetViews>
  <sheetFormatPr baseColWidth="8" defaultColWidth="11.5546875" defaultRowHeight="13.2"/>
  <cols>
    <col width="3.44140625" customWidth="1" min="1" max="8"/>
    <col width="6.6640625" customWidth="1" min="9" max="9"/>
    <col width="3.44140625" customWidth="1" min="10" max="22"/>
    <col width="4.6640625" customWidth="1" min="23" max="23"/>
    <col width="5.33203125" customWidth="1" min="24" max="24"/>
    <col width="3.44140625" customWidth="1" min="25" max="25"/>
    <col width="5.109375" customWidth="1" min="26" max="26"/>
    <col width="3.44140625" customWidth="1" min="27" max="182"/>
    <col width="3.44140625" customWidth="1" min="257" max="264"/>
    <col width="6.6640625" customWidth="1" min="265" max="265"/>
    <col width="3.44140625" customWidth="1" min="266" max="278"/>
    <col width="4.6640625" customWidth="1" min="279" max="279"/>
    <col width="5.33203125" customWidth="1" min="280" max="280"/>
    <col width="3.44140625" customWidth="1" min="281" max="281"/>
    <col width="5.109375" customWidth="1" min="282" max="282"/>
    <col width="3.44140625" customWidth="1" min="283" max="438"/>
    <col width="3.44140625" customWidth="1" min="513" max="520"/>
    <col width="6.6640625" customWidth="1" min="521" max="521"/>
    <col width="3.44140625" customWidth="1" min="522" max="534"/>
    <col width="4.6640625" customWidth="1" min="535" max="535"/>
    <col width="5.33203125" customWidth="1" min="536" max="536"/>
    <col width="3.44140625" customWidth="1" min="537" max="537"/>
    <col width="5.109375" customWidth="1" min="538" max="538"/>
    <col width="3.44140625" customWidth="1" min="539" max="694"/>
    <col width="3.44140625" customWidth="1" min="769" max="776"/>
    <col width="6.6640625" customWidth="1" min="777" max="777"/>
    <col width="3.44140625" customWidth="1" min="778" max="790"/>
    <col width="4.6640625" customWidth="1" min="791" max="791"/>
    <col width="5.33203125" customWidth="1" min="792" max="792"/>
    <col width="3.44140625" customWidth="1" min="793" max="793"/>
    <col width="5.109375" customWidth="1" min="794" max="794"/>
    <col width="3.44140625" customWidth="1" min="795" max="950"/>
    <col width="3.44140625" customWidth="1" min="1025" max="1032"/>
    <col width="6.6640625" customWidth="1" min="1033" max="1033"/>
    <col width="3.44140625" customWidth="1" min="1034" max="1046"/>
    <col width="4.6640625" customWidth="1" min="1047" max="1047"/>
    <col width="5.33203125" customWidth="1" min="1048" max="1048"/>
    <col width="3.44140625" customWidth="1" min="1049" max="1049"/>
    <col width="5.109375" customWidth="1" min="1050" max="1050"/>
    <col width="3.44140625" customWidth="1" min="1051" max="1206"/>
    <col width="3.44140625" customWidth="1" min="1281" max="1288"/>
    <col width="6.6640625" customWidth="1" min="1289" max="1289"/>
    <col width="3.44140625" customWidth="1" min="1290" max="1302"/>
    <col width="4.6640625" customWidth="1" min="1303" max="1303"/>
    <col width="5.33203125" customWidth="1" min="1304" max="1304"/>
    <col width="3.44140625" customWidth="1" min="1305" max="1305"/>
    <col width="5.109375" customWidth="1" min="1306" max="1306"/>
    <col width="3.44140625" customWidth="1" min="1307" max="1462"/>
    <col width="3.44140625" customWidth="1" min="1537" max="1544"/>
    <col width="6.6640625" customWidth="1" min="1545" max="1545"/>
    <col width="3.44140625" customWidth="1" min="1546" max="1558"/>
    <col width="4.6640625" customWidth="1" min="1559" max="1559"/>
    <col width="5.33203125" customWidth="1" min="1560" max="1560"/>
    <col width="3.44140625" customWidth="1" min="1561" max="1561"/>
    <col width="5.109375" customWidth="1" min="1562" max="1562"/>
    <col width="3.44140625" customWidth="1" min="1563" max="1718"/>
    <col width="3.44140625" customWidth="1" min="1793" max="1800"/>
    <col width="6.6640625" customWidth="1" min="1801" max="1801"/>
    <col width="3.44140625" customWidth="1" min="1802" max="1814"/>
    <col width="4.6640625" customWidth="1" min="1815" max="1815"/>
    <col width="5.33203125" customWidth="1" min="1816" max="1816"/>
    <col width="3.44140625" customWidth="1" min="1817" max="1817"/>
    <col width="5.109375" customWidth="1" min="1818" max="1818"/>
    <col width="3.44140625" customWidth="1" min="1819" max="1974"/>
    <col width="3.44140625" customWidth="1" min="2049" max="2056"/>
    <col width="6.6640625" customWidth="1" min="2057" max="2057"/>
    <col width="3.44140625" customWidth="1" min="2058" max="2070"/>
    <col width="4.6640625" customWidth="1" min="2071" max="2071"/>
    <col width="5.33203125" customWidth="1" min="2072" max="2072"/>
    <col width="3.44140625" customWidth="1" min="2073" max="2073"/>
    <col width="5.109375" customWidth="1" min="2074" max="2074"/>
    <col width="3.44140625" customWidth="1" min="2075" max="2230"/>
    <col width="3.44140625" customWidth="1" min="2305" max="2312"/>
    <col width="6.6640625" customWidth="1" min="2313" max="2313"/>
    <col width="3.44140625" customWidth="1" min="2314" max="2326"/>
    <col width="4.6640625" customWidth="1" min="2327" max="2327"/>
    <col width="5.33203125" customWidth="1" min="2328" max="2328"/>
    <col width="3.44140625" customWidth="1" min="2329" max="2329"/>
    <col width="5.109375" customWidth="1" min="2330" max="2330"/>
    <col width="3.44140625" customWidth="1" min="2331" max="2486"/>
    <col width="3.44140625" customWidth="1" min="2561" max="2568"/>
    <col width="6.6640625" customWidth="1" min="2569" max="2569"/>
    <col width="3.44140625" customWidth="1" min="2570" max="2582"/>
    <col width="4.6640625" customWidth="1" min="2583" max="2583"/>
    <col width="5.33203125" customWidth="1" min="2584" max="2584"/>
    <col width="3.44140625" customWidth="1" min="2585" max="2585"/>
    <col width="5.109375" customWidth="1" min="2586" max="2586"/>
    <col width="3.44140625" customWidth="1" min="2587" max="2742"/>
    <col width="3.44140625" customWidth="1" min="2817" max="2824"/>
    <col width="6.6640625" customWidth="1" min="2825" max="2825"/>
    <col width="3.44140625" customWidth="1" min="2826" max="2838"/>
    <col width="4.6640625" customWidth="1" min="2839" max="2839"/>
    <col width="5.33203125" customWidth="1" min="2840" max="2840"/>
    <col width="3.44140625" customWidth="1" min="2841" max="2841"/>
    <col width="5.109375" customWidth="1" min="2842" max="2842"/>
    <col width="3.44140625" customWidth="1" min="2843" max="2998"/>
    <col width="3.44140625" customWidth="1" min="3073" max="3080"/>
    <col width="6.6640625" customWidth="1" min="3081" max="3081"/>
    <col width="3.44140625" customWidth="1" min="3082" max="3094"/>
    <col width="4.6640625" customWidth="1" min="3095" max="3095"/>
    <col width="5.33203125" customWidth="1" min="3096" max="3096"/>
    <col width="3.44140625" customWidth="1" min="3097" max="3097"/>
    <col width="5.109375" customWidth="1" min="3098" max="3098"/>
    <col width="3.44140625" customWidth="1" min="3099" max="3254"/>
    <col width="3.44140625" customWidth="1" min="3329" max="3336"/>
    <col width="6.6640625" customWidth="1" min="3337" max="3337"/>
    <col width="3.44140625" customWidth="1" min="3338" max="3350"/>
    <col width="4.6640625" customWidth="1" min="3351" max="3351"/>
    <col width="5.33203125" customWidth="1" min="3352" max="3352"/>
    <col width="3.44140625" customWidth="1" min="3353" max="3353"/>
    <col width="5.109375" customWidth="1" min="3354" max="3354"/>
    <col width="3.44140625" customWidth="1" min="3355" max="3510"/>
    <col width="3.44140625" customWidth="1" min="3585" max="3592"/>
    <col width="6.6640625" customWidth="1" min="3593" max="3593"/>
    <col width="3.44140625" customWidth="1" min="3594" max="3606"/>
    <col width="4.6640625" customWidth="1" min="3607" max="3607"/>
    <col width="5.33203125" customWidth="1" min="3608" max="3608"/>
    <col width="3.44140625" customWidth="1" min="3609" max="3609"/>
    <col width="5.109375" customWidth="1" min="3610" max="3610"/>
    <col width="3.44140625" customWidth="1" min="3611" max="3766"/>
    <col width="3.44140625" customWidth="1" min="3841" max="3848"/>
    <col width="6.6640625" customWidth="1" min="3849" max="3849"/>
    <col width="3.44140625" customWidth="1" min="3850" max="3862"/>
    <col width="4.6640625" customWidth="1" min="3863" max="3863"/>
    <col width="5.33203125" customWidth="1" min="3864" max="3864"/>
    <col width="3.44140625" customWidth="1" min="3865" max="3865"/>
    <col width="5.109375" customWidth="1" min="3866" max="3866"/>
    <col width="3.44140625" customWidth="1" min="3867" max="4022"/>
    <col width="3.44140625" customWidth="1" min="4097" max="4104"/>
    <col width="6.6640625" customWidth="1" min="4105" max="4105"/>
    <col width="3.44140625" customWidth="1" min="4106" max="4118"/>
    <col width="4.6640625" customWidth="1" min="4119" max="4119"/>
    <col width="5.33203125" customWidth="1" min="4120" max="4120"/>
    <col width="3.44140625" customWidth="1" min="4121" max="4121"/>
    <col width="5.109375" customWidth="1" min="4122" max="4122"/>
    <col width="3.44140625" customWidth="1" min="4123" max="4278"/>
    <col width="3.44140625" customWidth="1" min="4353" max="4360"/>
    <col width="6.6640625" customWidth="1" min="4361" max="4361"/>
    <col width="3.44140625" customWidth="1" min="4362" max="4374"/>
    <col width="4.6640625" customWidth="1" min="4375" max="4375"/>
    <col width="5.33203125" customWidth="1" min="4376" max="4376"/>
    <col width="3.44140625" customWidth="1" min="4377" max="4377"/>
    <col width="5.109375" customWidth="1" min="4378" max="4378"/>
    <col width="3.44140625" customWidth="1" min="4379" max="4534"/>
    <col width="3.44140625" customWidth="1" min="4609" max="4616"/>
    <col width="6.6640625" customWidth="1" min="4617" max="4617"/>
    <col width="3.44140625" customWidth="1" min="4618" max="4630"/>
    <col width="4.6640625" customWidth="1" min="4631" max="4631"/>
    <col width="5.33203125" customWidth="1" min="4632" max="4632"/>
    <col width="3.44140625" customWidth="1" min="4633" max="4633"/>
    <col width="5.109375" customWidth="1" min="4634" max="4634"/>
    <col width="3.44140625" customWidth="1" min="4635" max="4790"/>
    <col width="3.44140625" customWidth="1" min="4865" max="4872"/>
    <col width="6.6640625" customWidth="1" min="4873" max="4873"/>
    <col width="3.44140625" customWidth="1" min="4874" max="4886"/>
    <col width="4.6640625" customWidth="1" min="4887" max="4887"/>
    <col width="5.33203125" customWidth="1" min="4888" max="4888"/>
    <col width="3.44140625" customWidth="1" min="4889" max="4889"/>
    <col width="5.109375" customWidth="1" min="4890" max="4890"/>
    <col width="3.44140625" customWidth="1" min="4891" max="5046"/>
    <col width="3.44140625" customWidth="1" min="5121" max="5128"/>
    <col width="6.6640625" customWidth="1" min="5129" max="5129"/>
    <col width="3.44140625" customWidth="1" min="5130" max="5142"/>
    <col width="4.6640625" customWidth="1" min="5143" max="5143"/>
    <col width="5.33203125" customWidth="1" min="5144" max="5144"/>
    <col width="3.44140625" customWidth="1" min="5145" max="5145"/>
    <col width="5.109375" customWidth="1" min="5146" max="5146"/>
    <col width="3.44140625" customWidth="1" min="5147" max="5302"/>
    <col width="3.44140625" customWidth="1" min="5377" max="5384"/>
    <col width="6.6640625" customWidth="1" min="5385" max="5385"/>
    <col width="3.44140625" customWidth="1" min="5386" max="5398"/>
    <col width="4.6640625" customWidth="1" min="5399" max="5399"/>
    <col width="5.33203125" customWidth="1" min="5400" max="5400"/>
    <col width="3.44140625" customWidth="1" min="5401" max="5401"/>
    <col width="5.109375" customWidth="1" min="5402" max="5402"/>
    <col width="3.44140625" customWidth="1" min="5403" max="5558"/>
    <col width="3.44140625" customWidth="1" min="5633" max="5640"/>
    <col width="6.6640625" customWidth="1" min="5641" max="5641"/>
    <col width="3.44140625" customWidth="1" min="5642" max="5654"/>
    <col width="4.6640625" customWidth="1" min="5655" max="5655"/>
    <col width="5.33203125" customWidth="1" min="5656" max="5656"/>
    <col width="3.44140625" customWidth="1" min="5657" max="5657"/>
    <col width="5.109375" customWidth="1" min="5658" max="5658"/>
    <col width="3.44140625" customWidth="1" min="5659" max="5814"/>
    <col width="3.44140625" customWidth="1" min="5889" max="5896"/>
    <col width="6.6640625" customWidth="1" min="5897" max="5897"/>
    <col width="3.44140625" customWidth="1" min="5898" max="5910"/>
    <col width="4.6640625" customWidth="1" min="5911" max="5911"/>
    <col width="5.33203125" customWidth="1" min="5912" max="5912"/>
    <col width="3.44140625" customWidth="1" min="5913" max="5913"/>
    <col width="5.109375" customWidth="1" min="5914" max="5914"/>
    <col width="3.44140625" customWidth="1" min="5915" max="6070"/>
    <col width="3.44140625" customWidth="1" min="6145" max="6152"/>
    <col width="6.6640625" customWidth="1" min="6153" max="6153"/>
    <col width="3.44140625" customWidth="1" min="6154" max="6166"/>
    <col width="4.6640625" customWidth="1" min="6167" max="6167"/>
    <col width="5.33203125" customWidth="1" min="6168" max="6168"/>
    <col width="3.44140625" customWidth="1" min="6169" max="6169"/>
    <col width="5.109375" customWidth="1" min="6170" max="6170"/>
    <col width="3.44140625" customWidth="1" min="6171" max="6326"/>
    <col width="3.44140625" customWidth="1" min="6401" max="6408"/>
    <col width="6.6640625" customWidth="1" min="6409" max="6409"/>
    <col width="3.44140625" customWidth="1" min="6410" max="6422"/>
    <col width="4.6640625" customWidth="1" min="6423" max="6423"/>
    <col width="5.33203125" customWidth="1" min="6424" max="6424"/>
    <col width="3.44140625" customWidth="1" min="6425" max="6425"/>
    <col width="5.109375" customWidth="1" min="6426" max="6426"/>
    <col width="3.44140625" customWidth="1" min="6427" max="6582"/>
    <col width="3.44140625" customWidth="1" min="6657" max="6664"/>
    <col width="6.6640625" customWidth="1" min="6665" max="6665"/>
    <col width="3.44140625" customWidth="1" min="6666" max="6678"/>
    <col width="4.6640625" customWidth="1" min="6679" max="6679"/>
    <col width="5.33203125" customWidth="1" min="6680" max="6680"/>
    <col width="3.44140625" customWidth="1" min="6681" max="6681"/>
    <col width="5.109375" customWidth="1" min="6682" max="6682"/>
    <col width="3.44140625" customWidth="1" min="6683" max="6838"/>
    <col width="3.44140625" customWidth="1" min="6913" max="6920"/>
    <col width="6.6640625" customWidth="1" min="6921" max="6921"/>
    <col width="3.44140625" customWidth="1" min="6922" max="6934"/>
    <col width="4.6640625" customWidth="1" min="6935" max="6935"/>
    <col width="5.33203125" customWidth="1" min="6936" max="6936"/>
    <col width="3.44140625" customWidth="1" min="6937" max="6937"/>
    <col width="5.109375" customWidth="1" min="6938" max="6938"/>
    <col width="3.44140625" customWidth="1" min="6939" max="7094"/>
    <col width="3.44140625" customWidth="1" min="7169" max="7176"/>
    <col width="6.6640625" customWidth="1" min="7177" max="7177"/>
    <col width="3.44140625" customWidth="1" min="7178" max="7190"/>
    <col width="4.6640625" customWidth="1" min="7191" max="7191"/>
    <col width="5.33203125" customWidth="1" min="7192" max="7192"/>
    <col width="3.44140625" customWidth="1" min="7193" max="7193"/>
    <col width="5.109375" customWidth="1" min="7194" max="7194"/>
    <col width="3.44140625" customWidth="1" min="7195" max="7350"/>
    <col width="3.44140625" customWidth="1" min="7425" max="7432"/>
    <col width="6.6640625" customWidth="1" min="7433" max="7433"/>
    <col width="3.44140625" customWidth="1" min="7434" max="7446"/>
    <col width="4.6640625" customWidth="1" min="7447" max="7447"/>
    <col width="5.33203125" customWidth="1" min="7448" max="7448"/>
    <col width="3.44140625" customWidth="1" min="7449" max="7449"/>
    <col width="5.109375" customWidth="1" min="7450" max="7450"/>
    <col width="3.44140625" customWidth="1" min="7451" max="7606"/>
    <col width="3.44140625" customWidth="1" min="7681" max="7688"/>
    <col width="6.6640625" customWidth="1" min="7689" max="7689"/>
    <col width="3.44140625" customWidth="1" min="7690" max="7702"/>
    <col width="4.6640625" customWidth="1" min="7703" max="7703"/>
    <col width="5.33203125" customWidth="1" min="7704" max="7704"/>
    <col width="3.44140625" customWidth="1" min="7705" max="7705"/>
    <col width="5.109375" customWidth="1" min="7706" max="7706"/>
    <col width="3.44140625" customWidth="1" min="7707" max="7862"/>
    <col width="3.44140625" customWidth="1" min="7937" max="7944"/>
    <col width="6.6640625" customWidth="1" min="7945" max="7945"/>
    <col width="3.44140625" customWidth="1" min="7946" max="7958"/>
    <col width="4.6640625" customWidth="1" min="7959" max="7959"/>
    <col width="5.33203125" customWidth="1" min="7960" max="7960"/>
    <col width="3.44140625" customWidth="1" min="7961" max="7961"/>
    <col width="5.109375" customWidth="1" min="7962" max="7962"/>
    <col width="3.44140625" customWidth="1" min="7963" max="8118"/>
    <col width="3.44140625" customWidth="1" min="8193" max="8200"/>
    <col width="6.6640625" customWidth="1" min="8201" max="8201"/>
    <col width="3.44140625" customWidth="1" min="8202" max="8214"/>
    <col width="4.6640625" customWidth="1" min="8215" max="8215"/>
    <col width="5.33203125" customWidth="1" min="8216" max="8216"/>
    <col width="3.44140625" customWidth="1" min="8217" max="8217"/>
    <col width="5.109375" customWidth="1" min="8218" max="8218"/>
    <col width="3.44140625" customWidth="1" min="8219" max="8374"/>
    <col width="3.44140625" customWidth="1" min="8449" max="8456"/>
    <col width="6.6640625" customWidth="1" min="8457" max="8457"/>
    <col width="3.44140625" customWidth="1" min="8458" max="8470"/>
    <col width="4.6640625" customWidth="1" min="8471" max="8471"/>
    <col width="5.33203125" customWidth="1" min="8472" max="8472"/>
    <col width="3.44140625" customWidth="1" min="8473" max="8473"/>
    <col width="5.109375" customWidth="1" min="8474" max="8474"/>
    <col width="3.44140625" customWidth="1" min="8475" max="8630"/>
    <col width="3.44140625" customWidth="1" min="8705" max="8712"/>
    <col width="6.6640625" customWidth="1" min="8713" max="8713"/>
    <col width="3.44140625" customWidth="1" min="8714" max="8726"/>
    <col width="4.6640625" customWidth="1" min="8727" max="8727"/>
    <col width="5.33203125" customWidth="1" min="8728" max="8728"/>
    <col width="3.44140625" customWidth="1" min="8729" max="8729"/>
    <col width="5.109375" customWidth="1" min="8730" max="8730"/>
    <col width="3.44140625" customWidth="1" min="8731" max="8886"/>
    <col width="3.44140625" customWidth="1" min="8961" max="8968"/>
    <col width="6.6640625" customWidth="1" min="8969" max="8969"/>
    <col width="3.44140625" customWidth="1" min="8970" max="8982"/>
    <col width="4.6640625" customWidth="1" min="8983" max="8983"/>
    <col width="5.33203125" customWidth="1" min="8984" max="8984"/>
    <col width="3.44140625" customWidth="1" min="8985" max="8985"/>
    <col width="5.109375" customWidth="1" min="8986" max="8986"/>
    <col width="3.44140625" customWidth="1" min="8987" max="9142"/>
    <col width="3.44140625" customWidth="1" min="9217" max="9224"/>
    <col width="6.6640625" customWidth="1" min="9225" max="9225"/>
    <col width="3.44140625" customWidth="1" min="9226" max="9238"/>
    <col width="4.6640625" customWidth="1" min="9239" max="9239"/>
    <col width="5.33203125" customWidth="1" min="9240" max="9240"/>
    <col width="3.44140625" customWidth="1" min="9241" max="9241"/>
    <col width="5.109375" customWidth="1" min="9242" max="9242"/>
    <col width="3.44140625" customWidth="1" min="9243" max="9398"/>
    <col width="3.44140625" customWidth="1" min="9473" max="9480"/>
    <col width="6.6640625" customWidth="1" min="9481" max="9481"/>
    <col width="3.44140625" customWidth="1" min="9482" max="9494"/>
    <col width="4.6640625" customWidth="1" min="9495" max="9495"/>
    <col width="5.33203125" customWidth="1" min="9496" max="9496"/>
    <col width="3.44140625" customWidth="1" min="9497" max="9497"/>
    <col width="5.109375" customWidth="1" min="9498" max="9498"/>
    <col width="3.44140625" customWidth="1" min="9499" max="9654"/>
    <col width="3.44140625" customWidth="1" min="9729" max="9736"/>
    <col width="6.6640625" customWidth="1" min="9737" max="9737"/>
    <col width="3.44140625" customWidth="1" min="9738" max="9750"/>
    <col width="4.6640625" customWidth="1" min="9751" max="9751"/>
    <col width="5.33203125" customWidth="1" min="9752" max="9752"/>
    <col width="3.44140625" customWidth="1" min="9753" max="9753"/>
    <col width="5.109375" customWidth="1" min="9754" max="9754"/>
    <col width="3.44140625" customWidth="1" min="9755" max="9910"/>
    <col width="3.44140625" customWidth="1" min="9985" max="9992"/>
    <col width="6.6640625" customWidth="1" min="9993" max="9993"/>
    <col width="3.44140625" customWidth="1" min="9994" max="10006"/>
    <col width="4.6640625" customWidth="1" min="10007" max="10007"/>
    <col width="5.33203125" customWidth="1" min="10008" max="10008"/>
    <col width="3.44140625" customWidth="1" min="10009" max="10009"/>
    <col width="5.109375" customWidth="1" min="10010" max="10010"/>
    <col width="3.44140625" customWidth="1" min="10011" max="10166"/>
    <col width="3.44140625" customWidth="1" min="10241" max="10248"/>
    <col width="6.6640625" customWidth="1" min="10249" max="10249"/>
    <col width="3.44140625" customWidth="1" min="10250" max="10262"/>
    <col width="4.6640625" customWidth="1" min="10263" max="10263"/>
    <col width="5.33203125" customWidth="1" min="10264" max="10264"/>
    <col width="3.44140625" customWidth="1" min="10265" max="10265"/>
    <col width="5.109375" customWidth="1" min="10266" max="10266"/>
    <col width="3.44140625" customWidth="1" min="10267" max="10422"/>
    <col width="3.44140625" customWidth="1" min="10497" max="10504"/>
    <col width="6.6640625" customWidth="1" min="10505" max="10505"/>
    <col width="3.44140625" customWidth="1" min="10506" max="10518"/>
    <col width="4.6640625" customWidth="1" min="10519" max="10519"/>
    <col width="5.33203125" customWidth="1" min="10520" max="10520"/>
    <col width="3.44140625" customWidth="1" min="10521" max="10521"/>
    <col width="5.109375" customWidth="1" min="10522" max="10522"/>
    <col width="3.44140625" customWidth="1" min="10523" max="10678"/>
    <col width="3.44140625" customWidth="1" min="10753" max="10760"/>
    <col width="6.6640625" customWidth="1" min="10761" max="10761"/>
    <col width="3.44140625" customWidth="1" min="10762" max="10774"/>
    <col width="4.6640625" customWidth="1" min="10775" max="10775"/>
    <col width="5.33203125" customWidth="1" min="10776" max="10776"/>
    <col width="3.44140625" customWidth="1" min="10777" max="10777"/>
    <col width="5.109375" customWidth="1" min="10778" max="10778"/>
    <col width="3.44140625" customWidth="1" min="10779" max="10934"/>
    <col width="3.44140625" customWidth="1" min="11009" max="11016"/>
    <col width="6.6640625" customWidth="1" min="11017" max="11017"/>
    <col width="3.44140625" customWidth="1" min="11018" max="11030"/>
    <col width="4.6640625" customWidth="1" min="11031" max="11031"/>
    <col width="5.33203125" customWidth="1" min="11032" max="11032"/>
    <col width="3.44140625" customWidth="1" min="11033" max="11033"/>
    <col width="5.109375" customWidth="1" min="11034" max="11034"/>
    <col width="3.44140625" customWidth="1" min="11035" max="11190"/>
    <col width="3.44140625" customWidth="1" min="11265" max="11272"/>
    <col width="6.6640625" customWidth="1" min="11273" max="11273"/>
    <col width="3.44140625" customWidth="1" min="11274" max="11286"/>
    <col width="4.6640625" customWidth="1" min="11287" max="11287"/>
    <col width="5.33203125" customWidth="1" min="11288" max="11288"/>
    <col width="3.44140625" customWidth="1" min="11289" max="11289"/>
    <col width="5.109375" customWidth="1" min="11290" max="11290"/>
    <col width="3.44140625" customWidth="1" min="11291" max="11446"/>
    <col width="3.44140625" customWidth="1" min="11521" max="11528"/>
    <col width="6.6640625" customWidth="1" min="11529" max="11529"/>
    <col width="3.44140625" customWidth="1" min="11530" max="11542"/>
    <col width="4.6640625" customWidth="1" min="11543" max="11543"/>
    <col width="5.33203125" customWidth="1" min="11544" max="11544"/>
    <col width="3.44140625" customWidth="1" min="11545" max="11545"/>
    <col width="5.109375" customWidth="1" min="11546" max="11546"/>
    <col width="3.44140625" customWidth="1" min="11547" max="11702"/>
    <col width="3.44140625" customWidth="1" min="11777" max="11784"/>
    <col width="6.6640625" customWidth="1" min="11785" max="11785"/>
    <col width="3.44140625" customWidth="1" min="11786" max="11798"/>
    <col width="4.6640625" customWidth="1" min="11799" max="11799"/>
    <col width="5.33203125" customWidth="1" min="11800" max="11800"/>
    <col width="3.44140625" customWidth="1" min="11801" max="11801"/>
    <col width="5.109375" customWidth="1" min="11802" max="11802"/>
    <col width="3.44140625" customWidth="1" min="11803" max="11958"/>
    <col width="3.44140625" customWidth="1" min="12033" max="12040"/>
    <col width="6.6640625" customWidth="1" min="12041" max="12041"/>
    <col width="3.44140625" customWidth="1" min="12042" max="12054"/>
    <col width="4.6640625" customWidth="1" min="12055" max="12055"/>
    <col width="5.33203125" customWidth="1" min="12056" max="12056"/>
    <col width="3.44140625" customWidth="1" min="12057" max="12057"/>
    <col width="5.109375" customWidth="1" min="12058" max="12058"/>
    <col width="3.44140625" customWidth="1" min="12059" max="12214"/>
    <col width="3.44140625" customWidth="1" min="12289" max="12296"/>
    <col width="6.6640625" customWidth="1" min="12297" max="12297"/>
    <col width="3.44140625" customWidth="1" min="12298" max="12310"/>
    <col width="4.6640625" customWidth="1" min="12311" max="12311"/>
    <col width="5.33203125" customWidth="1" min="12312" max="12312"/>
    <col width="3.44140625" customWidth="1" min="12313" max="12313"/>
    <col width="5.109375" customWidth="1" min="12314" max="12314"/>
    <col width="3.44140625" customWidth="1" min="12315" max="12470"/>
    <col width="3.44140625" customWidth="1" min="12545" max="12552"/>
    <col width="6.6640625" customWidth="1" min="12553" max="12553"/>
    <col width="3.44140625" customWidth="1" min="12554" max="12566"/>
    <col width="4.6640625" customWidth="1" min="12567" max="12567"/>
    <col width="5.33203125" customWidth="1" min="12568" max="12568"/>
    <col width="3.44140625" customWidth="1" min="12569" max="12569"/>
    <col width="5.109375" customWidth="1" min="12570" max="12570"/>
    <col width="3.44140625" customWidth="1" min="12571" max="12726"/>
    <col width="3.44140625" customWidth="1" min="12801" max="12808"/>
    <col width="6.6640625" customWidth="1" min="12809" max="12809"/>
    <col width="3.44140625" customWidth="1" min="12810" max="12822"/>
    <col width="4.6640625" customWidth="1" min="12823" max="12823"/>
    <col width="5.33203125" customWidth="1" min="12824" max="12824"/>
    <col width="3.44140625" customWidth="1" min="12825" max="12825"/>
    <col width="5.109375" customWidth="1" min="12826" max="12826"/>
    <col width="3.44140625" customWidth="1" min="12827" max="12982"/>
    <col width="3.44140625" customWidth="1" min="13057" max="13064"/>
    <col width="6.6640625" customWidth="1" min="13065" max="13065"/>
    <col width="3.44140625" customWidth="1" min="13066" max="13078"/>
    <col width="4.6640625" customWidth="1" min="13079" max="13079"/>
    <col width="5.33203125" customWidth="1" min="13080" max="13080"/>
    <col width="3.44140625" customWidth="1" min="13081" max="13081"/>
    <col width="5.109375" customWidth="1" min="13082" max="13082"/>
    <col width="3.44140625" customWidth="1" min="13083" max="13238"/>
    <col width="3.44140625" customWidth="1" min="13313" max="13320"/>
    <col width="6.6640625" customWidth="1" min="13321" max="13321"/>
    <col width="3.44140625" customWidth="1" min="13322" max="13334"/>
    <col width="4.6640625" customWidth="1" min="13335" max="13335"/>
    <col width="5.33203125" customWidth="1" min="13336" max="13336"/>
    <col width="3.44140625" customWidth="1" min="13337" max="13337"/>
    <col width="5.109375" customWidth="1" min="13338" max="13338"/>
    <col width="3.44140625" customWidth="1" min="13339" max="13494"/>
    <col width="3.44140625" customWidth="1" min="13569" max="13576"/>
    <col width="6.6640625" customWidth="1" min="13577" max="13577"/>
    <col width="3.44140625" customWidth="1" min="13578" max="13590"/>
    <col width="4.6640625" customWidth="1" min="13591" max="13591"/>
    <col width="5.33203125" customWidth="1" min="13592" max="13592"/>
    <col width="3.44140625" customWidth="1" min="13593" max="13593"/>
    <col width="5.109375" customWidth="1" min="13594" max="13594"/>
    <col width="3.44140625" customWidth="1" min="13595" max="13750"/>
    <col width="3.44140625" customWidth="1" min="13825" max="13832"/>
    <col width="6.6640625" customWidth="1" min="13833" max="13833"/>
    <col width="3.44140625" customWidth="1" min="13834" max="13846"/>
    <col width="4.6640625" customWidth="1" min="13847" max="13847"/>
    <col width="5.33203125" customWidth="1" min="13848" max="13848"/>
    <col width="3.44140625" customWidth="1" min="13849" max="13849"/>
    <col width="5.109375" customWidth="1" min="13850" max="13850"/>
    <col width="3.44140625" customWidth="1" min="13851" max="14006"/>
    <col width="3.44140625" customWidth="1" min="14081" max="14088"/>
    <col width="6.6640625" customWidth="1" min="14089" max="14089"/>
    <col width="3.44140625" customWidth="1" min="14090" max="14102"/>
    <col width="4.6640625" customWidth="1" min="14103" max="14103"/>
    <col width="5.33203125" customWidth="1" min="14104" max="14104"/>
    <col width="3.44140625" customWidth="1" min="14105" max="14105"/>
    <col width="5.109375" customWidth="1" min="14106" max="14106"/>
    <col width="3.44140625" customWidth="1" min="14107" max="14262"/>
    <col width="3.44140625" customWidth="1" min="14337" max="14344"/>
    <col width="6.6640625" customWidth="1" min="14345" max="14345"/>
    <col width="3.44140625" customWidth="1" min="14346" max="14358"/>
    <col width="4.6640625" customWidth="1" min="14359" max="14359"/>
    <col width="5.33203125" customWidth="1" min="14360" max="14360"/>
    <col width="3.44140625" customWidth="1" min="14361" max="14361"/>
    <col width="5.109375" customWidth="1" min="14362" max="14362"/>
    <col width="3.44140625" customWidth="1" min="14363" max="14518"/>
    <col width="3.44140625" customWidth="1" min="14593" max="14600"/>
    <col width="6.6640625" customWidth="1" min="14601" max="14601"/>
    <col width="3.44140625" customWidth="1" min="14602" max="14614"/>
    <col width="4.6640625" customWidth="1" min="14615" max="14615"/>
    <col width="5.33203125" customWidth="1" min="14616" max="14616"/>
    <col width="3.44140625" customWidth="1" min="14617" max="14617"/>
    <col width="5.109375" customWidth="1" min="14618" max="14618"/>
    <col width="3.44140625" customWidth="1" min="14619" max="14774"/>
    <col width="3.44140625" customWidth="1" min="14849" max="14856"/>
    <col width="6.6640625" customWidth="1" min="14857" max="14857"/>
    <col width="3.44140625" customWidth="1" min="14858" max="14870"/>
    <col width="4.6640625" customWidth="1" min="14871" max="14871"/>
    <col width="5.33203125" customWidth="1" min="14872" max="14872"/>
    <col width="3.44140625" customWidth="1" min="14873" max="14873"/>
    <col width="5.109375" customWidth="1" min="14874" max="14874"/>
    <col width="3.44140625" customWidth="1" min="14875" max="15030"/>
    <col width="3.44140625" customWidth="1" min="15105" max="15112"/>
    <col width="6.6640625" customWidth="1" min="15113" max="15113"/>
    <col width="3.44140625" customWidth="1" min="15114" max="15126"/>
    <col width="4.6640625" customWidth="1" min="15127" max="15127"/>
    <col width="5.33203125" customWidth="1" min="15128" max="15128"/>
    <col width="3.44140625" customWidth="1" min="15129" max="15129"/>
    <col width="5.109375" customWidth="1" min="15130" max="15130"/>
    <col width="3.44140625" customWidth="1" min="15131" max="15286"/>
    <col width="3.44140625" customWidth="1" min="15361" max="15368"/>
    <col width="6.6640625" customWidth="1" min="15369" max="15369"/>
    <col width="3.44140625" customWidth="1" min="15370" max="15382"/>
    <col width="4.6640625" customWidth="1" min="15383" max="15383"/>
    <col width="5.33203125" customWidth="1" min="15384" max="15384"/>
    <col width="3.44140625" customWidth="1" min="15385" max="15385"/>
    <col width="5.109375" customWidth="1" min="15386" max="15386"/>
    <col width="3.44140625" customWidth="1" min="15387" max="15542"/>
    <col width="3.44140625" customWidth="1" min="15617" max="15624"/>
    <col width="6.6640625" customWidth="1" min="15625" max="15625"/>
    <col width="3.44140625" customWidth="1" min="15626" max="15638"/>
    <col width="4.6640625" customWidth="1" min="15639" max="15639"/>
    <col width="5.33203125" customWidth="1" min="15640" max="15640"/>
    <col width="3.44140625" customWidth="1" min="15641" max="15641"/>
    <col width="5.109375" customWidth="1" min="15642" max="15642"/>
    <col width="3.44140625" customWidth="1" min="15643" max="15798"/>
    <col width="3.44140625" customWidth="1" min="15873" max="15880"/>
    <col width="6.6640625" customWidth="1" min="15881" max="15881"/>
    <col width="3.44140625" customWidth="1" min="15882" max="15894"/>
    <col width="4.6640625" customWidth="1" min="15895" max="15895"/>
    <col width="5.33203125" customWidth="1" min="15896" max="15896"/>
    <col width="3.44140625" customWidth="1" min="15897" max="15897"/>
    <col width="5.109375" customWidth="1" min="15898" max="15898"/>
    <col width="3.44140625" customWidth="1" min="15899" max="16054"/>
    <col width="3.44140625" customWidth="1" min="16129" max="16136"/>
    <col width="6.6640625" customWidth="1" min="16137" max="16137"/>
    <col width="3.44140625" customWidth="1" min="16138" max="16150"/>
    <col width="4.6640625" customWidth="1" min="16151" max="16151"/>
    <col width="5.33203125" customWidth="1" min="16152" max="16152"/>
    <col width="3.44140625" customWidth="1" min="16153" max="16153"/>
    <col width="5.109375" customWidth="1" min="16154" max="16154"/>
    <col width="3.44140625" customWidth="1" min="16155" max="16310"/>
  </cols>
  <sheetData>
    <row r="1" ht="18" customHeight="1"/>
    <row r="2" ht="18" customHeight="1"/>
    <row r="3" ht="18" customHeight="1">
      <c r="Z3" s="195" t="n"/>
    </row>
    <row r="4" ht="18" customHeight="1">
      <c r="W4" s="196" t="n"/>
      <c r="X4" s="195" t="n"/>
      <c r="Y4" s="195" t="n"/>
      <c r="Z4" s="195" t="n"/>
    </row>
    <row r="5" ht="18" customHeight="1">
      <c r="W5" s="196" t="n"/>
      <c r="X5" s="195" t="n"/>
      <c r="Y5" s="195" t="n"/>
    </row>
    <row r="6" ht="18" customHeight="1">
      <c r="A6" s="990" t="inlineStr">
        <is>
          <t>LETTER OF APPARENT DISCREPANCY</t>
        </is>
      </c>
    </row>
    <row r="7" ht="18" customHeight="1"/>
    <row r="8" ht="18" customHeight="1" thickBot="1">
      <c r="A8" t="inlineStr">
        <is>
          <t>VESSEL</t>
        </is>
      </c>
      <c r="E8" t="inlineStr">
        <is>
          <t>:</t>
        </is>
      </c>
      <c r="F8" s="991">
        <f>Draft!AB1</f>
        <v/>
      </c>
      <c r="G8" s="197" t="n"/>
      <c r="H8" s="197" t="n"/>
      <c r="I8" s="197" t="n"/>
      <c r="J8" s="197" t="n"/>
      <c r="K8" s="197" t="n"/>
      <c r="L8" s="197" t="n"/>
      <c r="M8" s="197" t="n"/>
      <c r="N8" s="197" t="n"/>
      <c r="O8" s="197" t="n"/>
      <c r="P8" s="197" t="n"/>
      <c r="Q8" s="197" t="n"/>
      <c r="R8" s="197" t="n"/>
      <c r="S8" s="197" t="n"/>
      <c r="T8" s="197" t="n"/>
      <c r="U8" s="197" t="n"/>
      <c r="W8" s="195" t="n"/>
    </row>
    <row r="9" ht="18" customHeight="1" thickBot="1">
      <c r="A9" t="inlineStr">
        <is>
          <t>DATE</t>
        </is>
      </c>
      <c r="E9" t="inlineStr">
        <is>
          <t>:</t>
        </is>
      </c>
      <c r="F9" s="1287">
        <f>Draft!AS2</f>
        <v/>
      </c>
      <c r="G9" s="198" t="n"/>
      <c r="H9" s="198" t="n"/>
      <c r="I9" s="198" t="n"/>
      <c r="J9" s="198" t="n"/>
      <c r="K9" s="198" t="n"/>
      <c r="L9" s="198" t="n"/>
      <c r="M9" s="198" t="n"/>
      <c r="N9" s="198" t="n"/>
      <c r="O9" s="198" t="n"/>
      <c r="P9" s="198" t="n"/>
      <c r="Q9" s="198" t="n"/>
      <c r="R9" s="198" t="n"/>
      <c r="S9" s="198" t="n"/>
      <c r="T9" s="198" t="n"/>
      <c r="U9" s="198" t="n"/>
      <c r="W9" s="195" t="n"/>
    </row>
    <row r="10" ht="18" customHeight="1" thickBot="1">
      <c r="A10" t="inlineStr">
        <is>
          <t>PORT</t>
        </is>
      </c>
      <c r="E10" t="inlineStr">
        <is>
          <t>:</t>
        </is>
      </c>
      <c r="F10" s="988" t="inlineStr">
        <is>
          <t>PUERTO MOIN - COSTA RICA</t>
        </is>
      </c>
      <c r="G10" s="198" t="n"/>
      <c r="H10" s="198" t="n"/>
      <c r="I10" s="198" t="n"/>
      <c r="J10" s="198" t="n"/>
      <c r="K10" s="198" t="n"/>
      <c r="L10" s="198" t="n"/>
      <c r="M10" s="198" t="n"/>
      <c r="N10" s="198" t="n"/>
      <c r="O10" s="198" t="n"/>
      <c r="P10" s="198" t="n"/>
      <c r="Q10" s="198" t="n"/>
      <c r="R10" s="198" t="n"/>
      <c r="S10" s="198" t="n"/>
      <c r="T10" s="198" t="n"/>
      <c r="U10" s="198" t="n"/>
      <c r="W10" s="195" t="n"/>
    </row>
    <row r="11" ht="18" customHeight="1" thickBot="1">
      <c r="A11" t="inlineStr">
        <is>
          <t>BERTH</t>
        </is>
      </c>
      <c r="E11" t="inlineStr">
        <is>
          <t>:</t>
        </is>
      </c>
      <c r="F11" s="988" t="inlineStr">
        <is>
          <t>5/3</t>
        </is>
      </c>
      <c r="G11" s="198" t="n"/>
      <c r="H11" s="198" t="n"/>
      <c r="I11" s="198" t="n"/>
      <c r="J11" s="198" t="n"/>
      <c r="K11" s="198" t="n"/>
      <c r="L11" s="198" t="n"/>
      <c r="M11" s="198" t="n"/>
      <c r="N11" s="198" t="n"/>
      <c r="O11" s="198" t="n"/>
      <c r="P11" s="198" t="n"/>
      <c r="Q11" s="198" t="n"/>
      <c r="R11" s="198" t="n"/>
      <c r="S11" s="198" t="n"/>
      <c r="T11" s="198" t="n"/>
      <c r="U11" s="198" t="n"/>
      <c r="W11" s="195" t="n"/>
    </row>
    <row r="12" ht="18" customHeight="1" thickBot="1">
      <c r="A12" s="183" t="inlineStr">
        <is>
          <t>PRODUCT</t>
        </is>
      </c>
      <c r="E12" t="inlineStr">
        <is>
          <t>:</t>
        </is>
      </c>
      <c r="F12" s="988" t="inlineStr">
        <is>
          <t>YELLOW CORN</t>
        </is>
      </c>
      <c r="G12" s="198" t="n"/>
      <c r="H12" s="198" t="n"/>
      <c r="I12" s="198" t="n"/>
      <c r="J12" s="198" t="n"/>
      <c r="K12" s="198" t="n"/>
      <c r="L12" s="198" t="n"/>
      <c r="M12" s="198" t="n"/>
      <c r="N12" s="198" t="n"/>
      <c r="O12" s="198" t="n"/>
      <c r="P12" s="198" t="n"/>
      <c r="Q12" s="198" t="n"/>
      <c r="R12" s="198" t="n"/>
      <c r="S12" s="198" t="n"/>
      <c r="T12" s="198" t="n"/>
      <c r="U12" s="198" t="n"/>
      <c r="W12" s="195" t="n"/>
    </row>
    <row r="13" ht="18" customHeight="1" thickBot="1">
      <c r="A13" t="inlineStr">
        <is>
          <t>PRINCIPALS</t>
        </is>
      </c>
      <c r="E13" t="inlineStr">
        <is>
          <t>:</t>
        </is>
      </c>
      <c r="F13" s="994" t="inlineStr">
        <is>
          <t>NOMBRE EL OWNER</t>
        </is>
      </c>
      <c r="G13" s="170" t="n"/>
      <c r="H13" s="170" t="n"/>
      <c r="I13" s="170" t="n"/>
      <c r="J13" s="170" t="n"/>
      <c r="K13" s="170" t="n"/>
      <c r="L13" s="170" t="n"/>
      <c r="M13" s="170" t="n"/>
      <c r="N13" s="170" t="n"/>
      <c r="O13" s="170" t="n"/>
      <c r="P13" s="170" t="n"/>
      <c r="Q13" s="170" t="n"/>
      <c r="R13" s="170" t="n"/>
      <c r="S13" s="170" t="n"/>
      <c r="T13" s="198" t="n"/>
      <c r="U13" s="198" t="n"/>
      <c r="W13" s="195" t="n"/>
    </row>
    <row r="14" ht="18" customHeight="1"/>
    <row r="15" ht="18" customHeight="1">
      <c r="A15" s="199" t="inlineStr">
        <is>
          <t>TO: FERTICA S.A.</t>
        </is>
      </c>
      <c r="B15" s="253" t="inlineStr">
        <is>
          <t>CARGUILL</t>
        </is>
      </c>
      <c r="D15" s="199" t="n"/>
      <c r="F15" s="195" t="n"/>
      <c r="G15" s="195" t="n"/>
      <c r="H15" s="195" t="n"/>
      <c r="I15" s="195" t="n"/>
      <c r="J15" s="195" t="n"/>
      <c r="K15" s="195" t="n"/>
      <c r="L15" s="195" t="n"/>
      <c r="M15" s="195" t="n"/>
      <c r="N15" s="195" t="n"/>
      <c r="O15" s="195" t="n"/>
      <c r="P15" s="195" t="n"/>
      <c r="Q15" s="195" t="n"/>
      <c r="R15" s="195" t="n"/>
      <c r="S15" s="195" t="n"/>
    </row>
    <row r="16" ht="18" customHeight="1">
      <c r="B16" s="200" t="n"/>
      <c r="F16" s="195" t="n"/>
      <c r="G16" s="195" t="n"/>
      <c r="H16" s="195" t="n"/>
      <c r="I16" s="195" t="n"/>
      <c r="J16" s="195" t="n"/>
      <c r="K16" s="195" t="n"/>
      <c r="L16" s="195" t="n"/>
      <c r="M16" s="195" t="n"/>
      <c r="N16" s="195" t="n"/>
      <c r="O16" s="195" t="n"/>
      <c r="P16" s="195" t="n"/>
      <c r="Q16" s="195" t="n"/>
      <c r="R16" s="195" t="n"/>
      <c r="S16" s="195" t="n"/>
    </row>
    <row r="17" ht="18" customHeight="1"/>
    <row r="18" ht="18" customHeight="1">
      <c r="A18" t="inlineStr">
        <is>
          <t>Mrss:</t>
        </is>
      </c>
    </row>
    <row r="19" ht="18" customHeight="1">
      <c r="A19" t="inlineStr">
        <is>
          <t xml:space="preserve">We have been appointed as surveyors on the above named vessel by our principals and acting for and on their </t>
        </is>
      </c>
    </row>
    <row r="20" ht="18" customHeight="1">
      <c r="A20" s="199" t="inlineStr">
        <is>
          <t>behalf, we do hereby note of protest with you concerning:</t>
        </is>
      </c>
    </row>
    <row r="21" ht="18" customHeight="1">
      <c r="A21" s="199" t="n"/>
    </row>
    <row r="22" ht="18" customHeight="1" thickBot="1">
      <c r="T22" s="1288" t="n"/>
      <c r="U22" s="1288" t="n"/>
      <c r="V22" s="1288" t="n"/>
      <c r="W22" s="1288" t="n"/>
      <c r="X22" s="1288" t="n"/>
      <c r="Y22" s="1288" t="n"/>
      <c r="Z22" s="1289" t="n"/>
    </row>
    <row r="23" ht="18" customHeight="1" thickBot="1">
      <c r="A23" s="1290">
        <f>Draft!AB2</f>
        <v/>
      </c>
      <c r="B23" s="198" t="n"/>
      <c r="C23" s="198" t="n"/>
      <c r="D23" s="198" t="n"/>
      <c r="E23" s="198" t="n"/>
      <c r="F23" s="198" t="n"/>
      <c r="G23" s="198" t="n"/>
      <c r="H23" s="198" t="n"/>
      <c r="I23" s="198" t="n"/>
      <c r="J23" s="198" t="n"/>
      <c r="K23" s="198" t="n"/>
      <c r="L23" s="198" t="n"/>
      <c r="M23" s="198" t="n"/>
      <c r="N23" s="198" t="n"/>
      <c r="O23" s="198" t="n"/>
      <c r="P23" s="198" t="n"/>
      <c r="Q23" s="198" t="n"/>
      <c r="R23" s="198" t="n"/>
      <c r="S23" s="1139" t="n"/>
      <c r="AK23" s="448" t="n"/>
    </row>
    <row r="24" ht="18" customHeight="1">
      <c r="A24" s="35" t="inlineStr">
        <is>
          <t>BILL OF LADING</t>
        </is>
      </c>
      <c r="B24" s="203" t="n"/>
      <c r="C24" s="203" t="n"/>
      <c r="D24" s="203" t="n"/>
      <c r="E24" s="203" t="n"/>
      <c r="F24" s="203" t="n"/>
      <c r="G24" s="203" t="n"/>
      <c r="H24" s="203" t="n"/>
      <c r="I24" s="203" t="n"/>
      <c r="J24" s="983" t="n">
        <v>6000</v>
      </c>
      <c r="K24" s="1047" t="n"/>
      <c r="L24" s="1047" t="n"/>
      <c r="M24" s="1047" t="n"/>
      <c r="N24" s="1047" t="n"/>
      <c r="O24" s="1047" t="n"/>
      <c r="P24" s="1047" t="n"/>
      <c r="Q24" s="1047" t="n"/>
      <c r="R24" s="1047" t="n"/>
      <c r="S24" s="204" t="inlineStr">
        <is>
          <t>MT</t>
        </is>
      </c>
      <c r="AK24" s="985" t="n"/>
      <c r="AL24" s="187" t="n"/>
      <c r="AM24" s="187" t="n"/>
      <c r="AN24" s="187" t="n"/>
      <c r="AO24" s="187" t="n"/>
      <c r="AP24" s="187" t="n"/>
      <c r="AQ24" s="187" t="n"/>
      <c r="AR24" s="187" t="n"/>
    </row>
    <row r="25" ht="18" customHeight="1">
      <c r="A25" s="35" t="inlineStr">
        <is>
          <t>CARGO DISCHARGED BY SHORE SCALE</t>
        </is>
      </c>
      <c r="B25" s="518" t="n"/>
      <c r="C25" s="518" t="n"/>
      <c r="D25" s="518" t="n"/>
      <c r="E25" s="518" t="n"/>
      <c r="F25" s="518" t="n"/>
      <c r="G25" s="518" t="n"/>
      <c r="H25" s="518" t="n"/>
      <c r="I25" s="518" t="n"/>
      <c r="J25" s="986" t="n">
        <v>6069.22</v>
      </c>
      <c r="K25" s="203" t="n"/>
      <c r="L25" s="203" t="n"/>
      <c r="M25" s="203" t="n"/>
      <c r="N25" s="203" t="n"/>
      <c r="O25" s="203" t="n"/>
      <c r="P25" s="203" t="n"/>
      <c r="Q25" s="203" t="n"/>
      <c r="R25" s="203" t="n"/>
      <c r="S25" s="204" t="inlineStr">
        <is>
          <t>MT</t>
        </is>
      </c>
      <c r="AK25" s="985" t="n"/>
      <c r="AL25" s="187" t="n"/>
      <c r="AM25" s="187" t="n"/>
      <c r="AN25" s="187" t="n"/>
      <c r="AO25" s="187" t="n"/>
      <c r="AP25" s="187" t="n"/>
      <c r="AQ25" s="187" t="n"/>
      <c r="AR25" s="187" t="n"/>
    </row>
    <row r="26" ht="18" customHeight="1">
      <c r="A26" s="540" t="inlineStr">
        <is>
          <t xml:space="preserve">DIFFERENCE </t>
        </is>
      </c>
      <c r="B26" s="205" t="n"/>
      <c r="C26" s="205" t="n"/>
      <c r="D26" s="205" t="n"/>
      <c r="E26" s="205" t="n"/>
      <c r="F26" s="205" t="n"/>
      <c r="G26" s="205" t="n"/>
      <c r="H26" s="205" t="n"/>
      <c r="I26" s="205" t="n"/>
      <c r="J26" s="968">
        <f>+J25-J24</f>
        <v/>
      </c>
      <c r="K26" s="203" t="n"/>
      <c r="L26" s="203" t="n"/>
      <c r="M26" s="203" t="n"/>
      <c r="N26" s="203" t="n"/>
      <c r="O26" s="203" t="n"/>
      <c r="P26" s="203" t="n"/>
      <c r="Q26" s="203" t="n"/>
      <c r="R26" s="203" t="n"/>
      <c r="S26" s="206" t="inlineStr">
        <is>
          <t>MT</t>
        </is>
      </c>
    </row>
    <row r="27" ht="18" customHeight="1">
      <c r="A27" s="35" t="inlineStr">
        <is>
          <t>PERCENTAGE %</t>
        </is>
      </c>
      <c r="B27" s="205" t="n"/>
      <c r="C27" s="205" t="n"/>
      <c r="D27" s="205" t="n"/>
      <c r="E27" s="205" t="n"/>
      <c r="F27" s="205" t="n"/>
      <c r="G27" s="205" t="n"/>
      <c r="H27" s="205" t="n"/>
      <c r="I27" s="205" t="n"/>
      <c r="J27" s="970">
        <f>+J26/J24</f>
        <v/>
      </c>
      <c r="K27" s="203" t="n"/>
      <c r="L27" s="203" t="n"/>
      <c r="M27" s="203" t="n"/>
      <c r="N27" s="203" t="n"/>
      <c r="O27" s="203" t="n"/>
      <c r="P27" s="203" t="n"/>
      <c r="Q27" s="203" t="n"/>
      <c r="R27" s="203" t="n"/>
      <c r="S27" s="206" t="inlineStr">
        <is>
          <t>MT</t>
        </is>
      </c>
      <c r="AK27" s="972" t="n"/>
      <c r="AL27" s="187" t="n"/>
      <c r="AM27" s="187" t="n"/>
      <c r="AN27" s="187" t="n"/>
      <c r="AO27" s="187" t="n"/>
      <c r="AP27" s="187" t="n"/>
      <c r="AQ27" s="187" t="n"/>
      <c r="AR27" s="187" t="n"/>
    </row>
    <row r="28" ht="18" customFormat="1" customHeight="1" s="197" thickBot="1">
      <c r="A28" s="554" t="n"/>
      <c r="B28" s="24" t="n"/>
      <c r="C28" s="24" t="n"/>
      <c r="D28" s="24" t="n"/>
      <c r="E28" s="24" t="n"/>
      <c r="F28" s="24" t="n"/>
      <c r="G28" s="24" t="n"/>
      <c r="H28" s="24" t="n"/>
      <c r="I28" s="24" t="n"/>
      <c r="J28" s="973" t="n"/>
      <c r="S28" s="199" t="n"/>
    </row>
    <row r="29" ht="18" customHeight="1">
      <c r="A29" s="24" t="n"/>
      <c r="B29" s="24" t="n"/>
      <c r="C29" s="24" t="n"/>
      <c r="D29" s="24" t="n"/>
      <c r="E29" s="24" t="n"/>
      <c r="F29" s="24" t="n"/>
      <c r="G29" s="24" t="n"/>
      <c r="H29" s="24" t="n"/>
      <c r="I29" s="24" t="n"/>
      <c r="J29" s="975" t="n"/>
      <c r="S29" s="199" t="n"/>
    </row>
    <row r="30" ht="18" customHeight="1">
      <c r="A30" s="26" t="inlineStr">
        <is>
          <t>We hereby reserve the right to this matter at letter of protest date and to take such actions as may be deemed necessary.</t>
        </is>
      </c>
    </row>
    <row r="31" ht="18" customHeight="1"/>
    <row r="32" ht="18" customHeight="1">
      <c r="A32" t="inlineStr">
        <is>
          <t>Your´s faithfully</t>
        </is>
      </c>
      <c r="R32" s="24" t="inlineStr">
        <is>
          <t>RECEIVED by (Signature / Stamp)</t>
        </is>
      </c>
    </row>
    <row r="33" ht="18" customHeight="1"/>
    <row r="34" ht="18" customHeight="1">
      <c r="R34" s="24" t="n"/>
    </row>
    <row r="35" ht="18" customHeight="1" thickBot="1">
      <c r="A35" s="197" t="n"/>
      <c r="B35" s="197" t="n"/>
      <c r="C35" s="197" t="n"/>
      <c r="D35" s="197" t="n"/>
      <c r="E35" s="197" t="n"/>
      <c r="F35" s="197" t="n"/>
      <c r="G35" s="197" t="n"/>
      <c r="H35" s="197" t="n"/>
      <c r="I35" s="197" t="n"/>
      <c r="J35" s="197" t="n"/>
      <c r="K35" s="197" t="n"/>
      <c r="L35" s="197" t="n"/>
      <c r="M35" s="197" t="n"/>
      <c r="Q35" s="197" t="n"/>
      <c r="R35" s="207" t="n"/>
      <c r="S35" s="197" t="n"/>
      <c r="T35" s="197" t="n"/>
      <c r="U35" s="197" t="n"/>
      <c r="V35" s="197" t="n"/>
      <c r="W35" s="197" t="n"/>
      <c r="X35" s="197" t="n"/>
      <c r="Y35" s="197" t="n"/>
      <c r="Z35" s="197" t="n"/>
    </row>
    <row r="36" ht="18" customHeight="1">
      <c r="A36" s="976" t="inlineStr">
        <is>
          <t>MSL Surveyor</t>
        </is>
      </c>
      <c r="R36" s="977" t="inlineStr">
        <is>
          <t>Cargo Receivers Representative</t>
        </is>
      </c>
    </row>
    <row r="37" ht="18" customHeight="1"/>
    <row r="38" ht="18" customHeight="1"/>
    <row r="39" ht="18" customHeight="1" thickBot="1">
      <c r="A39" s="208" t="n"/>
      <c r="B39" s="288" t="n"/>
      <c r="C39" s="288" t="n"/>
      <c r="D39" s="288" t="n"/>
      <c r="E39" s="288" t="n"/>
      <c r="F39" s="288" t="n"/>
      <c r="G39" s="288" t="n"/>
      <c r="H39" s="288" t="n"/>
      <c r="I39" s="288" t="n"/>
      <c r="J39" s="288" t="n"/>
      <c r="K39" s="288" t="n"/>
      <c r="L39" s="288" t="n"/>
      <c r="M39" s="288" t="n"/>
      <c r="Q39" s="197" t="n"/>
      <c r="R39" s="208" t="n"/>
      <c r="S39" s="208" t="n"/>
      <c r="T39" s="208" t="n"/>
      <c r="U39" s="208" t="n"/>
      <c r="V39" s="208" t="n"/>
      <c r="W39" s="208" t="n"/>
      <c r="X39" s="208" t="n"/>
      <c r="Y39" s="208" t="n"/>
      <c r="Z39" s="208" t="n"/>
    </row>
    <row r="40" ht="18" customHeight="1">
      <c r="A40" s="978" t="inlineStr">
        <is>
          <t>Agent - Marinsa</t>
        </is>
      </c>
      <c r="R40" s="977" t="inlineStr">
        <is>
          <t>Vessel Representative</t>
        </is>
      </c>
    </row>
    <row r="41" ht="18" customHeight="1"/>
    <row r="42" ht="18" customHeight="1"/>
    <row r="43" ht="18" customHeight="1"/>
    <row r="44" ht="18" customHeight="1">
      <c r="A44" s="195" t="n"/>
    </row>
    <row r="45" ht="18" customHeight="1">
      <c r="N45" s="979" t="n"/>
      <c r="W45" s="979" t="n"/>
    </row>
    <row r="46" ht="18" customHeight="1">
      <c r="A46" s="183" t="n"/>
      <c r="W46" s="195" t="n"/>
      <c r="X46" s="195" t="n"/>
      <c r="Y46" s="195" t="n"/>
    </row>
    <row r="47" ht="18" customHeight="1">
      <c r="A47" s="183" t="n"/>
      <c r="W47" s="195" t="n"/>
      <c r="X47" s="195" t="n"/>
      <c r="Y47" s="195" t="n"/>
    </row>
    <row r="48" ht="18" customHeight="1">
      <c r="A48" s="183" t="n"/>
      <c r="W48" s="967" t="n"/>
      <c r="Y48" s="195" t="n"/>
    </row>
    <row r="49" ht="18" customHeight="1">
      <c r="A49" s="183" t="n"/>
      <c r="W49" s="967" t="n"/>
      <c r="Y49" s="195" t="n"/>
    </row>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sheetData>
  <mergeCells count="25">
    <mergeCell ref="W49:X49"/>
    <mergeCell ref="J24:R24"/>
    <mergeCell ref="A23:S23"/>
    <mergeCell ref="F11:S11"/>
    <mergeCell ref="J27:R27"/>
    <mergeCell ref="R36:Z36"/>
    <mergeCell ref="F10:S10"/>
    <mergeCell ref="J26:R26"/>
    <mergeCell ref="N45:Q45"/>
    <mergeCell ref="J25:R25"/>
    <mergeCell ref="AK25:AR25"/>
    <mergeCell ref="A6:Z6"/>
    <mergeCell ref="A40:M40"/>
    <mergeCell ref="AK24:AR24"/>
    <mergeCell ref="F8:S8"/>
    <mergeCell ref="A36:M36"/>
    <mergeCell ref="F12:U12"/>
    <mergeCell ref="F9:S9"/>
    <mergeCell ref="J29:R29"/>
    <mergeCell ref="W48:X48"/>
    <mergeCell ref="J28:R28"/>
    <mergeCell ref="W45:Y45"/>
    <mergeCell ref="AK27:AR27"/>
    <mergeCell ref="R40:Z40"/>
    <mergeCell ref="AK23:AR23"/>
  </mergeCells>
  <pageMargins left="0.7480314960629921" right="0.3937007874015748" top="0.4724409448818898" bottom="0.6299212598425197" header="0" footer="0.2362204724409449"/>
  <pageSetup orientation="portrait" scale="95" horizontalDpi="4294967293" verticalDpi="360"/>
  <headerFooter alignWithMargins="0">
    <oddHeader/>
    <oddFooter>&amp;LMV ANAHITA LETTER OF APPARENT DISCREPANCY</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tabColor indexed="11"/>
    <outlinePr summaryBelow="1" summaryRight="1"/>
    <pageSetUpPr/>
  </sheetPr>
  <dimension ref="A3:AGT49"/>
  <sheetViews>
    <sheetView showGridLines="0" view="pageBreakPreview" zoomScaleNormal="100" zoomScaleSheetLayoutView="100" workbookViewId="0">
      <selection activeCell="Q16" sqref="Q16"/>
    </sheetView>
  </sheetViews>
  <sheetFormatPr baseColWidth="8" defaultColWidth="11.5546875" defaultRowHeight="13.2"/>
  <cols>
    <col width="3.44140625" customWidth="1" min="1" max="8"/>
    <col width="6.6640625" customWidth="1" min="9" max="9"/>
    <col width="3.44140625" customWidth="1" min="10" max="22"/>
    <col width="4.6640625" customWidth="1" min="23" max="23"/>
    <col width="5.33203125" customWidth="1" min="24" max="24"/>
    <col width="3.44140625" customWidth="1" min="25" max="25"/>
    <col width="5.109375" customWidth="1" min="26" max="26"/>
    <col width="3.44140625" customWidth="1" min="27" max="182"/>
    <col width="3.44140625" customWidth="1" min="257" max="264"/>
    <col width="6.6640625" customWidth="1" min="265" max="265"/>
    <col width="3.44140625" customWidth="1" min="266" max="278"/>
    <col width="4.6640625" customWidth="1" min="279" max="279"/>
    <col width="5.33203125" customWidth="1" min="280" max="280"/>
    <col width="3.44140625" customWidth="1" min="281" max="281"/>
    <col width="5.109375" customWidth="1" min="282" max="282"/>
    <col width="3.44140625" customWidth="1" min="283" max="438"/>
    <col width="3.44140625" customWidth="1" min="513" max="520"/>
    <col width="6.6640625" customWidth="1" min="521" max="521"/>
    <col width="3.44140625" customWidth="1" min="522" max="534"/>
    <col width="4.6640625" customWidth="1" min="535" max="535"/>
    <col width="5.33203125" customWidth="1" min="536" max="536"/>
    <col width="3.44140625" customWidth="1" min="537" max="537"/>
    <col width="5.109375" customWidth="1" min="538" max="538"/>
    <col width="3.44140625" customWidth="1" min="539" max="694"/>
    <col width="3.44140625" customWidth="1" min="769" max="776"/>
    <col width="6.6640625" customWidth="1" min="777" max="777"/>
    <col width="3.44140625" customWidth="1" min="778" max="790"/>
    <col width="4.6640625" customWidth="1" min="791" max="791"/>
    <col width="5.33203125" customWidth="1" min="792" max="792"/>
    <col width="3.44140625" customWidth="1" min="793" max="793"/>
    <col width="5.109375" customWidth="1" min="794" max="794"/>
    <col width="3.44140625" customWidth="1" min="795" max="950"/>
    <col width="3.44140625" customWidth="1" min="1025" max="1032"/>
    <col width="6.6640625" customWidth="1" min="1033" max="1033"/>
    <col width="3.44140625" customWidth="1" min="1034" max="1046"/>
    <col width="4.6640625" customWidth="1" min="1047" max="1047"/>
    <col width="5.33203125" customWidth="1" min="1048" max="1048"/>
    <col width="3.44140625" customWidth="1" min="1049" max="1049"/>
    <col width="5.109375" customWidth="1" min="1050" max="1050"/>
    <col width="3.44140625" customWidth="1" min="1051" max="1206"/>
    <col width="3.44140625" customWidth="1" min="1281" max="1288"/>
    <col width="6.6640625" customWidth="1" min="1289" max="1289"/>
    <col width="3.44140625" customWidth="1" min="1290" max="1302"/>
    <col width="4.6640625" customWidth="1" min="1303" max="1303"/>
    <col width="5.33203125" customWidth="1" min="1304" max="1304"/>
    <col width="3.44140625" customWidth="1" min="1305" max="1305"/>
    <col width="5.109375" customWidth="1" min="1306" max="1306"/>
    <col width="3.44140625" customWidth="1" min="1307" max="1462"/>
    <col width="3.44140625" customWidth="1" min="1537" max="1544"/>
    <col width="6.6640625" customWidth="1" min="1545" max="1545"/>
    <col width="3.44140625" customWidth="1" min="1546" max="1558"/>
    <col width="4.6640625" customWidth="1" min="1559" max="1559"/>
    <col width="5.33203125" customWidth="1" min="1560" max="1560"/>
    <col width="3.44140625" customWidth="1" min="1561" max="1561"/>
    <col width="5.109375" customWidth="1" min="1562" max="1562"/>
    <col width="3.44140625" customWidth="1" min="1563" max="1718"/>
    <col width="3.44140625" customWidth="1" min="1793" max="1800"/>
    <col width="6.6640625" customWidth="1" min="1801" max="1801"/>
    <col width="3.44140625" customWidth="1" min="1802" max="1814"/>
    <col width="4.6640625" customWidth="1" min="1815" max="1815"/>
    <col width="5.33203125" customWidth="1" min="1816" max="1816"/>
    <col width="3.44140625" customWidth="1" min="1817" max="1817"/>
    <col width="5.109375" customWidth="1" min="1818" max="1818"/>
    <col width="3.44140625" customWidth="1" min="1819" max="1974"/>
    <col width="3.44140625" customWidth="1" min="2049" max="2056"/>
    <col width="6.6640625" customWidth="1" min="2057" max="2057"/>
    <col width="3.44140625" customWidth="1" min="2058" max="2070"/>
    <col width="4.6640625" customWidth="1" min="2071" max="2071"/>
    <col width="5.33203125" customWidth="1" min="2072" max="2072"/>
    <col width="3.44140625" customWidth="1" min="2073" max="2073"/>
    <col width="5.109375" customWidth="1" min="2074" max="2074"/>
    <col width="3.44140625" customWidth="1" min="2075" max="2230"/>
    <col width="3.44140625" customWidth="1" min="2305" max="2312"/>
    <col width="6.6640625" customWidth="1" min="2313" max="2313"/>
    <col width="3.44140625" customWidth="1" min="2314" max="2326"/>
    <col width="4.6640625" customWidth="1" min="2327" max="2327"/>
    <col width="5.33203125" customWidth="1" min="2328" max="2328"/>
    <col width="3.44140625" customWidth="1" min="2329" max="2329"/>
    <col width="5.109375" customWidth="1" min="2330" max="2330"/>
    <col width="3.44140625" customWidth="1" min="2331" max="2486"/>
    <col width="3.44140625" customWidth="1" min="2561" max="2568"/>
    <col width="6.6640625" customWidth="1" min="2569" max="2569"/>
    <col width="3.44140625" customWidth="1" min="2570" max="2582"/>
    <col width="4.6640625" customWidth="1" min="2583" max="2583"/>
    <col width="5.33203125" customWidth="1" min="2584" max="2584"/>
    <col width="3.44140625" customWidth="1" min="2585" max="2585"/>
    <col width="5.109375" customWidth="1" min="2586" max="2586"/>
    <col width="3.44140625" customWidth="1" min="2587" max="2742"/>
    <col width="3.44140625" customWidth="1" min="2817" max="2824"/>
    <col width="6.6640625" customWidth="1" min="2825" max="2825"/>
    <col width="3.44140625" customWidth="1" min="2826" max="2838"/>
    <col width="4.6640625" customWidth="1" min="2839" max="2839"/>
    <col width="5.33203125" customWidth="1" min="2840" max="2840"/>
    <col width="3.44140625" customWidth="1" min="2841" max="2841"/>
    <col width="5.109375" customWidth="1" min="2842" max="2842"/>
    <col width="3.44140625" customWidth="1" min="2843" max="2998"/>
    <col width="3.44140625" customWidth="1" min="3073" max="3080"/>
    <col width="6.6640625" customWidth="1" min="3081" max="3081"/>
    <col width="3.44140625" customWidth="1" min="3082" max="3094"/>
    <col width="4.6640625" customWidth="1" min="3095" max="3095"/>
    <col width="5.33203125" customWidth="1" min="3096" max="3096"/>
    <col width="3.44140625" customWidth="1" min="3097" max="3097"/>
    <col width="5.109375" customWidth="1" min="3098" max="3098"/>
    <col width="3.44140625" customWidth="1" min="3099" max="3254"/>
    <col width="3.44140625" customWidth="1" min="3329" max="3336"/>
    <col width="6.6640625" customWidth="1" min="3337" max="3337"/>
    <col width="3.44140625" customWidth="1" min="3338" max="3350"/>
    <col width="4.6640625" customWidth="1" min="3351" max="3351"/>
    <col width="5.33203125" customWidth="1" min="3352" max="3352"/>
    <col width="3.44140625" customWidth="1" min="3353" max="3353"/>
    <col width="5.109375" customWidth="1" min="3354" max="3354"/>
    <col width="3.44140625" customWidth="1" min="3355" max="3510"/>
    <col width="3.44140625" customWidth="1" min="3585" max="3592"/>
    <col width="6.6640625" customWidth="1" min="3593" max="3593"/>
    <col width="3.44140625" customWidth="1" min="3594" max="3606"/>
    <col width="4.6640625" customWidth="1" min="3607" max="3607"/>
    <col width="5.33203125" customWidth="1" min="3608" max="3608"/>
    <col width="3.44140625" customWidth="1" min="3609" max="3609"/>
    <col width="5.109375" customWidth="1" min="3610" max="3610"/>
    <col width="3.44140625" customWidth="1" min="3611" max="3766"/>
    <col width="3.44140625" customWidth="1" min="3841" max="3848"/>
    <col width="6.6640625" customWidth="1" min="3849" max="3849"/>
    <col width="3.44140625" customWidth="1" min="3850" max="3862"/>
    <col width="4.6640625" customWidth="1" min="3863" max="3863"/>
    <col width="5.33203125" customWidth="1" min="3864" max="3864"/>
    <col width="3.44140625" customWidth="1" min="3865" max="3865"/>
    <col width="5.109375" customWidth="1" min="3866" max="3866"/>
    <col width="3.44140625" customWidth="1" min="3867" max="4022"/>
    <col width="3.44140625" customWidth="1" min="4097" max="4104"/>
    <col width="6.6640625" customWidth="1" min="4105" max="4105"/>
    <col width="3.44140625" customWidth="1" min="4106" max="4118"/>
    <col width="4.6640625" customWidth="1" min="4119" max="4119"/>
    <col width="5.33203125" customWidth="1" min="4120" max="4120"/>
    <col width="3.44140625" customWidth="1" min="4121" max="4121"/>
    <col width="5.109375" customWidth="1" min="4122" max="4122"/>
    <col width="3.44140625" customWidth="1" min="4123" max="4278"/>
    <col width="3.44140625" customWidth="1" min="4353" max="4360"/>
    <col width="6.6640625" customWidth="1" min="4361" max="4361"/>
    <col width="3.44140625" customWidth="1" min="4362" max="4374"/>
    <col width="4.6640625" customWidth="1" min="4375" max="4375"/>
    <col width="5.33203125" customWidth="1" min="4376" max="4376"/>
    <col width="3.44140625" customWidth="1" min="4377" max="4377"/>
    <col width="5.109375" customWidth="1" min="4378" max="4378"/>
    <col width="3.44140625" customWidth="1" min="4379" max="4534"/>
    <col width="3.44140625" customWidth="1" min="4609" max="4616"/>
    <col width="6.6640625" customWidth="1" min="4617" max="4617"/>
    <col width="3.44140625" customWidth="1" min="4618" max="4630"/>
    <col width="4.6640625" customWidth="1" min="4631" max="4631"/>
    <col width="5.33203125" customWidth="1" min="4632" max="4632"/>
    <col width="3.44140625" customWidth="1" min="4633" max="4633"/>
    <col width="5.109375" customWidth="1" min="4634" max="4634"/>
    <col width="3.44140625" customWidth="1" min="4635" max="4790"/>
    <col width="3.44140625" customWidth="1" min="4865" max="4872"/>
    <col width="6.6640625" customWidth="1" min="4873" max="4873"/>
    <col width="3.44140625" customWidth="1" min="4874" max="4886"/>
    <col width="4.6640625" customWidth="1" min="4887" max="4887"/>
    <col width="5.33203125" customWidth="1" min="4888" max="4888"/>
    <col width="3.44140625" customWidth="1" min="4889" max="4889"/>
    <col width="5.109375" customWidth="1" min="4890" max="4890"/>
    <col width="3.44140625" customWidth="1" min="4891" max="5046"/>
    <col width="3.44140625" customWidth="1" min="5121" max="5128"/>
    <col width="6.6640625" customWidth="1" min="5129" max="5129"/>
    <col width="3.44140625" customWidth="1" min="5130" max="5142"/>
    <col width="4.6640625" customWidth="1" min="5143" max="5143"/>
    <col width="5.33203125" customWidth="1" min="5144" max="5144"/>
    <col width="3.44140625" customWidth="1" min="5145" max="5145"/>
    <col width="5.109375" customWidth="1" min="5146" max="5146"/>
    <col width="3.44140625" customWidth="1" min="5147" max="5302"/>
    <col width="3.44140625" customWidth="1" min="5377" max="5384"/>
    <col width="6.6640625" customWidth="1" min="5385" max="5385"/>
    <col width="3.44140625" customWidth="1" min="5386" max="5398"/>
    <col width="4.6640625" customWidth="1" min="5399" max="5399"/>
    <col width="5.33203125" customWidth="1" min="5400" max="5400"/>
    <col width="3.44140625" customWidth="1" min="5401" max="5401"/>
    <col width="5.109375" customWidth="1" min="5402" max="5402"/>
    <col width="3.44140625" customWidth="1" min="5403" max="5558"/>
    <col width="3.44140625" customWidth="1" min="5633" max="5640"/>
    <col width="6.6640625" customWidth="1" min="5641" max="5641"/>
    <col width="3.44140625" customWidth="1" min="5642" max="5654"/>
    <col width="4.6640625" customWidth="1" min="5655" max="5655"/>
    <col width="5.33203125" customWidth="1" min="5656" max="5656"/>
    <col width="3.44140625" customWidth="1" min="5657" max="5657"/>
    <col width="5.109375" customWidth="1" min="5658" max="5658"/>
    <col width="3.44140625" customWidth="1" min="5659" max="5814"/>
    <col width="3.44140625" customWidth="1" min="5889" max="5896"/>
    <col width="6.6640625" customWidth="1" min="5897" max="5897"/>
    <col width="3.44140625" customWidth="1" min="5898" max="5910"/>
    <col width="4.6640625" customWidth="1" min="5911" max="5911"/>
    <col width="5.33203125" customWidth="1" min="5912" max="5912"/>
    <col width="3.44140625" customWidth="1" min="5913" max="5913"/>
    <col width="5.109375" customWidth="1" min="5914" max="5914"/>
    <col width="3.44140625" customWidth="1" min="5915" max="6070"/>
    <col width="3.44140625" customWidth="1" min="6145" max="6152"/>
    <col width="6.6640625" customWidth="1" min="6153" max="6153"/>
    <col width="3.44140625" customWidth="1" min="6154" max="6166"/>
    <col width="4.6640625" customWidth="1" min="6167" max="6167"/>
    <col width="5.33203125" customWidth="1" min="6168" max="6168"/>
    <col width="3.44140625" customWidth="1" min="6169" max="6169"/>
    <col width="5.109375" customWidth="1" min="6170" max="6170"/>
    <col width="3.44140625" customWidth="1" min="6171" max="6326"/>
    <col width="3.44140625" customWidth="1" min="6401" max="6408"/>
    <col width="6.6640625" customWidth="1" min="6409" max="6409"/>
    <col width="3.44140625" customWidth="1" min="6410" max="6422"/>
    <col width="4.6640625" customWidth="1" min="6423" max="6423"/>
    <col width="5.33203125" customWidth="1" min="6424" max="6424"/>
    <col width="3.44140625" customWidth="1" min="6425" max="6425"/>
    <col width="5.109375" customWidth="1" min="6426" max="6426"/>
    <col width="3.44140625" customWidth="1" min="6427" max="6582"/>
    <col width="3.44140625" customWidth="1" min="6657" max="6664"/>
    <col width="6.6640625" customWidth="1" min="6665" max="6665"/>
    <col width="3.44140625" customWidth="1" min="6666" max="6678"/>
    <col width="4.6640625" customWidth="1" min="6679" max="6679"/>
    <col width="5.33203125" customWidth="1" min="6680" max="6680"/>
    <col width="3.44140625" customWidth="1" min="6681" max="6681"/>
    <col width="5.109375" customWidth="1" min="6682" max="6682"/>
    <col width="3.44140625" customWidth="1" min="6683" max="6838"/>
    <col width="3.44140625" customWidth="1" min="6913" max="6920"/>
    <col width="6.6640625" customWidth="1" min="6921" max="6921"/>
    <col width="3.44140625" customWidth="1" min="6922" max="6934"/>
    <col width="4.6640625" customWidth="1" min="6935" max="6935"/>
    <col width="5.33203125" customWidth="1" min="6936" max="6936"/>
    <col width="3.44140625" customWidth="1" min="6937" max="6937"/>
    <col width="5.109375" customWidth="1" min="6938" max="6938"/>
    <col width="3.44140625" customWidth="1" min="6939" max="7094"/>
    <col width="3.44140625" customWidth="1" min="7169" max="7176"/>
    <col width="6.6640625" customWidth="1" min="7177" max="7177"/>
    <col width="3.44140625" customWidth="1" min="7178" max="7190"/>
    <col width="4.6640625" customWidth="1" min="7191" max="7191"/>
    <col width="5.33203125" customWidth="1" min="7192" max="7192"/>
    <col width="3.44140625" customWidth="1" min="7193" max="7193"/>
    <col width="5.109375" customWidth="1" min="7194" max="7194"/>
    <col width="3.44140625" customWidth="1" min="7195" max="7350"/>
    <col width="3.44140625" customWidth="1" min="7425" max="7432"/>
    <col width="6.6640625" customWidth="1" min="7433" max="7433"/>
    <col width="3.44140625" customWidth="1" min="7434" max="7446"/>
    <col width="4.6640625" customWidth="1" min="7447" max="7447"/>
    <col width="5.33203125" customWidth="1" min="7448" max="7448"/>
    <col width="3.44140625" customWidth="1" min="7449" max="7449"/>
    <col width="5.109375" customWidth="1" min="7450" max="7450"/>
    <col width="3.44140625" customWidth="1" min="7451" max="7606"/>
    <col width="3.44140625" customWidth="1" min="7681" max="7688"/>
    <col width="6.6640625" customWidth="1" min="7689" max="7689"/>
    <col width="3.44140625" customWidth="1" min="7690" max="7702"/>
    <col width="4.6640625" customWidth="1" min="7703" max="7703"/>
    <col width="5.33203125" customWidth="1" min="7704" max="7704"/>
    <col width="3.44140625" customWidth="1" min="7705" max="7705"/>
    <col width="5.109375" customWidth="1" min="7706" max="7706"/>
    <col width="3.44140625" customWidth="1" min="7707" max="7862"/>
    <col width="3.44140625" customWidth="1" min="7937" max="7944"/>
    <col width="6.6640625" customWidth="1" min="7945" max="7945"/>
    <col width="3.44140625" customWidth="1" min="7946" max="7958"/>
    <col width="4.6640625" customWidth="1" min="7959" max="7959"/>
    <col width="5.33203125" customWidth="1" min="7960" max="7960"/>
    <col width="3.44140625" customWidth="1" min="7961" max="7961"/>
    <col width="5.109375" customWidth="1" min="7962" max="7962"/>
    <col width="3.44140625" customWidth="1" min="7963" max="8118"/>
    <col width="3.44140625" customWidth="1" min="8193" max="8200"/>
    <col width="6.6640625" customWidth="1" min="8201" max="8201"/>
    <col width="3.44140625" customWidth="1" min="8202" max="8214"/>
    <col width="4.6640625" customWidth="1" min="8215" max="8215"/>
    <col width="5.33203125" customWidth="1" min="8216" max="8216"/>
    <col width="3.44140625" customWidth="1" min="8217" max="8217"/>
    <col width="5.109375" customWidth="1" min="8218" max="8218"/>
    <col width="3.44140625" customWidth="1" min="8219" max="8374"/>
    <col width="3.44140625" customWidth="1" min="8449" max="8456"/>
    <col width="6.6640625" customWidth="1" min="8457" max="8457"/>
    <col width="3.44140625" customWidth="1" min="8458" max="8470"/>
    <col width="4.6640625" customWidth="1" min="8471" max="8471"/>
    <col width="5.33203125" customWidth="1" min="8472" max="8472"/>
    <col width="3.44140625" customWidth="1" min="8473" max="8473"/>
    <col width="5.109375" customWidth="1" min="8474" max="8474"/>
    <col width="3.44140625" customWidth="1" min="8475" max="8630"/>
    <col width="3.44140625" customWidth="1" min="8705" max="8712"/>
    <col width="6.6640625" customWidth="1" min="8713" max="8713"/>
    <col width="3.44140625" customWidth="1" min="8714" max="8726"/>
    <col width="4.6640625" customWidth="1" min="8727" max="8727"/>
    <col width="5.33203125" customWidth="1" min="8728" max="8728"/>
    <col width="3.44140625" customWidth="1" min="8729" max="8729"/>
    <col width="5.109375" customWidth="1" min="8730" max="8730"/>
    <col width="3.44140625" customWidth="1" min="8731" max="8886"/>
    <col width="3.44140625" customWidth="1" min="8961" max="8968"/>
    <col width="6.6640625" customWidth="1" min="8969" max="8969"/>
    <col width="3.44140625" customWidth="1" min="8970" max="8982"/>
    <col width="4.6640625" customWidth="1" min="8983" max="8983"/>
    <col width="5.33203125" customWidth="1" min="8984" max="8984"/>
    <col width="3.44140625" customWidth="1" min="8985" max="8985"/>
    <col width="5.109375" customWidth="1" min="8986" max="8986"/>
    <col width="3.44140625" customWidth="1" min="8987" max="9142"/>
    <col width="3.44140625" customWidth="1" min="9217" max="9224"/>
    <col width="6.6640625" customWidth="1" min="9225" max="9225"/>
    <col width="3.44140625" customWidth="1" min="9226" max="9238"/>
    <col width="4.6640625" customWidth="1" min="9239" max="9239"/>
    <col width="5.33203125" customWidth="1" min="9240" max="9240"/>
    <col width="3.44140625" customWidth="1" min="9241" max="9241"/>
    <col width="5.109375" customWidth="1" min="9242" max="9242"/>
    <col width="3.44140625" customWidth="1" min="9243" max="9398"/>
    <col width="3.44140625" customWidth="1" min="9473" max="9480"/>
    <col width="6.6640625" customWidth="1" min="9481" max="9481"/>
    <col width="3.44140625" customWidth="1" min="9482" max="9494"/>
    <col width="4.6640625" customWidth="1" min="9495" max="9495"/>
    <col width="5.33203125" customWidth="1" min="9496" max="9496"/>
    <col width="3.44140625" customWidth="1" min="9497" max="9497"/>
    <col width="5.109375" customWidth="1" min="9498" max="9498"/>
    <col width="3.44140625" customWidth="1" min="9499" max="9654"/>
    <col width="3.44140625" customWidth="1" min="9729" max="9736"/>
    <col width="6.6640625" customWidth="1" min="9737" max="9737"/>
    <col width="3.44140625" customWidth="1" min="9738" max="9750"/>
    <col width="4.6640625" customWidth="1" min="9751" max="9751"/>
    <col width="5.33203125" customWidth="1" min="9752" max="9752"/>
    <col width="3.44140625" customWidth="1" min="9753" max="9753"/>
    <col width="5.109375" customWidth="1" min="9754" max="9754"/>
    <col width="3.44140625" customWidth="1" min="9755" max="9910"/>
    <col width="3.44140625" customWidth="1" min="9985" max="9992"/>
    <col width="6.6640625" customWidth="1" min="9993" max="9993"/>
    <col width="3.44140625" customWidth="1" min="9994" max="10006"/>
    <col width="4.6640625" customWidth="1" min="10007" max="10007"/>
    <col width="5.33203125" customWidth="1" min="10008" max="10008"/>
    <col width="3.44140625" customWidth="1" min="10009" max="10009"/>
    <col width="5.109375" customWidth="1" min="10010" max="10010"/>
    <col width="3.44140625" customWidth="1" min="10011" max="10166"/>
    <col width="3.44140625" customWidth="1" min="10241" max="10248"/>
    <col width="6.6640625" customWidth="1" min="10249" max="10249"/>
    <col width="3.44140625" customWidth="1" min="10250" max="10262"/>
    <col width="4.6640625" customWidth="1" min="10263" max="10263"/>
    <col width="5.33203125" customWidth="1" min="10264" max="10264"/>
    <col width="3.44140625" customWidth="1" min="10265" max="10265"/>
    <col width="5.109375" customWidth="1" min="10266" max="10266"/>
    <col width="3.44140625" customWidth="1" min="10267" max="10422"/>
    <col width="3.44140625" customWidth="1" min="10497" max="10504"/>
    <col width="6.6640625" customWidth="1" min="10505" max="10505"/>
    <col width="3.44140625" customWidth="1" min="10506" max="10518"/>
    <col width="4.6640625" customWidth="1" min="10519" max="10519"/>
    <col width="5.33203125" customWidth="1" min="10520" max="10520"/>
    <col width="3.44140625" customWidth="1" min="10521" max="10521"/>
    <col width="5.109375" customWidth="1" min="10522" max="10522"/>
    <col width="3.44140625" customWidth="1" min="10523" max="10678"/>
    <col width="3.44140625" customWidth="1" min="10753" max="10760"/>
    <col width="6.6640625" customWidth="1" min="10761" max="10761"/>
    <col width="3.44140625" customWidth="1" min="10762" max="10774"/>
    <col width="4.6640625" customWidth="1" min="10775" max="10775"/>
    <col width="5.33203125" customWidth="1" min="10776" max="10776"/>
    <col width="3.44140625" customWidth="1" min="10777" max="10777"/>
    <col width="5.109375" customWidth="1" min="10778" max="10778"/>
    <col width="3.44140625" customWidth="1" min="10779" max="10934"/>
    <col width="3.44140625" customWidth="1" min="11009" max="11016"/>
    <col width="6.6640625" customWidth="1" min="11017" max="11017"/>
    <col width="3.44140625" customWidth="1" min="11018" max="11030"/>
    <col width="4.6640625" customWidth="1" min="11031" max="11031"/>
    <col width="5.33203125" customWidth="1" min="11032" max="11032"/>
    <col width="3.44140625" customWidth="1" min="11033" max="11033"/>
    <col width="5.109375" customWidth="1" min="11034" max="11034"/>
    <col width="3.44140625" customWidth="1" min="11035" max="11190"/>
    <col width="3.44140625" customWidth="1" min="11265" max="11272"/>
    <col width="6.6640625" customWidth="1" min="11273" max="11273"/>
    <col width="3.44140625" customWidth="1" min="11274" max="11286"/>
    <col width="4.6640625" customWidth="1" min="11287" max="11287"/>
    <col width="5.33203125" customWidth="1" min="11288" max="11288"/>
    <col width="3.44140625" customWidth="1" min="11289" max="11289"/>
    <col width="5.109375" customWidth="1" min="11290" max="11290"/>
    <col width="3.44140625" customWidth="1" min="11291" max="11446"/>
    <col width="3.44140625" customWidth="1" min="11521" max="11528"/>
    <col width="6.6640625" customWidth="1" min="11529" max="11529"/>
    <col width="3.44140625" customWidth="1" min="11530" max="11542"/>
    <col width="4.6640625" customWidth="1" min="11543" max="11543"/>
    <col width="5.33203125" customWidth="1" min="11544" max="11544"/>
    <col width="3.44140625" customWidth="1" min="11545" max="11545"/>
    <col width="5.109375" customWidth="1" min="11546" max="11546"/>
    <col width="3.44140625" customWidth="1" min="11547" max="11702"/>
    <col width="3.44140625" customWidth="1" min="11777" max="11784"/>
    <col width="6.6640625" customWidth="1" min="11785" max="11785"/>
    <col width="3.44140625" customWidth="1" min="11786" max="11798"/>
    <col width="4.6640625" customWidth="1" min="11799" max="11799"/>
    <col width="5.33203125" customWidth="1" min="11800" max="11800"/>
    <col width="3.44140625" customWidth="1" min="11801" max="11801"/>
    <col width="5.109375" customWidth="1" min="11802" max="11802"/>
    <col width="3.44140625" customWidth="1" min="11803" max="11958"/>
    <col width="3.44140625" customWidth="1" min="12033" max="12040"/>
    <col width="6.6640625" customWidth="1" min="12041" max="12041"/>
    <col width="3.44140625" customWidth="1" min="12042" max="12054"/>
    <col width="4.6640625" customWidth="1" min="12055" max="12055"/>
    <col width="5.33203125" customWidth="1" min="12056" max="12056"/>
    <col width="3.44140625" customWidth="1" min="12057" max="12057"/>
    <col width="5.109375" customWidth="1" min="12058" max="12058"/>
    <col width="3.44140625" customWidth="1" min="12059" max="12214"/>
    <col width="3.44140625" customWidth="1" min="12289" max="12296"/>
    <col width="6.6640625" customWidth="1" min="12297" max="12297"/>
    <col width="3.44140625" customWidth="1" min="12298" max="12310"/>
    <col width="4.6640625" customWidth="1" min="12311" max="12311"/>
    <col width="5.33203125" customWidth="1" min="12312" max="12312"/>
    <col width="3.44140625" customWidth="1" min="12313" max="12313"/>
    <col width="5.109375" customWidth="1" min="12314" max="12314"/>
    <col width="3.44140625" customWidth="1" min="12315" max="12470"/>
    <col width="3.44140625" customWidth="1" min="12545" max="12552"/>
    <col width="6.6640625" customWidth="1" min="12553" max="12553"/>
    <col width="3.44140625" customWidth="1" min="12554" max="12566"/>
    <col width="4.6640625" customWidth="1" min="12567" max="12567"/>
    <col width="5.33203125" customWidth="1" min="12568" max="12568"/>
    <col width="3.44140625" customWidth="1" min="12569" max="12569"/>
    <col width="5.109375" customWidth="1" min="12570" max="12570"/>
    <col width="3.44140625" customWidth="1" min="12571" max="12726"/>
    <col width="3.44140625" customWidth="1" min="12801" max="12808"/>
    <col width="6.6640625" customWidth="1" min="12809" max="12809"/>
    <col width="3.44140625" customWidth="1" min="12810" max="12822"/>
    <col width="4.6640625" customWidth="1" min="12823" max="12823"/>
    <col width="5.33203125" customWidth="1" min="12824" max="12824"/>
    <col width="3.44140625" customWidth="1" min="12825" max="12825"/>
    <col width="5.109375" customWidth="1" min="12826" max="12826"/>
    <col width="3.44140625" customWidth="1" min="12827" max="12982"/>
    <col width="3.44140625" customWidth="1" min="13057" max="13064"/>
    <col width="6.6640625" customWidth="1" min="13065" max="13065"/>
    <col width="3.44140625" customWidth="1" min="13066" max="13078"/>
    <col width="4.6640625" customWidth="1" min="13079" max="13079"/>
    <col width="5.33203125" customWidth="1" min="13080" max="13080"/>
    <col width="3.44140625" customWidth="1" min="13081" max="13081"/>
    <col width="5.109375" customWidth="1" min="13082" max="13082"/>
    <col width="3.44140625" customWidth="1" min="13083" max="13238"/>
    <col width="3.44140625" customWidth="1" min="13313" max="13320"/>
    <col width="6.6640625" customWidth="1" min="13321" max="13321"/>
    <col width="3.44140625" customWidth="1" min="13322" max="13334"/>
    <col width="4.6640625" customWidth="1" min="13335" max="13335"/>
    <col width="5.33203125" customWidth="1" min="13336" max="13336"/>
    <col width="3.44140625" customWidth="1" min="13337" max="13337"/>
    <col width="5.109375" customWidth="1" min="13338" max="13338"/>
    <col width="3.44140625" customWidth="1" min="13339" max="13494"/>
    <col width="3.44140625" customWidth="1" min="13569" max="13576"/>
    <col width="6.6640625" customWidth="1" min="13577" max="13577"/>
    <col width="3.44140625" customWidth="1" min="13578" max="13590"/>
    <col width="4.6640625" customWidth="1" min="13591" max="13591"/>
    <col width="5.33203125" customWidth="1" min="13592" max="13592"/>
    <col width="3.44140625" customWidth="1" min="13593" max="13593"/>
    <col width="5.109375" customWidth="1" min="13594" max="13594"/>
    <col width="3.44140625" customWidth="1" min="13595" max="13750"/>
    <col width="3.44140625" customWidth="1" min="13825" max="13832"/>
    <col width="6.6640625" customWidth="1" min="13833" max="13833"/>
    <col width="3.44140625" customWidth="1" min="13834" max="13846"/>
    <col width="4.6640625" customWidth="1" min="13847" max="13847"/>
    <col width="5.33203125" customWidth="1" min="13848" max="13848"/>
    <col width="3.44140625" customWidth="1" min="13849" max="13849"/>
    <col width="5.109375" customWidth="1" min="13850" max="13850"/>
    <col width="3.44140625" customWidth="1" min="13851" max="14006"/>
    <col width="3.44140625" customWidth="1" min="14081" max="14088"/>
    <col width="6.6640625" customWidth="1" min="14089" max="14089"/>
    <col width="3.44140625" customWidth="1" min="14090" max="14102"/>
    <col width="4.6640625" customWidth="1" min="14103" max="14103"/>
    <col width="5.33203125" customWidth="1" min="14104" max="14104"/>
    <col width="3.44140625" customWidth="1" min="14105" max="14105"/>
    <col width="5.109375" customWidth="1" min="14106" max="14106"/>
    <col width="3.44140625" customWidth="1" min="14107" max="14262"/>
    <col width="3.44140625" customWidth="1" min="14337" max="14344"/>
    <col width="6.6640625" customWidth="1" min="14345" max="14345"/>
    <col width="3.44140625" customWidth="1" min="14346" max="14358"/>
    <col width="4.6640625" customWidth="1" min="14359" max="14359"/>
    <col width="5.33203125" customWidth="1" min="14360" max="14360"/>
    <col width="3.44140625" customWidth="1" min="14361" max="14361"/>
    <col width="5.109375" customWidth="1" min="14362" max="14362"/>
    <col width="3.44140625" customWidth="1" min="14363" max="14518"/>
    <col width="3.44140625" customWidth="1" min="14593" max="14600"/>
    <col width="6.6640625" customWidth="1" min="14601" max="14601"/>
    <col width="3.44140625" customWidth="1" min="14602" max="14614"/>
    <col width="4.6640625" customWidth="1" min="14615" max="14615"/>
    <col width="5.33203125" customWidth="1" min="14616" max="14616"/>
    <col width="3.44140625" customWidth="1" min="14617" max="14617"/>
    <col width="5.109375" customWidth="1" min="14618" max="14618"/>
    <col width="3.44140625" customWidth="1" min="14619" max="14774"/>
    <col width="3.44140625" customWidth="1" min="14849" max="14856"/>
    <col width="6.6640625" customWidth="1" min="14857" max="14857"/>
    <col width="3.44140625" customWidth="1" min="14858" max="14870"/>
    <col width="4.6640625" customWidth="1" min="14871" max="14871"/>
    <col width="5.33203125" customWidth="1" min="14872" max="14872"/>
    <col width="3.44140625" customWidth="1" min="14873" max="14873"/>
    <col width="5.109375" customWidth="1" min="14874" max="14874"/>
    <col width="3.44140625" customWidth="1" min="14875" max="15030"/>
    <col width="3.44140625" customWidth="1" min="15105" max="15112"/>
    <col width="6.6640625" customWidth="1" min="15113" max="15113"/>
    <col width="3.44140625" customWidth="1" min="15114" max="15126"/>
    <col width="4.6640625" customWidth="1" min="15127" max="15127"/>
    <col width="5.33203125" customWidth="1" min="15128" max="15128"/>
    <col width="3.44140625" customWidth="1" min="15129" max="15129"/>
    <col width="5.109375" customWidth="1" min="15130" max="15130"/>
    <col width="3.44140625" customWidth="1" min="15131" max="15286"/>
    <col width="3.44140625" customWidth="1" min="15361" max="15368"/>
    <col width="6.6640625" customWidth="1" min="15369" max="15369"/>
    <col width="3.44140625" customWidth="1" min="15370" max="15382"/>
    <col width="4.6640625" customWidth="1" min="15383" max="15383"/>
    <col width="5.33203125" customWidth="1" min="15384" max="15384"/>
    <col width="3.44140625" customWidth="1" min="15385" max="15385"/>
    <col width="5.109375" customWidth="1" min="15386" max="15386"/>
    <col width="3.44140625" customWidth="1" min="15387" max="15542"/>
    <col width="3.44140625" customWidth="1" min="15617" max="15624"/>
    <col width="6.6640625" customWidth="1" min="15625" max="15625"/>
    <col width="3.44140625" customWidth="1" min="15626" max="15638"/>
    <col width="4.6640625" customWidth="1" min="15639" max="15639"/>
    <col width="5.33203125" customWidth="1" min="15640" max="15640"/>
    <col width="3.44140625" customWidth="1" min="15641" max="15641"/>
    <col width="5.109375" customWidth="1" min="15642" max="15642"/>
    <col width="3.44140625" customWidth="1" min="15643" max="15798"/>
    <col width="3.44140625" customWidth="1" min="15873" max="15880"/>
    <col width="6.6640625" customWidth="1" min="15881" max="15881"/>
    <col width="3.44140625" customWidth="1" min="15882" max="15894"/>
    <col width="4.6640625" customWidth="1" min="15895" max="15895"/>
    <col width="5.33203125" customWidth="1" min="15896" max="15896"/>
    <col width="3.44140625" customWidth="1" min="15897" max="15897"/>
    <col width="5.109375" customWidth="1" min="15898" max="15898"/>
    <col width="3.44140625" customWidth="1" min="15899" max="16054"/>
    <col width="3.44140625" customWidth="1" min="16129" max="16136"/>
    <col width="6.6640625" customWidth="1" min="16137" max="16137"/>
    <col width="3.44140625" customWidth="1" min="16138" max="16150"/>
    <col width="4.6640625" customWidth="1" min="16151" max="16151"/>
    <col width="5.33203125" customWidth="1" min="16152" max="16152"/>
    <col width="3.44140625" customWidth="1" min="16153" max="16153"/>
    <col width="5.109375" customWidth="1" min="16154" max="16154"/>
    <col width="3.44140625" customWidth="1" min="16155" max="16310"/>
  </cols>
  <sheetData>
    <row r="1" ht="18" customHeight="1"/>
    <row r="2" ht="18" customHeight="1"/>
    <row r="3" ht="18" customHeight="1">
      <c r="Z3" s="195" t="n"/>
    </row>
    <row r="4" ht="18" customHeight="1">
      <c r="W4" s="196" t="n"/>
      <c r="X4" s="195" t="n"/>
      <c r="Y4" s="195" t="n"/>
      <c r="Z4" s="195" t="n"/>
    </row>
    <row r="5" ht="18" customHeight="1">
      <c r="W5" s="196" t="n"/>
      <c r="X5" s="195" t="n"/>
      <c r="Y5" s="195" t="n"/>
    </row>
    <row r="6" ht="18" customHeight="1">
      <c r="A6" s="990" t="inlineStr">
        <is>
          <t>LETTER OF APPARENT DISCREPANCY</t>
        </is>
      </c>
    </row>
    <row r="7" ht="18" customHeight="1"/>
    <row r="8" ht="18" customHeight="1" thickBot="1">
      <c r="A8" t="inlineStr">
        <is>
          <t>VESSEL</t>
        </is>
      </c>
      <c r="E8" t="inlineStr">
        <is>
          <t>:</t>
        </is>
      </c>
      <c r="F8" s="991">
        <f>Draft!AB1</f>
        <v/>
      </c>
      <c r="G8" s="197" t="n"/>
      <c r="H8" s="197" t="n"/>
      <c r="I8" s="197" t="n"/>
      <c r="J8" s="197" t="n"/>
      <c r="K8" s="197" t="n"/>
      <c r="L8" s="197" t="n"/>
      <c r="M8" s="197" t="n"/>
      <c r="N8" s="197" t="n"/>
      <c r="O8" s="197" t="n"/>
      <c r="P8" s="197" t="n"/>
      <c r="Q8" s="197" t="n"/>
      <c r="R8" s="197" t="n"/>
      <c r="S8" s="197" t="n"/>
      <c r="T8" s="197" t="n"/>
      <c r="U8" s="197" t="n"/>
      <c r="W8" s="195" t="n"/>
    </row>
    <row r="9" ht="18" customHeight="1" thickBot="1">
      <c r="A9" t="inlineStr">
        <is>
          <t>DATE</t>
        </is>
      </c>
      <c r="E9" t="inlineStr">
        <is>
          <t>:</t>
        </is>
      </c>
      <c r="F9" s="1287">
        <f>Draft!AS2</f>
        <v/>
      </c>
      <c r="G9" s="198" t="n"/>
      <c r="H9" s="198" t="n"/>
      <c r="I9" s="198" t="n"/>
      <c r="J9" s="198" t="n"/>
      <c r="K9" s="198" t="n"/>
      <c r="L9" s="198" t="n"/>
      <c r="M9" s="198" t="n"/>
      <c r="N9" s="198" t="n"/>
      <c r="O9" s="198" t="n"/>
      <c r="P9" s="198" t="n"/>
      <c r="Q9" s="198" t="n"/>
      <c r="R9" s="198" t="n"/>
      <c r="S9" s="198" t="n"/>
      <c r="T9" s="198" t="n"/>
      <c r="U9" s="198" t="n"/>
      <c r="W9" s="195" t="n"/>
    </row>
    <row r="10" ht="18" customHeight="1" thickBot="1">
      <c r="A10" t="inlineStr">
        <is>
          <t>PORT</t>
        </is>
      </c>
      <c r="E10" t="inlineStr">
        <is>
          <t>:</t>
        </is>
      </c>
      <c r="F10" s="988" t="inlineStr">
        <is>
          <t>PUERTO MOIN - COSTA RICA</t>
        </is>
      </c>
      <c r="G10" s="198" t="n"/>
      <c r="H10" s="198" t="n"/>
      <c r="I10" s="198" t="n"/>
      <c r="J10" s="198" t="n"/>
      <c r="K10" s="198" t="n"/>
      <c r="L10" s="198" t="n"/>
      <c r="M10" s="198" t="n"/>
      <c r="N10" s="198" t="n"/>
      <c r="O10" s="198" t="n"/>
      <c r="P10" s="198" t="n"/>
      <c r="Q10" s="198" t="n"/>
      <c r="R10" s="198" t="n"/>
      <c r="S10" s="198" t="n"/>
      <c r="T10" s="198" t="n"/>
      <c r="U10" s="198" t="n"/>
      <c r="W10" s="195" t="n"/>
    </row>
    <row r="11" ht="18" customHeight="1" thickBot="1">
      <c r="A11" t="inlineStr">
        <is>
          <t>BERTH</t>
        </is>
      </c>
      <c r="E11" t="inlineStr">
        <is>
          <t>:</t>
        </is>
      </c>
      <c r="F11" s="988" t="inlineStr">
        <is>
          <t>5/3</t>
        </is>
      </c>
      <c r="G11" s="198" t="n"/>
      <c r="H11" s="198" t="n"/>
      <c r="I11" s="198" t="n"/>
      <c r="J11" s="198" t="n"/>
      <c r="K11" s="198" t="n"/>
      <c r="L11" s="198" t="n"/>
      <c r="M11" s="198" t="n"/>
      <c r="N11" s="198" t="n"/>
      <c r="O11" s="198" t="n"/>
      <c r="P11" s="198" t="n"/>
      <c r="Q11" s="198" t="n"/>
      <c r="R11" s="198" t="n"/>
      <c r="S11" s="198" t="n"/>
      <c r="T11" s="198" t="n"/>
      <c r="U11" s="198" t="n"/>
      <c r="W11" s="195" t="n"/>
    </row>
    <row r="12" ht="18" customHeight="1" thickBot="1">
      <c r="A12" s="183" t="inlineStr">
        <is>
          <t>PRODUCT</t>
        </is>
      </c>
      <c r="E12" t="inlineStr">
        <is>
          <t>:</t>
        </is>
      </c>
      <c r="F12" s="994">
        <f>'Note of Protest SHORE SCALE '!A23</f>
        <v/>
      </c>
      <c r="G12" s="198" t="n"/>
      <c r="H12" s="198" t="n"/>
      <c r="I12" s="198" t="n"/>
      <c r="J12" s="198" t="n"/>
      <c r="K12" s="198" t="n"/>
      <c r="L12" s="198" t="n"/>
      <c r="M12" s="198" t="n"/>
      <c r="N12" s="198" t="n"/>
      <c r="O12" s="198" t="n"/>
      <c r="P12" s="198" t="n"/>
      <c r="Q12" s="198" t="n"/>
      <c r="R12" s="198" t="n"/>
      <c r="S12" s="198" t="n"/>
      <c r="T12" s="198" t="n"/>
      <c r="U12" s="198" t="n"/>
      <c r="W12" s="195" t="n"/>
    </row>
    <row r="13" ht="18" customHeight="1" thickBot="1">
      <c r="A13" t="inlineStr">
        <is>
          <t>PRINCIPALS</t>
        </is>
      </c>
      <c r="E13" t="inlineStr">
        <is>
          <t>:</t>
        </is>
      </c>
      <c r="F13" s="993">
        <f>'Note of Protest SHORE SCALE '!F13</f>
        <v/>
      </c>
      <c r="G13" s="198" t="n"/>
      <c r="H13" s="198" t="n"/>
      <c r="I13" s="198" t="n"/>
      <c r="J13" s="198" t="n"/>
      <c r="K13" s="198" t="n"/>
      <c r="L13" s="198" t="n"/>
      <c r="M13" s="198" t="n"/>
      <c r="N13" s="198" t="n"/>
      <c r="O13" s="198" t="n"/>
      <c r="P13" s="198" t="n"/>
      <c r="Q13" s="198" t="n"/>
      <c r="R13" s="198" t="n"/>
      <c r="S13" s="198" t="n"/>
      <c r="T13" s="198" t="n"/>
      <c r="U13" s="198" t="n"/>
      <c r="W13" s="195" t="n"/>
    </row>
    <row r="14" ht="18" customHeight="1"/>
    <row r="15" ht="18" customHeight="1">
      <c r="A15" s="199" t="inlineStr">
        <is>
          <t>TO: FERTICA S.A.</t>
        </is>
      </c>
      <c r="B15" s="253">
        <f>'Note of Protest SHORE SCALE '!B15</f>
        <v/>
      </c>
      <c r="D15" s="199" t="n"/>
      <c r="F15" s="195" t="n"/>
      <c r="G15" s="195" t="n"/>
      <c r="H15" s="195" t="n"/>
      <c r="I15" s="195" t="n"/>
      <c r="J15" s="195" t="n"/>
      <c r="K15" s="195" t="n"/>
      <c r="L15" s="195" t="n"/>
      <c r="M15" s="195" t="n"/>
      <c r="N15" s="195" t="n"/>
      <c r="O15" s="195" t="n"/>
      <c r="P15" s="195" t="n"/>
      <c r="Q15" s="195" t="n"/>
      <c r="R15" s="195" t="n"/>
      <c r="S15" s="195" t="n"/>
    </row>
    <row r="16" ht="18" customHeight="1">
      <c r="B16" s="200" t="n"/>
      <c r="F16" s="195" t="n"/>
      <c r="G16" s="195" t="n"/>
      <c r="H16" s="195" t="n"/>
      <c r="I16" s="195" t="n"/>
      <c r="J16" s="195" t="n"/>
      <c r="K16" s="195" t="n"/>
      <c r="L16" s="195" t="n"/>
      <c r="M16" s="195" t="n"/>
      <c r="N16" s="195" t="n"/>
      <c r="O16" s="195" t="n"/>
      <c r="P16" s="195" t="n"/>
      <c r="Q16" s="195" t="n"/>
      <c r="R16" s="195" t="n"/>
      <c r="S16" s="195" t="n"/>
    </row>
    <row r="17" ht="18" customHeight="1"/>
    <row r="18" ht="18" customHeight="1">
      <c r="A18" t="inlineStr">
        <is>
          <t>Mrss:</t>
        </is>
      </c>
    </row>
    <row r="19" ht="18" customHeight="1">
      <c r="A19" t="inlineStr">
        <is>
          <t xml:space="preserve">We have been appointed as surveyors on the above named vessel by our principals and acting for and on their </t>
        </is>
      </c>
    </row>
    <row r="20" ht="18" customHeight="1">
      <c r="A20" s="199" t="inlineStr">
        <is>
          <t>behalf, we do hereby note of protest with you concerning:</t>
        </is>
      </c>
    </row>
    <row r="21" ht="18" customHeight="1">
      <c r="A21" s="199" t="n"/>
    </row>
    <row r="22" ht="18" customHeight="1" thickBot="1">
      <c r="T22" s="1288" t="n"/>
      <c r="U22" s="1288" t="n"/>
      <c r="V22" s="1288" t="n"/>
      <c r="W22" s="1288" t="n"/>
      <c r="X22" s="1288" t="n"/>
      <c r="Y22" s="1288" t="n"/>
      <c r="Z22" s="1289" t="n"/>
    </row>
    <row r="23" ht="18" customHeight="1" thickBot="1">
      <c r="A23" s="1290">
        <f>Draft!AB2</f>
        <v/>
      </c>
      <c r="B23" s="198" t="n"/>
      <c r="C23" s="198" t="n"/>
      <c r="D23" s="198" t="n"/>
      <c r="E23" s="198" t="n"/>
      <c r="F23" s="198" t="n"/>
      <c r="G23" s="198" t="n"/>
      <c r="H23" s="198" t="n"/>
      <c r="I23" s="198" t="n"/>
      <c r="J23" s="198" t="n"/>
      <c r="K23" s="198" t="n"/>
      <c r="L23" s="198" t="n"/>
      <c r="M23" s="198" t="n"/>
      <c r="N23" s="198" t="n"/>
      <c r="O23" s="198" t="n"/>
      <c r="P23" s="198" t="n"/>
      <c r="Q23" s="198" t="n"/>
      <c r="R23" s="198" t="n"/>
      <c r="S23" s="1139" t="n"/>
      <c r="AK23" s="448" t="n"/>
    </row>
    <row r="24" ht="18" customHeight="1">
      <c r="A24" s="35" t="inlineStr">
        <is>
          <t>BILL OF LADING</t>
        </is>
      </c>
      <c r="B24" s="203" t="n"/>
      <c r="C24" s="203" t="n"/>
      <c r="D24" s="203" t="n"/>
      <c r="E24" s="203" t="n"/>
      <c r="F24" s="203" t="n"/>
      <c r="G24" s="203" t="n"/>
      <c r="H24" s="203" t="n"/>
      <c r="I24" s="203" t="n"/>
      <c r="J24" s="983">
        <f>Draft!AG35</f>
        <v/>
      </c>
      <c r="K24" s="1047" t="n"/>
      <c r="L24" s="1047" t="n"/>
      <c r="M24" s="1047" t="n"/>
      <c r="N24" s="1047" t="n"/>
      <c r="O24" s="1047" t="n"/>
      <c r="P24" s="1047" t="n"/>
      <c r="Q24" s="1047" t="n"/>
      <c r="R24" s="1047" t="n"/>
      <c r="S24" s="204" t="inlineStr">
        <is>
          <t>MT</t>
        </is>
      </c>
      <c r="AK24" s="985" t="n"/>
      <c r="AL24" s="187" t="n"/>
      <c r="AM24" s="187" t="n"/>
      <c r="AN24" s="187" t="n"/>
      <c r="AO24" s="187" t="n"/>
      <c r="AP24" s="187" t="n"/>
      <c r="AQ24" s="187" t="n"/>
      <c r="AR24" s="187" t="n"/>
    </row>
    <row r="25" ht="18" customHeight="1">
      <c r="A25" s="35" t="inlineStr">
        <is>
          <t>CARGO DISCHARGED BY DRAFT SURVEY</t>
        </is>
      </c>
      <c r="B25" s="518" t="n"/>
      <c r="C25" s="518" t="n"/>
      <c r="D25" s="518" t="n"/>
      <c r="E25" s="518" t="n"/>
      <c r="F25" s="518" t="n"/>
      <c r="G25" s="518" t="n"/>
      <c r="H25" s="518" t="n"/>
      <c r="I25" s="518" t="n"/>
      <c r="J25" s="986">
        <f>Draft!AG34</f>
        <v/>
      </c>
      <c r="K25" s="203" t="n"/>
      <c r="L25" s="203" t="n"/>
      <c r="M25" s="203" t="n"/>
      <c r="N25" s="203" t="n"/>
      <c r="O25" s="203" t="n"/>
      <c r="P25" s="203" t="n"/>
      <c r="Q25" s="203" t="n"/>
      <c r="R25" s="203" t="n"/>
      <c r="S25" s="204" t="inlineStr">
        <is>
          <t>MT</t>
        </is>
      </c>
      <c r="AK25" s="985" t="n"/>
      <c r="AL25" s="187" t="n"/>
      <c r="AM25" s="187" t="n"/>
      <c r="AN25" s="187" t="n"/>
      <c r="AO25" s="187" t="n"/>
      <c r="AP25" s="187" t="n"/>
      <c r="AQ25" s="187" t="n"/>
      <c r="AR25" s="187" t="n"/>
    </row>
    <row r="26" ht="18" customHeight="1">
      <c r="A26" s="540" t="inlineStr">
        <is>
          <t xml:space="preserve">DIFFERENCE </t>
        </is>
      </c>
      <c r="B26" s="205" t="n"/>
      <c r="C26" s="205" t="n"/>
      <c r="D26" s="205" t="n"/>
      <c r="E26" s="205" t="n"/>
      <c r="F26" s="205" t="n"/>
      <c r="G26" s="205" t="n"/>
      <c r="H26" s="205" t="n"/>
      <c r="I26" s="205" t="n"/>
      <c r="J26" s="968">
        <f>+J25-J24</f>
        <v/>
      </c>
      <c r="K26" s="203" t="n"/>
      <c r="L26" s="203" t="n"/>
      <c r="M26" s="203" t="n"/>
      <c r="N26" s="203" t="n"/>
      <c r="O26" s="203" t="n"/>
      <c r="P26" s="203" t="n"/>
      <c r="Q26" s="203" t="n"/>
      <c r="R26" s="203" t="n"/>
      <c r="S26" s="206" t="inlineStr">
        <is>
          <t>MT</t>
        </is>
      </c>
    </row>
    <row r="27" ht="18" customHeight="1">
      <c r="A27" s="35" t="inlineStr">
        <is>
          <t>PERCENTAGE %</t>
        </is>
      </c>
      <c r="B27" s="205" t="n"/>
      <c r="C27" s="205" t="n"/>
      <c r="D27" s="205" t="n"/>
      <c r="E27" s="205" t="n"/>
      <c r="F27" s="205" t="n"/>
      <c r="G27" s="205" t="n"/>
      <c r="H27" s="205" t="n"/>
      <c r="I27" s="205" t="n"/>
      <c r="J27" s="970">
        <f>+J26/J24</f>
        <v/>
      </c>
      <c r="K27" s="203" t="n"/>
      <c r="L27" s="203" t="n"/>
      <c r="M27" s="203" t="n"/>
      <c r="N27" s="203" t="n"/>
      <c r="O27" s="203" t="n"/>
      <c r="P27" s="203" t="n"/>
      <c r="Q27" s="203" t="n"/>
      <c r="R27" s="203" t="n"/>
      <c r="S27" s="206" t="inlineStr">
        <is>
          <t>MT</t>
        </is>
      </c>
      <c r="AK27" s="972" t="n"/>
      <c r="AL27" s="187" t="n"/>
      <c r="AM27" s="187" t="n"/>
      <c r="AN27" s="187" t="n"/>
      <c r="AO27" s="187" t="n"/>
      <c r="AP27" s="187" t="n"/>
      <c r="AQ27" s="187" t="n"/>
      <c r="AR27" s="187" t="n"/>
    </row>
    <row r="28" ht="18" customFormat="1" customHeight="1" s="197" thickBot="1">
      <c r="A28" s="554" t="n"/>
      <c r="B28" s="24" t="n"/>
      <c r="C28" s="24" t="n"/>
      <c r="D28" s="24" t="n"/>
      <c r="E28" s="24" t="n"/>
      <c r="F28" s="24" t="n"/>
      <c r="G28" s="24" t="n"/>
      <c r="H28" s="24" t="n"/>
      <c r="I28" s="24" t="n"/>
      <c r="J28" s="973" t="n"/>
      <c r="S28" s="199" t="n"/>
    </row>
    <row r="29" ht="18" customHeight="1">
      <c r="A29" s="24" t="n"/>
      <c r="B29" s="24" t="n"/>
      <c r="C29" s="24" t="n"/>
      <c r="D29" s="24" t="n"/>
      <c r="E29" s="24" t="n"/>
      <c r="F29" s="24" t="n"/>
      <c r="G29" s="24" t="n"/>
      <c r="H29" s="24" t="n"/>
      <c r="I29" s="24" t="n"/>
      <c r="J29" s="975" t="n"/>
      <c r="S29" s="199" t="n"/>
    </row>
    <row r="30" ht="18" customHeight="1">
      <c r="A30" s="26" t="inlineStr">
        <is>
          <t>We hereby reserve the right to this matter at letter of protest date and to take such actions as may be deemed necessary.</t>
        </is>
      </c>
    </row>
    <row r="31" ht="18" customHeight="1"/>
    <row r="32" ht="18" customHeight="1">
      <c r="A32" t="inlineStr">
        <is>
          <t>Your´s faithfully</t>
        </is>
      </c>
      <c r="R32" s="24" t="inlineStr">
        <is>
          <t>RECEIVED by (Signature / Stamp)</t>
        </is>
      </c>
    </row>
    <row r="33" ht="18" customHeight="1"/>
    <row r="34" ht="18" customHeight="1">
      <c r="R34" s="24" t="n"/>
    </row>
    <row r="35" ht="18" customHeight="1" thickBot="1">
      <c r="A35" s="197" t="n"/>
      <c r="B35" s="197" t="n"/>
      <c r="C35" s="197" t="n"/>
      <c r="D35" s="197" t="n"/>
      <c r="E35" s="197" t="n"/>
      <c r="F35" s="197" t="n"/>
      <c r="G35" s="197" t="n"/>
      <c r="H35" s="197" t="n"/>
      <c r="I35" s="197" t="n"/>
      <c r="J35" s="197" t="n"/>
      <c r="K35" s="197" t="n"/>
      <c r="L35" s="197" t="n"/>
      <c r="M35" s="197" t="n"/>
      <c r="Q35" s="197" t="n"/>
      <c r="R35" s="995" t="n"/>
      <c r="S35" s="197" t="n"/>
      <c r="T35" s="197" t="n"/>
      <c r="U35" s="197" t="n"/>
      <c r="V35" s="197" t="n"/>
      <c r="W35" s="197" t="n"/>
      <c r="X35" s="197" t="n"/>
      <c r="Y35" s="197" t="n"/>
      <c r="Z35" s="197" t="n"/>
    </row>
    <row r="36" ht="18" customHeight="1">
      <c r="A36" s="976" t="inlineStr">
        <is>
          <t>MSL Surveyor</t>
        </is>
      </c>
      <c r="R36" s="977" t="inlineStr">
        <is>
          <t>Cargo Receivers Representative</t>
        </is>
      </c>
    </row>
    <row r="37" ht="18" customHeight="1"/>
    <row r="38" ht="18" customHeight="1"/>
    <row r="39" ht="18" customHeight="1" thickBot="1">
      <c r="A39" s="208" t="n"/>
      <c r="B39" s="288" t="n"/>
      <c r="C39" s="288" t="n"/>
      <c r="D39" s="288" t="n"/>
      <c r="E39" s="288" t="n"/>
      <c r="F39" s="288" t="n"/>
      <c r="G39" s="288" t="n"/>
      <c r="H39" s="288" t="n"/>
      <c r="I39" s="288" t="n"/>
      <c r="J39" s="288" t="n"/>
      <c r="K39" s="288" t="n"/>
      <c r="L39" s="288" t="n"/>
      <c r="M39" s="288" t="n"/>
      <c r="Q39" s="197" t="n"/>
      <c r="R39" s="208" t="n"/>
      <c r="S39" s="208" t="n"/>
      <c r="T39" s="208" t="n"/>
      <c r="U39" s="208" t="n"/>
      <c r="V39" s="208" t="n"/>
      <c r="W39" s="208" t="n"/>
      <c r="X39" s="208" t="n"/>
      <c r="Y39" s="208" t="n"/>
      <c r="Z39" s="208" t="n"/>
    </row>
    <row r="40" ht="18" customHeight="1">
      <c r="A40" s="978" t="inlineStr">
        <is>
          <t>Agent - Marinsa</t>
        </is>
      </c>
      <c r="R40" s="977" t="inlineStr">
        <is>
          <t>Vessel Representative</t>
        </is>
      </c>
    </row>
    <row r="41" ht="18" customHeight="1"/>
    <row r="42" ht="18" customHeight="1"/>
    <row r="43" ht="18" customHeight="1"/>
    <row r="44" ht="18" customHeight="1">
      <c r="A44" s="195" t="n"/>
    </row>
    <row r="45" ht="18" customHeight="1">
      <c r="N45" s="979" t="n"/>
      <c r="W45" s="979" t="n"/>
    </row>
    <row r="46" ht="18" customHeight="1">
      <c r="A46" s="183" t="n"/>
      <c r="W46" s="195" t="n"/>
      <c r="X46" s="195" t="n"/>
      <c r="Y46" s="195" t="n"/>
    </row>
    <row r="47" ht="18" customHeight="1">
      <c r="A47" s="183" t="n"/>
      <c r="W47" s="195" t="n"/>
      <c r="X47" s="195" t="n"/>
      <c r="Y47" s="195" t="n"/>
    </row>
    <row r="48" ht="18" customHeight="1">
      <c r="A48" s="183" t="n"/>
      <c r="W48" s="967" t="n"/>
      <c r="Y48" s="195" t="n"/>
    </row>
    <row r="49" ht="18" customHeight="1">
      <c r="A49" s="183" t="n"/>
      <c r="W49" s="967" t="n"/>
      <c r="Y49" s="195" t="n"/>
    </row>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sheetData>
  <mergeCells count="27">
    <mergeCell ref="W49:X49"/>
    <mergeCell ref="J24:R24"/>
    <mergeCell ref="A23:S23"/>
    <mergeCell ref="F13:U13"/>
    <mergeCell ref="F11:S11"/>
    <mergeCell ref="J27:R27"/>
    <mergeCell ref="R36:Z36"/>
    <mergeCell ref="F10:S10"/>
    <mergeCell ref="J26:R26"/>
    <mergeCell ref="N45:Q45"/>
    <mergeCell ref="J25:R25"/>
    <mergeCell ref="AK25:AR25"/>
    <mergeCell ref="A40:M40"/>
    <mergeCell ref="A6:Z6"/>
    <mergeCell ref="AK24:AR24"/>
    <mergeCell ref="F8:S8"/>
    <mergeCell ref="A36:M36"/>
    <mergeCell ref="R35:Y35"/>
    <mergeCell ref="F12:U12"/>
    <mergeCell ref="W48:X48"/>
    <mergeCell ref="J29:R29"/>
    <mergeCell ref="F9:S9"/>
    <mergeCell ref="J28:R28"/>
    <mergeCell ref="W45:Y45"/>
    <mergeCell ref="AK27:AR27"/>
    <mergeCell ref="R40:Z40"/>
    <mergeCell ref="AK23:AR23"/>
  </mergeCells>
  <pageMargins left="0.7480314960629921" right="0.3937007874015748" top="0.4724409448818898" bottom="0.6299212598425197" header="0" footer="0.2362204724409449"/>
  <pageSetup orientation="portrait" scale="95" horizontalDpi="4294967293"/>
  <headerFooter alignWithMargins="0">
    <oddHeader/>
    <oddFooter>&amp;LMV ANAHITA LETTER OF APPARENT DISCREPANCY</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pabel Peña</dc:creator>
  <dcterms:created xmlns:dcterms="http://purl.org/dc/terms/" xmlns:xsi="http://www.w3.org/2001/XMLSchema-instance" xsi:type="dcterms:W3CDTF">2024-06-05T00:08:00Z</dcterms:created>
  <dcterms:modified xmlns:dcterms="http://purl.org/dc/terms/" xmlns:xsi="http://www.w3.org/2001/XMLSchema-instance" xsi:type="dcterms:W3CDTF">2026-07-31T21:25:51Z</dcterms:modified>
  <cp:lastModifiedBy>Aaron Avila</cp:lastModifiedBy>
  <cp:lastPrinted>2026-03-18T20:18:04Z</cp:lastPrinted>
</cp:coreProperties>
</file>