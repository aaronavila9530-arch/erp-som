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placeholders"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templates\"/>
    </mc:Choice>
  </mc:AlternateContent>
  <xr:revisionPtr revIDLastSave="0" documentId="13_ncr:80000009_{6D73F0A6-0C85-4A91-8025-BC8C567BAC1E}" xr6:coauthVersionLast="47" xr6:coauthVersionMax="47" xr10:uidLastSave="{00000000-0000-0000-0000-000000000000}"/>
  <bookViews>
    <workbookView xWindow="28680" yWindow="-120" windowWidth="29040" windowHeight="15720" xr2:uid="{4415BCC8-AE3E-45DD-8DA0-D66BE456F924}"/>
  </bookViews>
  <sheets>
    <sheet name="CERTIFICATE SAMPLING" sheetId="18" r:id="rId1"/>
    <sheet name="data" sheetId="19" r:id="rId2"/>
  </sheets>
  <externalReferences>
    <externalReference r:id="rId3"/>
  </externalReferences>
  <definedNames>
    <definedName name="_xlnm.Print_Area" localSheetId="0">'CERTIFICATE SAMPLING'!$A$1:$I$49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8" l="1"/>
  <c r="H41" i="18"/>
  <c r="H39" i="18"/>
  <c r="A31" i="18"/>
  <c r="C27" i="18"/>
  <c r="C25" i="18"/>
  <c r="C23" i="18"/>
  <c r="C21" i="18"/>
  <c r="A16" i="18"/>
  <c r="G13" i="18"/>
  <c r="B13" i="18"/>
  <c r="G11" i="18"/>
  <c r="B11" i="18"/>
  <c r="H2" i="18"/>
  <c r="A46" i="18"/>
</calcChain>
</file>

<file path=xl/sharedStrings.xml><?xml version="1.0" encoding="utf-8"?>
<sst xmlns="http://schemas.openxmlformats.org/spreadsheetml/2006/main" count="46" uniqueCount="45">
  <si>
    <t>VESSEL:</t>
  </si>
  <si>
    <t>DATE:</t>
  </si>
  <si>
    <t>CARGO:</t>
  </si>
  <si>
    <t>TIME:</t>
  </si>
  <si>
    <t>Hours</t>
  </si>
  <si>
    <t>COMPOSITE</t>
  </si>
  <si>
    <r>
      <t>MASTER</t>
    </r>
    <r>
      <rPr>
        <sz val="12"/>
        <rFont val="Arial"/>
        <family val="2"/>
      </rPr>
      <t xml:space="preserve"> / CHIEF OFFICER</t>
    </r>
  </si>
  <si>
    <t>SAMPLES CERTIFICATE</t>
  </si>
  <si>
    <t>PLACE:</t>
  </si>
  <si>
    <t>SEALS</t>
  </si>
  <si>
    <t>HOLD 1</t>
  </si>
  <si>
    <t>HOLD 2</t>
  </si>
  <si>
    <t>HOLD 3</t>
  </si>
  <si>
    <t>HOLD 5</t>
  </si>
  <si>
    <t>OBSERVATIONS</t>
  </si>
  <si>
    <t xml:space="preserve"> SURVEYOR</t>
  </si>
  <si>
    <t>id</t>
  </si>
  <si>
    <t>report_no</t>
  </si>
  <si>
    <t>port</t>
  </si>
  <si>
    <t>country</t>
  </si>
  <si>
    <t>customer</t>
  </si>
  <si>
    <t>certificate_no</t>
  </si>
  <si>
    <t>vessel</t>
  </si>
  <si>
    <t>date</t>
  </si>
  <si>
    <t>place</t>
  </si>
  <si>
    <t>cargo</t>
  </si>
  <si>
    <t>holds_inspected</t>
  </si>
  <si>
    <t>hold_1_seal</t>
  </si>
  <si>
    <t>hold_2_seal</t>
  </si>
  <si>
    <t>hold_3_seal</t>
  </si>
  <si>
    <t>hold_4_seal</t>
  </si>
  <si>
    <t>hold_5_seal</t>
  </si>
  <si>
    <t>hold_6_seal</t>
  </si>
  <si>
    <t>hold_7_seal</t>
  </si>
  <si>
    <t>hold_8_seal</t>
  </si>
  <si>
    <t>hold_9_seal</t>
  </si>
  <si>
    <t>hold_10_seal</t>
  </si>
  <si>
    <t>observations</t>
  </si>
  <si>
    <t>closing_date</t>
  </si>
  <si>
    <t>closing_time</t>
  </si>
  <si>
    <t>master</t>
  </si>
  <si>
    <t>created_at</t>
  </si>
  <si>
    <t>updated_at</t>
  </si>
  <si>
    <t>status</t>
  </si>
  <si>
    <t>CERT 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</si>
</sst>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0" formatCode="[$-409]mmmm\ d\,\ yyyy;@"/>
  </numFmts>
  <fonts count="14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u/>
      <sz val="11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u/>
      <sz val="11"/>
      <name val="Arial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1" applyNumberFormat="0" applyFill="0" applyAlignment="0" applyProtection="0"/>
  </cellStyleXfs>
  <cellXfs count="51">
    <xf numFmtId="0" fontId="0" fillId="0" borderId="0" xfId="0"/>
    <xf numFmtId="0" fontId="0" fillId="4" borderId="0" xfId="0" applyFill="1"/>
    <xf numFmtId="0" fontId="8" fillId="4" borderId="0" xfId="0" applyFont="1" applyFill="1"/>
    <xf numFmtId="0" fontId="0" fillId="4" borderId="0" xfId="0" applyFill="1" applyBorder="1"/>
    <xf numFmtId="0" fontId="2" fillId="4" borderId="0" xfId="0" applyFont="1" applyFill="1" applyBorder="1"/>
    <xf numFmtId="49" fontId="2" fillId="4" borderId="0" xfId="0" applyNumberFormat="1" applyFont="1" applyFill="1" applyBorder="1"/>
    <xf numFmtId="0" fontId="3" fillId="4" borderId="0" xfId="0" applyFont="1" applyFill="1"/>
    <xf numFmtId="0" fontId="2" fillId="4" borderId="0" xfId="0" applyFont="1" applyFill="1"/>
    <xf numFmtId="0" fontId="3" fillId="4" borderId="2" xfId="0" applyFont="1" applyFill="1" applyBorder="1"/>
    <xf numFmtId="0" fontId="2" fillId="4" borderId="2" xfId="0" applyFont="1" applyFill="1" applyBorder="1"/>
    <xf numFmtId="0" fontId="2" fillId="4" borderId="0" xfId="0" applyFont="1" applyFill="1" applyAlignment="1">
      <alignment horizontal="right"/>
    </xf>
    <xf numFmtId="200" fontId="2" fillId="4" borderId="0" xfId="0" applyNumberFormat="1" applyFont="1" applyFill="1" applyBorder="1" applyAlignment="1">
      <alignment horizontal="left"/>
    </xf>
    <xf numFmtId="0" fontId="9" fillId="4" borderId="0" xfId="0" applyFont="1" applyFill="1" applyAlignment="1">
      <alignment horizontal="center"/>
    </xf>
    <xf numFmtId="49" fontId="2" fillId="4" borderId="0" xfId="0" applyNumberFormat="1" applyFont="1" applyFill="1" applyBorder="1" applyAlignment="1">
      <alignment horizontal="center"/>
    </xf>
    <xf numFmtId="49" fontId="5" fillId="4" borderId="0" xfId="0" applyNumberFormat="1" applyFont="1" applyFill="1" applyBorder="1" applyAlignment="1">
      <alignment horizontal="left"/>
    </xf>
    <xf numFmtId="49" fontId="2" fillId="4" borderId="0" xfId="0" quotePrefix="1" applyNumberFormat="1" applyFont="1" applyFill="1" applyBorder="1" applyAlignment="1"/>
    <xf numFmtId="49" fontId="2" fillId="4" borderId="0" xfId="0" applyNumberFormat="1" applyFont="1" applyFill="1"/>
    <xf numFmtId="0" fontId="2" fillId="4" borderId="0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200" fontId="0" fillId="4" borderId="0" xfId="0" applyNumberFormat="1" applyFill="1" applyAlignment="1">
      <alignment horizontal="left"/>
    </xf>
    <xf numFmtId="200" fontId="0" fillId="4" borderId="0" xfId="0" applyNumberFormat="1" applyFill="1" applyAlignment="1"/>
    <xf numFmtId="0" fontId="0" fillId="4" borderId="0" xfId="0" applyFill="1" applyBorder="1" applyAlignment="1">
      <alignment horizontal="center"/>
    </xf>
    <xf numFmtId="20" fontId="1" fillId="4" borderId="2" xfId="0" applyNumberFormat="1" applyFont="1" applyFill="1" applyBorder="1" applyAlignment="1">
      <alignment horizontal="center"/>
    </xf>
    <xf numFmtId="0" fontId="0" fillId="4" borderId="0" xfId="0" applyFill="1" applyAlignment="1"/>
    <xf numFmtId="0" fontId="9" fillId="4" borderId="0" xfId="0" applyFont="1" applyFill="1" applyAlignment="1"/>
    <xf numFmtId="0" fontId="9" fillId="4" borderId="0" xfId="0" applyFont="1" applyFill="1" applyAlignment="1">
      <alignment horizontal="left"/>
    </xf>
    <xf numFmtId="0" fontId="9" fillId="4" borderId="0" xfId="0" applyFont="1" applyFill="1" applyBorder="1" applyAlignment="1"/>
    <xf numFmtId="49" fontId="8" fillId="4" borderId="0" xfId="0" applyNumberFormat="1" applyFont="1" applyFill="1" applyBorder="1" applyAlignment="1">
      <alignment horizontal="center"/>
    </xf>
    <xf numFmtId="0" fontId="2" fillId="4" borderId="0" xfId="0" applyFont="1" applyFill="1" applyBorder="1" applyAlignment="1"/>
    <xf numFmtId="0" fontId="9" fillId="4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left"/>
    </xf>
    <xf numFmtId="0" fontId="0" fillId="4" borderId="0" xfId="0" applyFill="1" applyAlignment="1">
      <alignment wrapText="1"/>
    </xf>
    <xf numFmtId="0" fontId="0" fillId="4" borderId="3" xfId="0" applyFill="1" applyBorder="1"/>
    <xf numFmtId="0" fontId="4" fillId="4" borderId="3" xfId="0" applyFont="1" applyFill="1" applyBorder="1"/>
    <xf numFmtId="0" fontId="0" fillId="4" borderId="0" xfId="0" applyFill="1" applyBorder="1" applyAlignment="1"/>
    <xf numFmtId="0" fontId="5" fillId="4" borderId="0" xfId="0" quotePrefix="1" applyFont="1" applyFill="1" applyBorder="1" applyAlignment="1"/>
    <xf numFmtId="0" fontId="8" fillId="4" borderId="0" xfId="0" quotePrefix="1" applyFont="1" applyFill="1" applyBorder="1" applyAlignment="1"/>
    <xf numFmtId="0" fontId="2" fillId="4" borderId="3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left" wrapText="1"/>
    </xf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 vertical="center" readingOrder="1"/>
    </xf>
    <xf numFmtId="0" fontId="1" fillId="4" borderId="0" xfId="0" applyFont="1" applyFill="1" applyAlignment="1">
      <alignment horizontal="left"/>
    </xf>
    <xf numFmtId="0" fontId="8" fillId="4" borderId="2" xfId="0" applyNumberFormat="1" applyFont="1" applyFill="1" applyBorder="1" applyAlignment="1">
      <alignment horizontal="center"/>
    </xf>
    <xf numFmtId="0" fontId="0" fillId="4" borderId="0" xfId="0" applyNumberFormat="1" applyFill="1"/>
    <xf numFmtId="0" fontId="0" fillId="4" borderId="0" xfId="0" applyNumberFormat="1" applyFill="1" applyAlignment="1">
      <alignment horizontal="left"/>
    </xf>
    <xf numFmtId="0" fontId="3" fillId="4" borderId="2" xfId="0" applyNumberFormat="1" applyFont="1" applyFill="1" applyBorder="1" applyAlignment="1">
      <alignment horizontal="left"/>
    </xf>
    <xf numFmtId="0" fontId="3" fillId="4" borderId="2" xfId="0" quotePrefix="1" applyNumberFormat="1" applyFont="1" applyFill="1" applyBorder="1" applyAlignment="1">
      <alignment horizontal="left"/>
    </xf>
  </cellXfs>
  <cellStyles count="4">
    <cellStyle name="Buena" xfId="1" xr:uid="{83B96A53-5D47-4E5C-85BE-0E80DE762E40}"/>
    <cellStyle name="Neutral" xfId="2" builtinId="28" customBuiltin="1"/>
    <cellStyle name="Normal" xfId="0" builtinId="0"/>
    <cellStyle name="Total" xfId="3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40</xdr:row>
      <xdr:rowOff>152400</xdr:rowOff>
    </xdr:from>
    <xdr:to>
      <xdr:col>3</xdr:col>
      <xdr:colOff>295275</xdr:colOff>
      <xdr:row>45</xdr:row>
      <xdr:rowOff>152400</xdr:rowOff>
    </xdr:to>
    <xdr:pic>
      <xdr:nvPicPr>
        <xdr:cNvPr id="4100" name="38 Imagen">
          <a:extLst>
            <a:ext uri="{FF2B5EF4-FFF2-40B4-BE49-F238E27FC236}">
              <a16:creationId xmlns:a16="http://schemas.microsoft.com/office/drawing/2014/main" id="{D99C6380-6174-9168-265D-026EC5EAC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760793">
          <a:off x="1457325" y="7562850"/>
          <a:ext cx="9144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47625</xdr:rowOff>
    </xdr:from>
    <xdr:to>
      <xdr:col>4</xdr:col>
      <xdr:colOff>238125</xdr:colOff>
      <xdr:row>4</xdr:row>
      <xdr:rowOff>104775</xdr:rowOff>
    </xdr:to>
    <xdr:pic>
      <xdr:nvPicPr>
        <xdr:cNvPr id="4101" name="Picture 118">
          <a:extLst>
            <a:ext uri="{FF2B5EF4-FFF2-40B4-BE49-F238E27FC236}">
              <a16:creationId xmlns:a16="http://schemas.microsoft.com/office/drawing/2014/main" id="{E006F3C2-CE8E-091B-D34B-70EBDD08C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7625"/>
          <a:ext cx="314325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SL/OneDrive/Documentos/MSL%20FILES/NEW%20CERTIFICATES/1358-2224-2020%20MV%20ANSHUN%20MUESTREO%20BODEGAS%20-%20SOLI-PARK%20-%20GRACOPA%20-%20PRO-AVE-CAJASCAL/SAMPLES%20CERTIFICATE%20BODEG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SSEL HOLDS INSPECTION CERTIFI"/>
      <sheetName val="SEALING CERTIFICATE"/>
      <sheetName val="CERTIFICATE SMAPLING"/>
      <sheetName val="CERTIFICATE SMAPLING (2)"/>
    </sheetNames>
    <sheetDataSet>
      <sheetData sheetId="0">
        <row r="9">
          <cell r="C9" t="str">
            <v>M.V. "STRATEGIC ENCOUNTER"</v>
          </cell>
        </row>
        <row r="42">
          <cell r="A42" t="str">
            <v>PABEL PEÑA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F611-F407-47C4-9E00-73F1991DDBC4}">
  <dimension ref="A2:K49"/>
  <sheetViews>
    <sheetView tabSelected="1" zoomScale="115" zoomScaleNormal="115" workbookViewId="0">
      <selection activeCell="L7" sqref="L7"/>
    </sheetView>
  </sheetViews>
  <sheetFormatPr defaultColWidth="8.85546875" defaultRowHeight="12.75" x14ac:dyDescent="0.2"/>
  <cols>
    <col min="1" max="1" width="11.7109375" style="1" customWidth="1"/>
    <col min="2" max="2" width="8.7109375" style="1" customWidth="1"/>
    <col min="3" max="3" width="10.7109375" style="1" customWidth="1"/>
    <col min="4" max="4" width="12.7109375" style="1" customWidth="1"/>
    <col min="5" max="5" width="6.7109375" style="1" customWidth="1"/>
    <col min="6" max="6" width="10.7109375" style="1" customWidth="1"/>
    <col min="7" max="7" width="10.85546875" style="1" customWidth="1"/>
    <col min="8" max="8" width="12.140625" style="1" customWidth="1"/>
    <col min="9" max="9" width="13.140625" style="1" customWidth="1"/>
    <col min="10" max="10" width="12.140625" style="1" customWidth="1"/>
    <col min="11" max="11" width="9.5703125" style="1" customWidth="1"/>
    <col min="12" max="16384" width="8.85546875" style="1"/>
  </cols>
  <sheetData>
    <row r="2" spans="1:11" ht="15.75" x14ac:dyDescent="0.2">
      <c r="G2" s="44" t="s">
        <v>44</v>
      </c>
      <c r="H2" s="45">
        <f>+data!B2</f>
        <v>0</v>
      </c>
    </row>
    <row r="3" spans="1:11" ht="14.25" x14ac:dyDescent="0.2">
      <c r="J3" s="11"/>
      <c r="K3" s="7"/>
    </row>
    <row r="4" spans="1:11" ht="14.25" x14ac:dyDescent="0.2">
      <c r="J4" s="7"/>
      <c r="K4" s="7"/>
    </row>
    <row r="5" spans="1:11" ht="14.25" x14ac:dyDescent="0.2">
      <c r="J5" s="4"/>
      <c r="K5" s="7"/>
    </row>
    <row r="6" spans="1:11" ht="14.25" x14ac:dyDescent="0.2">
      <c r="J6" s="7"/>
      <c r="K6" s="7"/>
    </row>
    <row r="7" spans="1:11" ht="23.25" x14ac:dyDescent="0.35">
      <c r="A7" s="41" t="s">
        <v>7</v>
      </c>
      <c r="B7" s="41"/>
      <c r="C7" s="41"/>
      <c r="D7" s="41"/>
      <c r="E7" s="41"/>
      <c r="F7" s="41"/>
      <c r="G7" s="41"/>
      <c r="H7" s="41"/>
      <c r="I7" s="41"/>
      <c r="J7" s="7"/>
      <c r="K7" s="7"/>
    </row>
    <row r="8" spans="1:11" ht="14.25" x14ac:dyDescent="0.2">
      <c r="J8" s="7"/>
      <c r="K8" s="7"/>
    </row>
    <row r="9" spans="1:11" ht="14.25" x14ac:dyDescent="0.2">
      <c r="J9" s="7"/>
      <c r="K9" s="7"/>
    </row>
    <row r="10" spans="1:11" ht="14.25" x14ac:dyDescent="0.2">
      <c r="J10" s="7"/>
      <c r="K10" s="7"/>
    </row>
    <row r="11" spans="1:11" ht="15" x14ac:dyDescent="0.25">
      <c r="A11" s="7" t="s">
        <v>0</v>
      </c>
      <c r="B11" s="8">
        <f>+data!B7</f>
        <v>0</v>
      </c>
      <c r="C11" s="9"/>
      <c r="D11" s="9"/>
      <c r="E11" s="4"/>
      <c r="F11" s="10" t="s">
        <v>1</v>
      </c>
      <c r="G11" s="49">
        <f>+data!B8</f>
        <v>0</v>
      </c>
      <c r="H11" s="50"/>
      <c r="I11" s="49"/>
      <c r="J11" s="7"/>
      <c r="K11" s="7"/>
    </row>
    <row r="12" spans="1:11" ht="14.25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" x14ac:dyDescent="0.25">
      <c r="A13" s="7" t="s">
        <v>8</v>
      </c>
      <c r="B13" s="8">
        <f>+data!B9</f>
        <v>0</v>
      </c>
      <c r="C13" s="9"/>
      <c r="D13" s="9"/>
      <c r="E13" s="4"/>
      <c r="F13" s="10" t="s">
        <v>2</v>
      </c>
      <c r="G13" s="8">
        <f>+data!B10</f>
        <v>0</v>
      </c>
      <c r="H13" s="9"/>
      <c r="I13" s="9"/>
      <c r="J13" s="7"/>
      <c r="K13" s="7"/>
    </row>
    <row r="14" spans="1:11" ht="14.25" x14ac:dyDescent="0.2">
      <c r="B14" s="7"/>
      <c r="C14" s="7"/>
      <c r="D14" s="7"/>
      <c r="E14" s="7"/>
      <c r="F14" s="7"/>
      <c r="G14" s="7"/>
      <c r="H14" s="7"/>
      <c r="I14" s="7"/>
      <c r="J14" s="13"/>
      <c r="K14" s="7"/>
    </row>
    <row r="15" spans="1:11" ht="14.25" x14ac:dyDescent="0.2">
      <c r="B15" s="7"/>
      <c r="C15" s="7"/>
      <c r="D15" s="7"/>
      <c r="E15" s="7"/>
      <c r="F15" s="7"/>
      <c r="G15" s="7"/>
      <c r="H15" s="7"/>
      <c r="I15" s="7"/>
      <c r="J15" s="13"/>
      <c r="K15" s="15"/>
    </row>
    <row r="16" spans="1:11" ht="14.25" x14ac:dyDescent="0.2">
      <c r="A16" s="7" t="str">
        <f>CONCATENATE("SAMPLES WERE TAKEN FROM HOLDS"," ",data!B11," ",", WITH SEALS NUMBERS:")</f>
        <v>SAMPLES WERE TAKEN FROM HOLDS  , WITH SEALS NUMBERS:</v>
      </c>
      <c r="B16" s="7"/>
      <c r="C16" s="7"/>
      <c r="D16" s="7"/>
      <c r="E16" s="7"/>
      <c r="F16" s="7"/>
      <c r="G16" s="7"/>
      <c r="H16" s="7"/>
      <c r="I16" s="7"/>
      <c r="J16" s="13"/>
      <c r="K16" s="7"/>
    </row>
    <row r="17" spans="1:11" ht="15" x14ac:dyDescent="0.25">
      <c r="A17" s="7"/>
      <c r="D17" s="24"/>
      <c r="E17" s="7"/>
      <c r="F17" s="25"/>
      <c r="G17" s="25"/>
      <c r="H17" s="24"/>
      <c r="I17" s="7"/>
      <c r="J17" s="5"/>
      <c r="K17" s="7"/>
    </row>
    <row r="18" spans="1:11" ht="15" x14ac:dyDescent="0.2">
      <c r="I18" s="2"/>
      <c r="J18" s="16"/>
      <c r="K18" s="7"/>
    </row>
    <row r="19" spans="1:11" ht="15.75" x14ac:dyDescent="0.25">
      <c r="A19" s="25" t="s">
        <v>5</v>
      </c>
      <c r="B19" s="25"/>
      <c r="C19" s="12" t="s">
        <v>9</v>
      </c>
      <c r="E19" s="7"/>
      <c r="F19" s="12"/>
      <c r="G19" s="7"/>
      <c r="H19" s="27"/>
      <c r="I19" s="14"/>
      <c r="J19" s="16"/>
      <c r="K19" s="7"/>
    </row>
    <row r="20" spans="1:11" ht="15" x14ac:dyDescent="0.2">
      <c r="D20" s="7"/>
      <c r="H20" s="3"/>
      <c r="I20" s="2"/>
      <c r="J20" s="13"/>
      <c r="K20" s="7"/>
    </row>
    <row r="21" spans="1:11" ht="15" x14ac:dyDescent="0.2">
      <c r="A21" s="7" t="s">
        <v>10</v>
      </c>
      <c r="B21" s="7"/>
      <c r="C21" s="46">
        <f>+data!B12</f>
        <v>0</v>
      </c>
      <c r="E21" s="15"/>
      <c r="F21" s="27"/>
      <c r="G21" s="7"/>
      <c r="H21" s="27"/>
      <c r="I21" s="5"/>
      <c r="J21" s="13"/>
      <c r="K21" s="15"/>
    </row>
    <row r="22" spans="1:11" ht="15.75" x14ac:dyDescent="0.25">
      <c r="C22" s="47"/>
      <c r="D22" s="14"/>
      <c r="F22" s="3"/>
      <c r="H22" s="3"/>
      <c r="I22" s="16"/>
      <c r="J22" s="13"/>
    </row>
    <row r="23" spans="1:11" ht="15" x14ac:dyDescent="0.2">
      <c r="A23" s="7" t="s">
        <v>11</v>
      </c>
      <c r="B23" s="7"/>
      <c r="C23" s="46">
        <f>+data!B13</f>
        <v>0</v>
      </c>
      <c r="E23" s="7"/>
      <c r="F23" s="27"/>
      <c r="G23" s="7"/>
      <c r="H23" s="27"/>
      <c r="I23" s="16"/>
      <c r="J23" s="7"/>
      <c r="K23" s="7"/>
    </row>
    <row r="24" spans="1:11" ht="15" x14ac:dyDescent="0.2">
      <c r="C24" s="47"/>
      <c r="D24" s="7"/>
      <c r="F24" s="3"/>
      <c r="H24" s="3"/>
      <c r="I24" s="2"/>
      <c r="J24" s="7"/>
      <c r="K24" s="7"/>
    </row>
    <row r="25" spans="1:11" ht="15.75" x14ac:dyDescent="0.25">
      <c r="A25" s="7" t="s">
        <v>12</v>
      </c>
      <c r="B25" s="7"/>
      <c r="C25" s="46">
        <f>+data!B14</f>
        <v>0</v>
      </c>
      <c r="E25" s="7"/>
      <c r="F25" s="27"/>
      <c r="G25" s="7"/>
      <c r="H25" s="27"/>
      <c r="I25" s="14"/>
      <c r="J25" s="7"/>
      <c r="K25" s="7"/>
    </row>
    <row r="26" spans="1:11" ht="15" x14ac:dyDescent="0.2">
      <c r="C26" s="47"/>
      <c r="D26" s="7"/>
      <c r="F26" s="3"/>
      <c r="H26" s="3"/>
      <c r="I26" s="2"/>
      <c r="J26" s="17"/>
      <c r="K26" s="7"/>
    </row>
    <row r="27" spans="1:11" ht="15" x14ac:dyDescent="0.2">
      <c r="A27" s="7" t="s">
        <v>13</v>
      </c>
      <c r="B27" s="7"/>
      <c r="C27" s="46">
        <f>+data!B15</f>
        <v>0</v>
      </c>
      <c r="E27" s="7"/>
      <c r="F27" s="27"/>
      <c r="G27" s="7"/>
      <c r="H27" s="27"/>
      <c r="I27" s="7"/>
      <c r="J27" s="17"/>
      <c r="K27" s="7"/>
    </row>
    <row r="28" spans="1:11" ht="15" x14ac:dyDescent="0.2">
      <c r="A28" s="7"/>
      <c r="B28" s="7"/>
      <c r="C28" s="27"/>
      <c r="D28" s="7"/>
      <c r="E28" s="4"/>
      <c r="F28" s="4"/>
      <c r="G28" s="4"/>
      <c r="H28" s="4"/>
      <c r="I28" s="7"/>
      <c r="J28" s="17"/>
      <c r="K28" s="7"/>
    </row>
    <row r="29" spans="1:11" ht="15" x14ac:dyDescent="0.25">
      <c r="A29" s="28"/>
      <c r="B29" s="28"/>
      <c r="C29" s="3"/>
      <c r="D29" s="4"/>
      <c r="E29" s="4"/>
      <c r="F29" s="29"/>
      <c r="G29" s="29"/>
      <c r="H29" s="30"/>
      <c r="I29" s="7"/>
    </row>
    <row r="30" spans="1:11" ht="15" x14ac:dyDescent="0.25">
      <c r="A30" s="6" t="s">
        <v>14</v>
      </c>
      <c r="B30" s="28"/>
      <c r="C30" s="5"/>
      <c r="D30" s="4"/>
      <c r="E30" s="4"/>
      <c r="F30" s="31"/>
      <c r="G30" s="31"/>
      <c r="H30" s="26"/>
    </row>
    <row r="31" spans="1:11" ht="14.25" customHeight="1" x14ac:dyDescent="0.2">
      <c r="A31" s="40">
        <f>+data!B22</f>
        <v>0</v>
      </c>
      <c r="B31" s="40"/>
      <c r="C31" s="40"/>
      <c r="D31" s="40"/>
      <c r="E31" s="40"/>
      <c r="F31" s="40"/>
      <c r="G31" s="40"/>
      <c r="H31" s="40"/>
      <c r="I31" s="40"/>
    </row>
    <row r="32" spans="1:11" ht="12.75" customHeight="1" x14ac:dyDescent="0.2">
      <c r="A32" s="40"/>
      <c r="B32" s="40"/>
      <c r="C32" s="40"/>
      <c r="D32" s="40"/>
      <c r="E32" s="40"/>
      <c r="F32" s="40"/>
      <c r="G32" s="40"/>
      <c r="H32" s="40"/>
      <c r="I32" s="40"/>
    </row>
    <row r="33" spans="1:11" x14ac:dyDescent="0.2">
      <c r="A33" s="40"/>
      <c r="B33" s="40"/>
      <c r="C33" s="40"/>
      <c r="D33" s="40"/>
      <c r="E33" s="40"/>
      <c r="F33" s="40"/>
      <c r="G33" s="40"/>
      <c r="H33" s="40"/>
      <c r="I33" s="40"/>
      <c r="J33" s="19"/>
      <c r="K33" s="20"/>
    </row>
    <row r="34" spans="1:11" ht="15" customHeight="1" x14ac:dyDescent="0.2">
      <c r="A34" s="40"/>
      <c r="B34" s="40"/>
      <c r="C34" s="40"/>
      <c r="D34" s="40"/>
      <c r="E34" s="40"/>
      <c r="F34" s="40"/>
      <c r="G34" s="40"/>
      <c r="H34" s="40"/>
      <c r="I34" s="40"/>
    </row>
    <row r="35" spans="1:11" ht="15" customHeight="1" x14ac:dyDescent="0.2">
      <c r="A35" s="40"/>
      <c r="B35" s="40"/>
      <c r="C35" s="40"/>
      <c r="D35" s="40"/>
      <c r="E35" s="40"/>
      <c r="F35" s="40"/>
      <c r="G35" s="40"/>
      <c r="H35" s="40"/>
      <c r="I35" s="40"/>
    </row>
    <row r="36" spans="1:11" ht="15" customHeight="1" x14ac:dyDescent="0.2">
      <c r="A36" s="40"/>
      <c r="B36" s="40"/>
      <c r="C36" s="40"/>
      <c r="D36" s="40"/>
      <c r="E36" s="40"/>
      <c r="F36" s="40"/>
      <c r="G36" s="40"/>
      <c r="H36" s="40"/>
      <c r="I36" s="40"/>
    </row>
    <row r="37" spans="1:11" x14ac:dyDescent="0.2">
      <c r="A37" s="32"/>
      <c r="B37" s="32"/>
      <c r="C37" s="32"/>
      <c r="D37" s="32"/>
      <c r="E37" s="32"/>
      <c r="F37" s="32"/>
      <c r="G37" s="32"/>
      <c r="H37" s="32"/>
      <c r="I37" s="32"/>
    </row>
    <row r="38" spans="1:11" x14ac:dyDescent="0.2">
      <c r="A38" s="23"/>
      <c r="B38" s="23"/>
      <c r="C38" s="23"/>
      <c r="D38" s="23"/>
      <c r="E38" s="23"/>
      <c r="F38" s="23"/>
      <c r="G38" s="23"/>
      <c r="H38" s="23"/>
      <c r="I38" s="23"/>
    </row>
    <row r="39" spans="1:11" x14ac:dyDescent="0.2">
      <c r="A39" s="23"/>
      <c r="B39" s="23"/>
      <c r="C39" s="23"/>
      <c r="D39" s="23"/>
      <c r="E39" s="23"/>
      <c r="F39" s="23"/>
      <c r="G39" s="18" t="s">
        <v>1</v>
      </c>
      <c r="H39" s="48">
        <f>+data!B23</f>
        <v>0</v>
      </c>
      <c r="I39" s="48"/>
    </row>
    <row r="40" spans="1:11" x14ac:dyDescent="0.2">
      <c r="A40" s="23"/>
      <c r="B40" s="42"/>
      <c r="C40" s="42"/>
      <c r="D40" s="42"/>
      <c r="E40" s="23"/>
    </row>
    <row r="41" spans="1:11" ht="13.9" customHeight="1" x14ac:dyDescent="0.2">
      <c r="A41" s="23"/>
      <c r="E41" s="23"/>
      <c r="G41" s="18" t="s">
        <v>3</v>
      </c>
      <c r="H41" s="22">
        <f>+data!B24</f>
        <v>0</v>
      </c>
      <c r="I41" s="1" t="s">
        <v>4</v>
      </c>
    </row>
    <row r="42" spans="1:11" x14ac:dyDescent="0.2">
      <c r="A42" s="23"/>
      <c r="B42" s="3"/>
      <c r="C42" s="3"/>
      <c r="D42" s="3"/>
      <c r="E42" s="23"/>
    </row>
    <row r="43" spans="1:11" ht="14.25" x14ac:dyDescent="0.2">
      <c r="A43" s="23"/>
      <c r="B43" s="43"/>
      <c r="C43" s="43"/>
      <c r="D43" s="43"/>
      <c r="E43" s="23"/>
    </row>
    <row r="44" spans="1:11" x14ac:dyDescent="0.2">
      <c r="A44" s="23"/>
    </row>
    <row r="45" spans="1:11" x14ac:dyDescent="0.2">
      <c r="A45" s="23"/>
    </row>
    <row r="46" spans="1:11" ht="15" thickBot="1" x14ac:dyDescent="0.25">
      <c r="A46" s="38" t="str">
        <f>'[1]VESSEL HOLDS INSPECTION CERTIFI'!A42</f>
        <v>PABEL PEÑA</v>
      </c>
      <c r="B46" s="38"/>
      <c r="C46" s="38"/>
      <c r="D46" s="28"/>
      <c r="E46" s="28"/>
      <c r="F46" s="33">
        <f>+data!B25</f>
        <v>0</v>
      </c>
      <c r="G46" s="34"/>
      <c r="H46" s="34"/>
      <c r="I46" s="33"/>
    </row>
    <row r="47" spans="1:11" ht="15.75" x14ac:dyDescent="0.25">
      <c r="A47" s="39" t="s">
        <v>15</v>
      </c>
      <c r="B47" s="39"/>
      <c r="C47" s="39"/>
      <c r="D47" s="35"/>
      <c r="E47" s="35"/>
      <c r="G47" s="36" t="s">
        <v>6</v>
      </c>
      <c r="H47" s="37"/>
      <c r="J47" s="17"/>
    </row>
    <row r="48" spans="1:11" ht="14.25" x14ac:dyDescent="0.2">
      <c r="A48" s="23"/>
      <c r="B48" s="21"/>
      <c r="C48" s="21"/>
      <c r="D48" s="21"/>
      <c r="E48" s="21"/>
      <c r="J48" s="17"/>
    </row>
    <row r="49" spans="1:10" ht="14.25" x14ac:dyDescent="0.2">
      <c r="A49" s="23"/>
      <c r="B49" s="21"/>
      <c r="C49" s="21"/>
      <c r="D49" s="21"/>
      <c r="E49" s="21"/>
      <c r="J49" s="17"/>
    </row>
  </sheetData>
  <mergeCells count="8">
    <mergeCell ref="A46:C46"/>
    <mergeCell ref="A47:C47"/>
    <mergeCell ref="A31:I36"/>
    <mergeCell ref="A7:I7"/>
    <mergeCell ref="H39:I39"/>
    <mergeCell ref="G11:I11"/>
    <mergeCell ref="B40:D40"/>
    <mergeCell ref="B43:D43"/>
  </mergeCells>
  <phoneticPr fontId="0" type="noConversion"/>
  <pageMargins left="0.74803149606299213" right="0.23622047244094491" top="0.81" bottom="0.62992125984251968" header="0.23622047244094491" footer="0.82677165354330717"/>
  <pageSetup paperSize="146" scale="95" orientation="portrait" horizontalDpi="150" verticalDpi="150" r:id="rId1"/>
  <headerFooter alignWithMargins="0">
    <oddFooter>&amp;COffice – Alajuela San Jose – Phone (506) 8814-07-84 – TeleFax (506) 2758-26-30 – COSTA RICA
&amp;"Arial,Negrita"www.mslogisticsgroup.cpm&amp;R&amp;P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17A7-59D7-4453-94AA-62502BF9AE0E}">
  <dimension ref="A1:A28"/>
  <sheetViews>
    <sheetView workbookViewId="0">
      <selection activeCell="B3" sqref="B3"/>
    </sheetView>
  </sheetViews>
  <sheetFormatPr defaultRowHeight="12.75" x14ac:dyDescent="0.2"/>
  <sheetData>
    <row r="1" spans="1:1" x14ac:dyDescent="0.2">
      <c r="A1" t="s">
        <v>16</v>
      </c>
    </row>
    <row r="2" spans="1:1" x14ac:dyDescent="0.2">
      <c r="A2" t="s">
        <v>17</v>
      </c>
    </row>
    <row r="3" spans="1:1" x14ac:dyDescent="0.2">
      <c r="A3" t="s">
        <v>18</v>
      </c>
    </row>
    <row r="4" spans="1:1" x14ac:dyDescent="0.2">
      <c r="A4" t="s">
        <v>19</v>
      </c>
    </row>
    <row r="5" spans="1:1" x14ac:dyDescent="0.2">
      <c r="A5" t="s">
        <v>20</v>
      </c>
    </row>
    <row r="6" spans="1:1" x14ac:dyDescent="0.2">
      <c r="A6" t="s">
        <v>21</v>
      </c>
    </row>
    <row r="7" spans="1:1" x14ac:dyDescent="0.2">
      <c r="A7" t="s">
        <v>22</v>
      </c>
    </row>
    <row r="8" spans="1:1" x14ac:dyDescent="0.2">
      <c r="A8" t="s">
        <v>23</v>
      </c>
    </row>
    <row r="9" spans="1:1" x14ac:dyDescent="0.2">
      <c r="A9" t="s">
        <v>24</v>
      </c>
    </row>
    <row r="10" spans="1:1" x14ac:dyDescent="0.2">
      <c r="A10" t="s">
        <v>25</v>
      </c>
    </row>
    <row r="11" spans="1:1" x14ac:dyDescent="0.2">
      <c r="A11" t="s">
        <v>26</v>
      </c>
    </row>
    <row r="12" spans="1:1" x14ac:dyDescent="0.2">
      <c r="A12" t="s">
        <v>27</v>
      </c>
    </row>
    <row r="13" spans="1:1" x14ac:dyDescent="0.2">
      <c r="A13" t="s">
        <v>28</v>
      </c>
    </row>
    <row r="14" spans="1:1" x14ac:dyDescent="0.2">
      <c r="A14" t="s">
        <v>29</v>
      </c>
    </row>
    <row r="15" spans="1:1" x14ac:dyDescent="0.2">
      <c r="A15" t="s">
        <v>30</v>
      </c>
    </row>
    <row r="16" spans="1:1" x14ac:dyDescent="0.2">
      <c r="A16" t="s">
        <v>31</v>
      </c>
    </row>
    <row r="17" spans="1:1" x14ac:dyDescent="0.2">
      <c r="A17" t="s">
        <v>32</v>
      </c>
    </row>
    <row r="18" spans="1:1" x14ac:dyDescent="0.2">
      <c r="A18" t="s">
        <v>33</v>
      </c>
    </row>
    <row r="19" spans="1:1" x14ac:dyDescent="0.2">
      <c r="A19" t="s">
        <v>34</v>
      </c>
    </row>
    <row r="20" spans="1:1" x14ac:dyDescent="0.2">
      <c r="A20" t="s">
        <v>35</v>
      </c>
    </row>
    <row r="21" spans="1:1" x14ac:dyDescent="0.2">
      <c r="A21" t="s">
        <v>36</v>
      </c>
    </row>
    <row r="22" spans="1:1" x14ac:dyDescent="0.2">
      <c r="A22" t="s">
        <v>37</v>
      </c>
    </row>
    <row r="23" spans="1:1" x14ac:dyDescent="0.2">
      <c r="A23" t="s">
        <v>38</v>
      </c>
    </row>
    <row r="24" spans="1:1" x14ac:dyDescent="0.2">
      <c r="A24" t="s">
        <v>39</v>
      </c>
    </row>
    <row r="25" spans="1:1" x14ac:dyDescent="0.2">
      <c r="A25" t="s">
        <v>40</v>
      </c>
    </row>
    <row r="26" spans="1:1" x14ac:dyDescent="0.2">
      <c r="A26" t="s">
        <v>41</v>
      </c>
    </row>
    <row r="27" spans="1:1" x14ac:dyDescent="0.2">
      <c r="A27" t="s">
        <v>42</v>
      </c>
    </row>
    <row r="28" spans="1:1" x14ac:dyDescent="0.2">
      <c r="A2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CERTIFICATE SAMPLING</vt:lpstr>
      <vt:lpstr>data</vt:lpstr>
      <vt:lpstr>'CERTIFICATE SAMPLING'!Print_Area</vt:lpstr>
    </vt:vector>
  </TitlesOfParts>
  <Company>MARIO R. CALIX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R.CALIX</dc:creator>
  <cp:lastModifiedBy>Aaron Avila</cp:lastModifiedBy>
  <cp:lastPrinted>2020-11-23T22:45:26Z</cp:lastPrinted>
  <dcterms:created xsi:type="dcterms:W3CDTF">2000-03-16T14:20:53Z</dcterms:created>
  <dcterms:modified xsi:type="dcterms:W3CDTF">2026-03-13T21:16:04Z</dcterms:modified>
</cp:coreProperties>
</file>